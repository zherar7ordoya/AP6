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26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26" l="1"/>
  <c r="F3" i="2026"/>
  <c r="F4" i="2026"/>
  <c r="F5" i="2026"/>
  <c r="F6" i="2026"/>
  <c r="F7" i="2026"/>
  <c r="F8" i="2026"/>
  <c r="F9" i="2026"/>
  <c r="F10" i="2026"/>
  <c r="F11" i="2026"/>
  <c r="F12" i="2026"/>
  <c r="F13" i="2026"/>
  <c r="F14" i="2026"/>
  <c r="F15" i="2026"/>
  <c r="F16" i="2026"/>
  <c r="F17" i="2026"/>
  <c r="F18" i="2026"/>
  <c r="F19" i="2026"/>
  <c r="F20" i="2026"/>
  <c r="F21" i="2026"/>
  <c r="F22" i="2026"/>
  <c r="F23" i="2026"/>
  <c r="F24" i="2026"/>
  <c r="F25" i="2026"/>
  <c r="F26" i="2026"/>
  <c r="F27" i="2026"/>
  <c r="F28" i="2026"/>
  <c r="F29" i="2026"/>
  <c r="F30" i="2026"/>
  <c r="F31" i="2026"/>
  <c r="F32" i="2026"/>
  <c r="F33" i="2026"/>
  <c r="F34" i="2026"/>
  <c r="F35" i="2026"/>
  <c r="F36" i="2026"/>
  <c r="F37" i="2026"/>
  <c r="F38" i="2026"/>
  <c r="F39" i="2026"/>
  <c r="F40" i="2026"/>
  <c r="F41" i="2026"/>
  <c r="F42" i="2026"/>
  <c r="F43" i="2026"/>
  <c r="F44" i="2026"/>
  <c r="F45" i="2026"/>
  <c r="F46" i="2026"/>
  <c r="F47" i="2026"/>
  <c r="F48" i="2026"/>
  <c r="F49" i="2026"/>
  <c r="F50" i="2026"/>
  <c r="F51" i="2026"/>
  <c r="F52" i="2026"/>
  <c r="F53" i="2026"/>
  <c r="F54" i="2026"/>
  <c r="F55" i="2026"/>
  <c r="F56" i="2026"/>
  <c r="F57" i="2026"/>
  <c r="F58" i="2026"/>
  <c r="F59" i="2026"/>
  <c r="F60" i="2026"/>
  <c r="F61" i="2026"/>
  <c r="F62" i="2026"/>
  <c r="F63" i="2026"/>
  <c r="F64" i="2026"/>
  <c r="F65" i="2026"/>
  <c r="F66" i="2026"/>
  <c r="F67" i="2026"/>
  <c r="F68" i="2026"/>
  <c r="F69" i="2026"/>
  <c r="F70" i="2026"/>
  <c r="R2" i="2026"/>
  <c r="S2" i="2026" s="1"/>
  <c r="R3" i="2026"/>
  <c r="S3" i="2026" s="1"/>
  <c r="R4" i="2026"/>
  <c r="S4" i="2026" s="1"/>
  <c r="R5" i="2026"/>
  <c r="S5" i="2026" s="1"/>
  <c r="R6" i="2026"/>
  <c r="S6" i="2026" s="1"/>
  <c r="R7" i="2026"/>
  <c r="S7" i="2026" s="1"/>
  <c r="R8" i="2026"/>
  <c r="S8" i="2026" s="1"/>
  <c r="R9" i="2026"/>
  <c r="S9" i="2026" s="1"/>
  <c r="R10" i="2026"/>
  <c r="S10" i="2026" s="1"/>
  <c r="R11" i="2026"/>
  <c r="S11" i="2026" s="1"/>
  <c r="R12" i="2026"/>
  <c r="S12" i="2026" s="1"/>
  <c r="R13" i="2026"/>
  <c r="S13" i="2026" s="1"/>
  <c r="R14" i="2026"/>
  <c r="S14" i="2026" s="1"/>
  <c r="R15" i="2026"/>
  <c r="S15" i="2026" s="1"/>
  <c r="R16" i="2026"/>
  <c r="S16" i="2026" s="1"/>
  <c r="R17" i="2026"/>
  <c r="S17" i="2026" s="1"/>
  <c r="R18" i="2026"/>
  <c r="S18" i="2026" s="1"/>
  <c r="R19" i="2026"/>
  <c r="S19" i="2026" s="1"/>
  <c r="R20" i="2026"/>
  <c r="S20" i="2026" s="1"/>
  <c r="R21" i="2026"/>
  <c r="S21" i="2026" s="1"/>
  <c r="R22" i="2026"/>
  <c r="S22" i="2026" s="1"/>
  <c r="R23" i="2026"/>
  <c r="S23" i="2026" s="1"/>
  <c r="R24" i="2026"/>
  <c r="S24" i="2026" s="1"/>
  <c r="R25" i="2026"/>
  <c r="S25" i="2026" s="1"/>
  <c r="R26" i="2026"/>
  <c r="S26" i="2026" s="1"/>
  <c r="R27" i="2026"/>
  <c r="S27" i="2026" s="1"/>
  <c r="R28" i="2026"/>
  <c r="S28" i="2026" s="1"/>
  <c r="R29" i="2026"/>
  <c r="S29" i="2026" s="1"/>
  <c r="R30" i="2026"/>
  <c r="S30" i="2026" s="1"/>
  <c r="R31" i="2026"/>
  <c r="S31" i="2026" s="1"/>
  <c r="R32" i="2026"/>
  <c r="S32" i="2026" s="1"/>
  <c r="R33" i="2026"/>
  <c r="S33" i="2026" s="1"/>
  <c r="R34" i="2026"/>
  <c r="S34" i="2026" s="1"/>
  <c r="R35" i="2026"/>
  <c r="S35" i="2026" s="1"/>
  <c r="R36" i="2026"/>
  <c r="S36" i="2026" s="1"/>
  <c r="R37" i="2026"/>
  <c r="S37" i="2026" s="1"/>
  <c r="R38" i="2026"/>
  <c r="S38" i="2026" s="1"/>
  <c r="R39" i="2026"/>
  <c r="S39" i="2026" s="1"/>
  <c r="R40" i="2026"/>
  <c r="S40" i="2026" s="1"/>
  <c r="R41" i="2026"/>
  <c r="S41" i="2026" s="1"/>
  <c r="R42" i="2026"/>
  <c r="S42" i="2026" s="1"/>
  <c r="R43" i="2026"/>
  <c r="S43" i="2026" s="1"/>
  <c r="R44" i="2026"/>
  <c r="S44" i="2026" s="1"/>
  <c r="R45" i="2026"/>
  <c r="S45" i="2026" s="1"/>
  <c r="R46" i="2026"/>
  <c r="S46" i="2026" s="1"/>
  <c r="R47" i="2026"/>
  <c r="S47" i="2026" s="1"/>
  <c r="R48" i="2026"/>
  <c r="S48" i="2026" s="1"/>
  <c r="R49" i="2026"/>
  <c r="S49" i="2026" s="1"/>
  <c r="R50" i="2026"/>
  <c r="S50" i="2026" s="1"/>
  <c r="R51" i="2026"/>
  <c r="S51" i="2026" s="1"/>
  <c r="R52" i="2026"/>
  <c r="S52" i="2026" s="1"/>
  <c r="R53" i="2026"/>
  <c r="S53" i="2026" s="1"/>
  <c r="R54" i="2026"/>
  <c r="S54" i="2026" s="1"/>
  <c r="R55" i="2026"/>
  <c r="S55" i="2026" s="1"/>
  <c r="R56" i="2026"/>
  <c r="S56" i="2026" s="1"/>
  <c r="R57" i="2026"/>
  <c r="S57" i="2026" s="1"/>
  <c r="R58" i="2026"/>
  <c r="S58" i="2026" s="1"/>
  <c r="R59" i="2026"/>
  <c r="S59" i="2026" s="1"/>
  <c r="R60" i="2026"/>
  <c r="S60" i="2026" s="1"/>
  <c r="R61" i="2026"/>
  <c r="S61" i="2026" s="1"/>
  <c r="R62" i="2026"/>
  <c r="S62" i="2026" s="1"/>
  <c r="R63" i="2026"/>
  <c r="S63" i="2026" s="1"/>
  <c r="R64" i="2026"/>
  <c r="S64" i="2026" s="1"/>
  <c r="R65" i="2026"/>
  <c r="S65" i="2026" s="1"/>
  <c r="R66" i="2026"/>
  <c r="S66" i="2026" s="1"/>
  <c r="R67" i="2026"/>
  <c r="S67" i="2026" s="1"/>
  <c r="R68" i="2026"/>
  <c r="S68" i="2026" s="1"/>
  <c r="R69" i="2026"/>
  <c r="S69" i="2026" s="1"/>
  <c r="R70" i="2026"/>
  <c r="S70" i="2026" s="1"/>
  <c r="Q3" i="2026"/>
  <c r="Q5" i="2026"/>
  <c r="Q7" i="2026"/>
  <c r="Q8" i="2026"/>
  <c r="Q10" i="2026"/>
  <c r="Q12" i="2026"/>
  <c r="Q14" i="2026"/>
  <c r="Q16" i="2026"/>
  <c r="Q18" i="2026"/>
  <c r="Q20" i="2026"/>
  <c r="Q22" i="2026"/>
  <c r="Q24" i="2026"/>
  <c r="Q26" i="2026"/>
  <c r="Q28" i="2026"/>
  <c r="Q30" i="2026"/>
  <c r="Q32" i="2026"/>
  <c r="Q34" i="2026"/>
  <c r="Q36" i="2026"/>
  <c r="Q38" i="2026"/>
  <c r="Q40" i="2026"/>
  <c r="Q42" i="2026"/>
  <c r="Q44" i="2026"/>
  <c r="Q46" i="2026"/>
  <c r="Q48" i="2026"/>
  <c r="Q50" i="2026"/>
  <c r="Q52" i="2026"/>
  <c r="Q54" i="2026"/>
  <c r="Q56" i="2026"/>
  <c r="Q58" i="2026"/>
  <c r="Q60" i="2026"/>
  <c r="Q62" i="2026"/>
  <c r="Q64" i="2026"/>
  <c r="Q66" i="2026"/>
  <c r="Q68" i="2026"/>
  <c r="Q2" i="2026"/>
  <c r="Q4" i="2026"/>
  <c r="Q6" i="2026"/>
  <c r="Q9" i="2026"/>
  <c r="Q11" i="2026"/>
  <c r="Q13" i="2026"/>
  <c r="Q15" i="2026"/>
  <c r="Q17" i="2026"/>
  <c r="Q19" i="2026"/>
  <c r="Q21" i="2026"/>
  <c r="Q23" i="2026"/>
  <c r="Q25" i="2026"/>
  <c r="Q27" i="2026"/>
  <c r="Q29" i="2026"/>
  <c r="Q31" i="2026"/>
  <c r="Q33" i="2026"/>
  <c r="Q35" i="2026"/>
  <c r="Q37" i="2026"/>
  <c r="Q39" i="2026"/>
  <c r="Q41" i="2026"/>
  <c r="Q43" i="2026"/>
  <c r="Q45" i="2026"/>
  <c r="Q47" i="2026"/>
  <c r="Q49" i="2026"/>
  <c r="Q51" i="2026"/>
  <c r="Q53" i="2026"/>
  <c r="Q55" i="2026"/>
  <c r="Q57" i="2026"/>
  <c r="Q59" i="2026"/>
  <c r="Q61" i="2026"/>
  <c r="Q63" i="2026"/>
  <c r="Q65" i="2026"/>
  <c r="Q67" i="2026"/>
  <c r="Q69" i="2026"/>
  <c r="Q70" i="2026"/>
  <c r="N10" i="101"/>
  <c r="N2" i="101"/>
</calcChain>
</file>

<file path=xl/sharedStrings.xml><?xml version="1.0" encoding="utf-8"?>
<sst xmlns="http://schemas.openxmlformats.org/spreadsheetml/2006/main" count="1394" uniqueCount="404">
  <si>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</si>
  <si>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</si>
  <si>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</si>
  <si>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</si>
  <si>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</si>
  <si>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</si>
  <si>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</si>
  <si>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</si>
  <si>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</si>
  <si>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</si>
  <si>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</si>
  <si>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</si>
  <si>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</si>
  <si>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</si>
  <si>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</si>
  <si>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</si>
  <si>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</si>
  <si>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</si>
  <si>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</si>
  <si>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</si>
  <si>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</si>
  <si>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</si>
  <si>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</si>
  <si>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</si>
  <si>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</si>
  <si>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</si>
  <si>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</si>
  <si>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</si>
  <si>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</si>
  <si>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</si>
  <si>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</si>
  <si>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</si>
  <si>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</si>
  <si>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</si>
  <si>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</si>
  <si>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</si>
  <si>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</si>
  <si>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</si>
  <si>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</si>
  <si>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</si>
  <si>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</si>
  <si>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</si>
  <si>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</si>
  <si>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</si>
  <si>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</si>
  <si>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</si>
  <si>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</si>
  <si>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</si>
  <si>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</si>
  <si>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</si>
  <si>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</si>
  <si>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</si>
  <si>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</si>
  <si>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</si>
  <si>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</si>
  <si>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</si>
  <si>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</si>
  <si>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</si>
  <si>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</si>
  <si>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JGPODOL</t>
  </si>
  <si>
    <t>Calpanchay Adolfina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</si>
  <si>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</si>
  <si>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</si>
  <si>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</si>
  <si>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</si>
  <si>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</si>
  <si>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</si>
  <si>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</si>
  <si>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</si>
  <si>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</si>
  <si>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</si>
  <si>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</si>
  <si>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</si>
  <si>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</si>
  <si>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</si>
  <si>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</si>
  <si>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</si>
  <si>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</si>
  <si>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</si>
  <si>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Jairo Montes</t>
  </si>
  <si>
    <t>COSEJERO y HECHICERO DEL AMOR JAIRO 388 4670393</t>
  </si>
  <si>
    <t>COSEJERO y HECHICERO DEL AMOR JA</t>
  </si>
  <si>
    <t>JGKINES</t>
  </si>
  <si>
    <t>∑ 4</t>
  </si>
  <si>
    <t>CTRL+ALT+F9</t>
  </si>
  <si>
    <t>PES</t>
  </si>
  <si>
    <t>Asamblea Cm- Jujuy</t>
  </si>
  <si>
    <t>JASAMB</t>
  </si>
  <si>
    <t>2x10</t>
  </si>
  <si>
    <t>PAC</t>
  </si>
  <si>
    <t>Editora Sociedad Anonima</t>
  </si>
  <si>
    <t>Romero  Gabriel</t>
  </si>
  <si>
    <t>CRUZ DIEGO FERNANDO</t>
  </si>
  <si>
    <t>LIC. DIEGO CRUZ QUIROPRAXIA  ///</t>
  </si>
  <si>
    <t>3x10</t>
  </si>
  <si>
    <t>∑ 15</t>
  </si>
  <si>
    <t>IAC</t>
  </si>
  <si>
    <t>Armada  Ailen</t>
  </si>
  <si>
    <t>2x07</t>
  </si>
  <si>
    <t>Cabezas Laura</t>
  </si>
  <si>
    <t>Dra. CABEZAS, Laura E. Especialista en Medicina General CnelApp: 0388-4080191 Web: http://www.consultoriodelpla8 4315604</t>
  </si>
  <si>
    <t>JGCLIM</t>
  </si>
  <si>
    <t>Dra. CABEZAS, Laura E. Especiali</t>
  </si>
  <si>
    <t>Rodriguez  Javier</t>
  </si>
  <si>
    <t>5x10</t>
  </si>
  <si>
    <t>∑ 11</t>
  </si>
  <si>
    <t>1x06</t>
  </si>
  <si>
    <t>SEX SHOP ///AVISO ARMADO////</t>
  </si>
  <si>
    <t>∑ 8</t>
  </si>
  <si>
    <t>5x35</t>
  </si>
  <si>
    <t>2x13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</si>
  <si>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</si>
  <si>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</si>
  <si>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</si>
  <si>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</si>
  <si>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Michel  Natalia</t>
  </si>
  <si>
    <t>MICHEL ESTUDIO JURIDICO AVISO AR</t>
  </si>
  <si>
    <t>Reyes  Arturo Rodrigo</t>
  </si>
  <si>
    <t>∑ 2</t>
  </si>
  <si>
    <t>∑ 7</t>
  </si>
  <si>
    <t>3x13</t>
  </si>
  <si>
    <t>∑ 18</t>
  </si>
  <si>
    <t>JUBILACIONES, PENSIONES, REAJUST</t>
  </si>
  <si>
    <t>Club Atletico Gimnasia y Esgrima</t>
  </si>
  <si>
    <t>∑ 17</t>
  </si>
  <si>
    <t>TELAM SOCIEDAD DEL ESTADO</t>
  </si>
  <si>
    <t>Editorial Comercial - Jujuy OFICIAL</t>
  </si>
  <si>
    <t xml:space="preserve"> CRILLON JUJUY SOCIEDAD DE RESPONSABILIDAD LIMITADA</t>
  </si>
  <si>
    <t>Quinteros Marcos.</t>
  </si>
  <si>
    <t>∑ 5</t>
  </si>
  <si>
    <t>4x13</t>
  </si>
  <si>
    <t>∑ 6</t>
  </si>
  <si>
    <t>∑ 13</t>
  </si>
  <si>
    <t>5x06</t>
  </si>
  <si>
    <t>∑ 27</t>
  </si>
  <si>
    <t>JVEN01</t>
  </si>
  <si>
    <t>1-1516892-2</t>
  </si>
  <si>
    <t>Bellen Oller</t>
  </si>
  <si>
    <t>vendo inmueble alte brown</t>
  </si>
  <si>
    <t>Remates/Edictos Cm- Jujuy</t>
  </si>
  <si>
    <t>Lopez  Jose Rafael Martin</t>
  </si>
  <si>
    <t>JEDICT</t>
  </si>
  <si>
    <t>1-1516627-2</t>
  </si>
  <si>
    <t>PODER JUDICIAL DE LA PCIA JUJUY</t>
  </si>
  <si>
    <t>290023 1</t>
  </si>
  <si>
    <t>EDICTO DE NOTIFICACION  EL SUPERIOR TRIBUNAL DE JUSTICA DE Lo. MPN. Pedro Omar Bernal, Jefe del Depósito de Sec8  312798</t>
  </si>
  <si>
    <t>Remates/Edictos Cm- Jujuy OFICIAL</t>
  </si>
  <si>
    <t>1-1516637-2</t>
  </si>
  <si>
    <t>Aguilar Jaquelina</t>
  </si>
  <si>
    <t>EDICTO DE CITACION     LA COORDINACION DE HABITAT, en el Exp 27 de Julio del 2023- Coord, Sra. Ruth Liliana Gut8 0619373</t>
  </si>
  <si>
    <t>1-1516650-2</t>
  </si>
  <si>
    <t>Caja Asist. Prev. Soc. de Abog. y Procu. Jujuy- CAPSAP</t>
  </si>
  <si>
    <t>283847</t>
  </si>
  <si>
    <t>SARMIENTO SERGIO ANTONIO EXPTE C155305/208  155305</t>
  </si>
  <si>
    <t>1-1516846-2</t>
  </si>
  <si>
    <t>Gareca Laura</t>
  </si>
  <si>
    <t>EDICTO DE CITACION   LA COORDINACION DE HABITAT, en el Expedy, 31 de julio de 2023- Coord. Sra. Ruth Liliana Gu8 0619312</t>
  </si>
  <si>
    <t>1-1516883-2</t>
  </si>
  <si>
    <t>Donoso  Yolanda Maria Jose</t>
  </si>
  <si>
    <t>EDICTO DE CITACION   LA COORDINACION DE HABITAT, en el Exped de Jujuy, 16 DE JUNIO DE 2023- Coordinadora Ruth G8 0619147</t>
  </si>
  <si>
    <t>1-1516844-2</t>
  </si>
  <si>
    <t>Coop. de Viv. Cred. Consumo La Esperanza Ltda</t>
  </si>
  <si>
    <t>COOPERATIVA DE VIVIENDA, CRÉDITO Y CONSUMO LA ESPERANZA LIMItitucional y de los Asociados   El Consejo de Admin8  024554</t>
  </si>
  <si>
    <t>1-1516974-2</t>
  </si>
  <si>
    <t>Colegio De Graduados En Ciencia De La Nutricion</t>
  </si>
  <si>
    <t>COLEGIO DE GRADUADOS EN CIENCIAS DE LA NUTRICIÓN DE LA PROVI de la Nutrición y Lic. VALERIA JOSEFINA QUISPE- Secretaria.</t>
  </si>
  <si>
    <t>12-1515795-2</t>
  </si>
  <si>
    <t>12-1516669-2</t>
  </si>
  <si>
    <t>Abanto  Freddy</t>
  </si>
  <si>
    <t>MAGIA CHAMANICA - LOS APUS  MAESTRA LASHMY</t>
  </si>
  <si>
    <t>1-1508242-4</t>
  </si>
  <si>
    <t>003</t>
  </si>
  <si>
    <t>PIZPIRETA  FM JUJUY ....</t>
  </si>
  <si>
    <t>1-1513345-16</t>
  </si>
  <si>
    <t>56549.</t>
  </si>
  <si>
    <t>LA MAGIA DE LAS PALABRAS - FM SOL</t>
  </si>
  <si>
    <t>1-1515600-2</t>
  </si>
  <si>
    <t>289898923</t>
  </si>
  <si>
    <t>FM JUJUY UN DIA PERFECTO</t>
  </si>
  <si>
    <t>1-1516312-1</t>
  </si>
  <si>
    <t>1-1516970-2</t>
  </si>
  <si>
    <t xml:space="preserve"> COLSA SOCIEDAD DE RESPONSABILIDAD LIMITADA (FRIAR)</t>
  </si>
  <si>
    <t>082023colsa</t>
  </si>
  <si>
    <t>FRIAR</t>
  </si>
  <si>
    <t>1-1517012-2</t>
  </si>
  <si>
    <t>Maria Cristina Garcia</t>
  </si>
  <si>
    <t>COMUNICADO Sociedades Médicas Científicas  Las sociedades mé, Radiología, Alergia e Inmunología, Neumología y Pediatría.</t>
  </si>
  <si>
    <t>Editorial Solicitadas - Jujuy</t>
  </si>
  <si>
    <t>1-1516630-1</t>
  </si>
  <si>
    <t>285421</t>
  </si>
  <si>
    <t>1-1516890-1</t>
  </si>
  <si>
    <t>TOMBOLA....  Gobierno de JUJUY al norte a seguir  RESULTADOSTE  ES PERJUDICIAL PARA LA SALUD  LEY PROVINCIAL Nº 5663....</t>
  </si>
  <si>
    <t>1-1516632-2</t>
  </si>
  <si>
    <t>285420</t>
  </si>
  <si>
    <t>1-1516635-1</t>
  </si>
  <si>
    <t>285473</t>
  </si>
  <si>
    <t>1-1516889-2</t>
  </si>
  <si>
    <t>259641Julio</t>
  </si>
  <si>
    <t>1-1512948-6</t>
  </si>
  <si>
    <t>Martinez  Cesar Antonio</t>
  </si>
  <si>
    <t>284827</t>
  </si>
  <si>
    <t>JUJUY MODELS (SUP ESTILOS) bonif 7x3</t>
  </si>
  <si>
    <t>1-1515471-5</t>
  </si>
  <si>
    <t>Pablo Zamora</t>
  </si>
  <si>
    <t>269799.26</t>
  </si>
  <si>
    <t>NEW FOX</t>
  </si>
  <si>
    <t>1-1516210-3</t>
  </si>
  <si>
    <t>Colegio De Opticos Prov De Jujuy</t>
  </si>
  <si>
    <t>283848</t>
  </si>
  <si>
    <t>COLEGIO DE OPTICOS ESP ESTILOS /bonif plan 3x1 283848</t>
  </si>
  <si>
    <t>1-1516566-4</t>
  </si>
  <si>
    <t>Salinas  Roberto German</t>
  </si>
  <si>
    <t>285466</t>
  </si>
  <si>
    <t>COMPLEJO RETRO - LA TERMINAL</t>
  </si>
  <si>
    <t>1-1516684-1</t>
  </si>
  <si>
    <t>Instituto Salteño de Intercambio Argentino Norteamericano</t>
  </si>
  <si>
    <t>I nstituto Salteño de Intercambio Argentino Norteamericano</t>
  </si>
  <si>
    <t>1-1516911-7</t>
  </si>
  <si>
    <t>260723+.</t>
  </si>
  <si>
    <t>VOTO RUBEN RIVAROLA - SENADOR</t>
  </si>
  <si>
    <t>1-1517005-2</t>
  </si>
  <si>
    <t>LOZANO ROQUE LUIS - INST. QUINOA</t>
  </si>
  <si>
    <t>020823Q</t>
  </si>
  <si>
    <t>QUINOA - GASTRONOMICO</t>
  </si>
  <si>
    <t>1-1517009-4</t>
  </si>
  <si>
    <t>Caballero Virginia.</t>
  </si>
  <si>
    <t>6532</t>
  </si>
  <si>
    <t>PANCHAMAMA...</t>
  </si>
  <si>
    <t>1-1513726-41</t>
  </si>
  <si>
    <t>CENTRO de ATENCION RENTAS JUJUY linea telefonica 0 8 0 0 - 5 seguir - Direccion Provincial de RENTAS  rentasjujuy.gob.ar</t>
  </si>
  <si>
    <t>PAG11</t>
  </si>
  <si>
    <t>1-1516758-2</t>
  </si>
  <si>
    <t>Tecno Express S.r.l.</t>
  </si>
  <si>
    <t>TECNO EXPRESS S.R.L. Informa a sus afiliados que a partir de de 2023, la cuota de Servicio será de $ 1500,00 La Gerencia</t>
  </si>
  <si>
    <t>1-1508047-48</t>
  </si>
  <si>
    <t>210323</t>
  </si>
  <si>
    <t>RUBEN RIVAROLA SENADOR</t>
  </si>
  <si>
    <t>1-1516580-2</t>
  </si>
  <si>
    <t>Ministerio de Edcucacion</t>
  </si>
  <si>
    <t>Programa de mejoras de acceso y calidad Educativa 8PROMACE)  LICITACIÓN PÚBLICA NACIONAL N° 11-UCP/2023</t>
  </si>
  <si>
    <t>1-1516955-3</t>
  </si>
  <si>
    <t>2023-53480</t>
  </si>
  <si>
    <t>ELECCIONES 2023 CHICA  - TELAM SECRETARIA DE MEDIOS Y COMUN. PUBLICA.</t>
  </si>
  <si>
    <t>1-1516999-2</t>
  </si>
  <si>
    <t>MURCIA SRL</t>
  </si>
  <si>
    <t>MURCIA S.R.L. INFORMA Se comunica al personal temporario y cntro de los cinco (5) días de publicado el presente anuncio.</t>
  </si>
  <si>
    <t>1-1517007-2</t>
  </si>
  <si>
    <t>Fundación Magister</t>
  </si>
  <si>
    <t>2082023</t>
  </si>
  <si>
    <t>DERECHO CIVIL Y PROCESAL - FUNDACION MAGISTER S21</t>
  </si>
  <si>
    <t>1-1517008-2</t>
  </si>
  <si>
    <t>6163</t>
  </si>
  <si>
    <t>BINGO LOBO....</t>
  </si>
  <si>
    <t>1-1516078-26</t>
  </si>
  <si>
    <t>CAMBIA JUJUY - AG. POL. - ALIANZA TRANSITORIA</t>
  </si>
  <si>
    <t>RIZZOTTI - FIAD - HL - GM - ZIGARAN FIAD - GM - RIZZOTTI RIZIAD- GM - ZIGARAN   RIZZOTTI LA UCR REPUDIA LA IRRUPCION ...</t>
  </si>
  <si>
    <t>CTAPA</t>
  </si>
  <si>
    <t>1-1516327-11</t>
  </si>
  <si>
    <t>GOBIERNO ISJ INTERNACIONES Y CIRUGIAS A CARGO DEL ISJ....</t>
  </si>
  <si>
    <t>1-1516164-2</t>
  </si>
  <si>
    <t>1-1515882-2</t>
  </si>
  <si>
    <t>PODOLOGIA Uñas encarnadas - Micosis (hongos) Pie diabético- . Juana Manuela Gorriti N° 16 y Alte Brown - Tel. 3884852247</t>
  </si>
  <si>
    <t>1-1516137-2</t>
  </si>
  <si>
    <t>CONSULTORIO DE PODOLOGIA UÑAS ENCARNADAS - Micosis (hongos)-DOS ALVEAR 730 PLATA ALTA “UÑAS ENCARNADAS / HONGOS8 4834040</t>
  </si>
  <si>
    <t>1-1516467-2</t>
  </si>
  <si>
    <t>LIC. DIEGO CRUZ QUIROPRAXIA  ////CAMBIAR DIRECCION///  OTERO Piso, Consultorio 15 Cel 388-154096585  REPITE ULTIMO AVISO</t>
  </si>
  <si>
    <t>1-1516636-1</t>
  </si>
  <si>
    <t>285472</t>
  </si>
  <si>
    <t>1-1516085-2</t>
  </si>
  <si>
    <t>1-1515709-1</t>
  </si>
  <si>
    <t>JUBILACIONES, PENSIONES, REAJUSTE DE HABERES.- Dr. Reyes Gonzalo Fabricio 3884867965 Hipólito Yrigoyen N° 680</t>
  </si>
  <si>
    <t>1-1515806-2</t>
  </si>
  <si>
    <t>Jubilaciones y Pensiones  Familia - Sucesiones  Divorcio - Lpez abogada  Manantiales 674 B° Chijra  3884843535 CON TURNO</t>
  </si>
  <si>
    <t>1-1515982-5</t>
  </si>
  <si>
    <t>-ALIMENTOS- SUCESIONES- -DIVORCIOS- RÉGIMEN DE COMUNICACIÓN OS EN HUMAHUACA- SAN PEDRO- LEDESMA  Tu consulta no molesta.</t>
  </si>
  <si>
    <t>1-1516303-1</t>
  </si>
  <si>
    <t>MICHEL ESTUDIO JURIDICO AVISO ARMADO</t>
  </si>
  <si>
    <t>1-1516835-2</t>
  </si>
  <si>
    <t>Ficoseco  Noelia</t>
  </si>
  <si>
    <t>ESTUDIO JURÍDICO INTEGRAL  Morales Agustina MP 4258 Ficoseco4095886  3885186089 Jorge Newbery 695 Tu consulta no molesta</t>
  </si>
  <si>
    <t>Obituarios</t>
  </si>
  <si>
    <t>1-1516784-4</t>
  </si>
  <si>
    <t>Lima  Marina Norma</t>
  </si>
  <si>
    <t>+ LIMA, Néstor (q.e.p.d.) Falleció el día 2 de agosto de 202 San Francisco para rogar por el eterno descanso de su alma.</t>
  </si>
  <si>
    <t>Obituario Modulo - Jujuy</t>
  </si>
  <si>
    <t>OBIMOD</t>
  </si>
  <si>
    <t>1-1517006-2</t>
  </si>
  <si>
    <t>Alvarado  Victor Hugo</t>
  </si>
  <si>
    <t>+ GARCIA ORLANDO DEL VALLE (LU7OKK) q.e.p.d.  Falleció el 1 a dura situación, rogando por el eterno descanso de su alma.</t>
  </si>
  <si>
    <t>1-1517013-4</t>
  </si>
  <si>
    <t>Luna Laura</t>
  </si>
  <si>
    <t>+ NELSO FAUSTINO LUNA  q.e.p.d.  Se durmió en la Paz del Señ San Francisco para rogar por el eterno descanso de su alma.</t>
  </si>
  <si>
    <t>1-1517014-4</t>
  </si>
  <si>
    <t>Brenda Cabana</t>
  </si>
  <si>
    <t>RAUL LEANDRO CABANA 14/09/1956  21/07/2023 Partiste de este ena BUITRAGO, Fernando, Natalia, Brenda, Santiago y Martino.</t>
  </si>
  <si>
    <t>1-1517015-2</t>
  </si>
  <si>
    <t>Arrueta  Alfredo Jose</t>
  </si>
  <si>
    <t>+ CLAUDIA APAZA DE ARRUETA 18-02-1935 / 02-08-2022 "La muertizar una misa en memoria de mi mamá hoy 2 de agosto8  021935</t>
  </si>
  <si>
    <t>1-1516896-3</t>
  </si>
  <si>
    <t>1-1516479-2</t>
  </si>
  <si>
    <t>MANCINI HORACIO FEDERICO</t>
  </si>
  <si>
    <t>0208.2023</t>
  </si>
  <si>
    <t>PORKMAN - DÍA DEL GASTRONOMICO</t>
  </si>
  <si>
    <t>1-1516901-2</t>
  </si>
  <si>
    <t>Mamani Irene Cecilia</t>
  </si>
  <si>
    <t>285485</t>
  </si>
  <si>
    <t>FIAMBRERIA IRENE  ESP GASTRONOMICOS</t>
  </si>
  <si>
    <t>1-1516902-2</t>
  </si>
  <si>
    <t>AGUZZI VALENTINA</t>
  </si>
  <si>
    <t>285486</t>
  </si>
  <si>
    <t>IMPAR - LA RABIOLA CHOCOLATE ESP GASTRONOMICOS</t>
  </si>
  <si>
    <t>1-1516903-2</t>
  </si>
  <si>
    <t>285487</t>
  </si>
  <si>
    <t>IMPAR - LUISIÑO ESP GASTRONOMICOS</t>
  </si>
  <si>
    <t>1-1516904-2</t>
  </si>
  <si>
    <t>FRIGORIFICO VILLALBA S.R.L.</t>
  </si>
  <si>
    <t>285488</t>
  </si>
  <si>
    <t>FRIGORIFICO VILLALBA ESP GASTRONOMICOS</t>
  </si>
  <si>
    <t>1-1516905-2</t>
  </si>
  <si>
    <t>285489</t>
  </si>
  <si>
    <t>CONFITERIA CRILLON ESP GASTRONOMICOS</t>
  </si>
  <si>
    <t>1-1516950-2</t>
  </si>
  <si>
    <t>Lopez Carlos</t>
  </si>
  <si>
    <t>284436</t>
  </si>
  <si>
    <t>EL MOJON EMPANADAS</t>
  </si>
  <si>
    <t>1-1516960-2</t>
  </si>
  <si>
    <t>Proyección SACIFI</t>
  </si>
  <si>
    <t>020823lm</t>
  </si>
  <si>
    <t>LOLA M DIA DEL GASTRONÓMICO</t>
  </si>
  <si>
    <t>1-1516962-2</t>
  </si>
  <si>
    <t>SENCO AVICOLA - MOLOUNY PABLO VICENTE</t>
  </si>
  <si>
    <t>020823SEN</t>
  </si>
  <si>
    <t xml:space="preserve"> SENCO - DIA DEL GASTRONÓMICO</t>
  </si>
  <si>
    <t>1-1516973-2</t>
  </si>
  <si>
    <t>Baldiviezo Luis Ermand</t>
  </si>
  <si>
    <t>285484</t>
  </si>
  <si>
    <t>BALDI FIAMBRERIA ESP GASTRONOMICOS</t>
  </si>
  <si>
    <t>1-1516981-2</t>
  </si>
  <si>
    <t>DUMON NICOLAS JUAN PABLO</t>
  </si>
  <si>
    <t>285251</t>
  </si>
  <si>
    <t>PAGINA IMPAR - GUAJIRA</t>
  </si>
  <si>
    <t>1-1516983-4</t>
  </si>
  <si>
    <t>Union Trabajadores Gastronomicos</t>
  </si>
  <si>
    <t>284437</t>
  </si>
  <si>
    <t>UTHGRA DIA DEL GASTRONOMICO</t>
  </si>
  <si>
    <t>1-1516996-3</t>
  </si>
  <si>
    <t>Escuela Argentina De Formación Profesional Srl</t>
  </si>
  <si>
    <t>274596 8</t>
  </si>
  <si>
    <t>IGA - DIA DEL TRABAJADOR GASTRONÓMICO</t>
  </si>
  <si>
    <t>∑ 1</t>
  </si>
  <si>
    <t>&gt;DIFIERE&lt;</t>
  </si>
  <si>
    <t>∑ 9</t>
  </si>
  <si>
    <t>3x15</t>
  </si>
  <si>
    <t>∑ 20</t>
  </si>
  <si>
    <t>∑ 26</t>
  </si>
  <si>
    <t>∑ 28</t>
  </si>
  <si>
    <t>∑ 29</t>
  </si>
  <si>
    <t>∑ 30</t>
  </si>
  <si>
    <t>∑ 33</t>
  </si>
  <si>
    <t>∑ 34</t>
  </si>
  <si>
    <t>∑ 35</t>
  </si>
  <si>
    <t>∑ 36</t>
  </si>
  <si>
    <t>2x15</t>
  </si>
  <si>
    <t>2x20</t>
  </si>
  <si>
    <t>2x09</t>
  </si>
  <si>
    <t>3x16</t>
  </si>
  <si>
    <t>TOMBOLA....  Gobierno de JUJUY a</t>
  </si>
  <si>
    <t>I nstituto Salteño de Intercambi</t>
  </si>
  <si>
    <t>IMPAR - LUISIÑO ESP GASTRONOMICO</t>
  </si>
  <si>
    <t>BALDI FIAMBRERIA ESP GASTRONOMIC</t>
  </si>
  <si>
    <t>CONFITERIA CRILLON ESP GASTRONOM</t>
  </si>
  <si>
    <t>FIAMBRERIA IRENE  ESP GASTRONOMI</t>
  </si>
  <si>
    <t>FRIGORIFICO VILLALBA ESP GASTRON</t>
  </si>
  <si>
    <t>IMPAR - LA RABIOLA CHOCOLATE ESP</t>
  </si>
  <si>
    <t>IGA - DIA DEL TRABAJADOR GASTRON</t>
  </si>
  <si>
    <t xml:space="preserve">+ NELSO FAUSTINO LUNA  q.e.p.d. </t>
  </si>
  <si>
    <t>+ LIMA, Néstor (q.e.p.d.) Fallec</t>
  </si>
  <si>
    <t>+ GARCIA ORLANDO DEL VALLE (LU7O</t>
  </si>
  <si>
    <t xml:space="preserve">RAUL LEANDRO CABANA 14/09/1956  </t>
  </si>
  <si>
    <t>+ CLAUDIA APAZA DE ARRUETA 18-02</t>
  </si>
  <si>
    <t>Jubilaciones y Pensiones  Famili</t>
  </si>
  <si>
    <t>-ALIMENTOS- SUCESIONES- -DIVORCI</t>
  </si>
  <si>
    <t>ESTUDIO JURÍDICO INTEGRAL  Moral</t>
  </si>
  <si>
    <t>CONSULTORIO DE PODOLOGIA UÑAS EN</t>
  </si>
  <si>
    <t>PODOLOGIA Uñas encarnadas - Mico</t>
  </si>
  <si>
    <t>TECNO EXPRESS S.R.L. Informa a s</t>
  </si>
  <si>
    <t>MURCIA S.R.L. INFORMA Se comunic</t>
  </si>
  <si>
    <t>COMUNICADO Sociedades Médicas Ci</t>
  </si>
  <si>
    <t xml:space="preserve">CENTRO de ATENCION RENTAS JUJUY </t>
  </si>
  <si>
    <t xml:space="preserve">Programa de mejoras de acceso y </t>
  </si>
  <si>
    <t>ELECCIONES 2023 CHICA  - TELAM S</t>
  </si>
  <si>
    <t>DERECHO CIVIL Y PROCESAL - FUNDA</t>
  </si>
  <si>
    <t>COLEGIO DE OPTICOS ESP ESTILOS /</t>
  </si>
  <si>
    <t>JUJUY MODELS (SUP ESTILOS) bonif</t>
  </si>
  <si>
    <t>LA MAGIA DE LAS PALABRAS - FM SO</t>
  </si>
  <si>
    <t>RIZZOTTI - FIAD - HL - GM - ZIGA</t>
  </si>
  <si>
    <t>GOBIERNO ISJ INTERNACIONES Y CIR</t>
  </si>
  <si>
    <t>MAGIA CHAMANICA - LOS APUS  MAES</t>
  </si>
  <si>
    <t>EDICTO DE CITACION   LA COORDINA</t>
  </si>
  <si>
    <t>EDICTO DE CITACION     LA COORDI</t>
  </si>
  <si>
    <t>SARMIENTO SERGIO ANTONIO EXPTE C</t>
  </si>
  <si>
    <t>EDICTO DE NOTIFICACION  EL SUPER</t>
  </si>
  <si>
    <t>COOPERATIVA DE VIVIENDA, CRÉDITO</t>
  </si>
  <si>
    <t>COLEGIO DE GRADUADOS EN CIENCIAS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</si>
</sst>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1" fontId="11" fillId="0" borderId="0" xfId="0" applyNumberFormat="1" applyFont="1">
      <alignment vertical="top"/>
    </xf>
    <xf numFmtId="164" fontId="11" fillId="0" borderId="0" xfId="0" applyNumberFormat="1" applyFont="1">
      <alignment vertical="top"/>
    </xf>
    <xf numFmtId="3" fontId="11" fillId="0" borderId="0" xfId="0" applyNumberFormat="1" applyFont="1">
      <alignment vertical="top"/>
    </xf>
    <xf numFmtId="4" fontId="11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10" fillId="0" borderId="12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13342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140.367279050923" createdVersion="4" refreshedVersion="4" minRefreshableVersion="3" recordCount="6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16892-2"/>
        <s v="1-1516627-2"/>
        <s v="1-1516637-2"/>
        <s v="1-1516650-2"/>
        <s v="1-1516846-2"/>
        <s v="1-1516883-2"/>
        <s v="1-1516844-2"/>
        <s v="1-1516974-2"/>
        <s v="12-1515795-2"/>
        <s v="12-1516669-2"/>
        <s v="1-1508242-4"/>
        <s v="1-1513345-16"/>
        <s v="1-1515600-2"/>
        <s v="1-1516312-1"/>
        <s v="1-1516970-2"/>
        <s v="1-1517012-2"/>
        <s v="1-1516630-1"/>
        <s v="1-1516890-1"/>
        <s v="1-1516632-2"/>
        <s v="1-1516635-1"/>
        <s v="1-1516889-2"/>
        <s v="1-1512948-6"/>
        <s v="1-1515471-5"/>
        <s v="1-1516210-3"/>
        <s v="1-1516566-4"/>
        <s v="1-1516684-1"/>
        <s v="1-1516911-7"/>
        <s v="1-1517005-2"/>
        <s v="1-1517009-4"/>
        <s v="1-1513726-41"/>
        <s v="1-1516758-2"/>
        <s v="1-1508047-48"/>
        <s v="1-1516580-2"/>
        <s v="1-1516955-3"/>
        <s v="1-1516999-2"/>
        <s v="1-1517007-2"/>
        <s v="1-1517008-2"/>
        <s v="1-1516078-26"/>
        <s v="1-1516327-11"/>
        <s v="1-1516164-2"/>
        <s v="1-1515882-2"/>
        <s v="1-1516137-2"/>
        <s v="1-1516467-2"/>
        <s v="1-1516636-1"/>
        <s v="1-1516085-2"/>
        <s v="1-1515709-1"/>
        <s v="1-1515806-2"/>
        <s v="1-1515982-5"/>
        <s v="1-1516303-1"/>
        <s v="1-1516835-2"/>
        <s v="1-1516784-4"/>
        <s v="1-1517006-2"/>
        <s v="1-1517013-4"/>
        <s v="1-1517014-4"/>
        <s v="1-1517015-2"/>
        <s v="1-1516896-3"/>
        <s v="1-1516479-2"/>
        <s v="1-1516901-2"/>
        <s v="1-1516902-2"/>
        <s v="1-1516903-2"/>
        <s v="1-1516904-2"/>
        <s v="1-1516905-2"/>
        <s v="1-1516950-2"/>
        <s v="1-1516960-2"/>
        <s v="1-1516962-2"/>
        <s v="1-1516973-2"/>
        <s v="1-1516981-2"/>
        <s v="1-1516983-4"/>
        <s v="1-1516996-3"/>
        <s v="1-1443646-6" u="1"/>
        <s v="1-1491136-1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0-1491954-2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0-1516879-2" u="1"/>
        <s v="1-1429865-3" u="1"/>
        <s v="1-1441770-2" u="1"/>
        <s v="1-1465070-6" u="1"/>
        <s v="1-1465870-2" u="1"/>
        <s v="1-1455470-8" u="1"/>
        <s v="1-1463162-2" u="1"/>
        <s v="1-1463438-2" u="1"/>
        <s v="10-1496582-3" u="1"/>
        <s v="1-1433671-3" u="1"/>
        <s v="1-1505948-3" u="1"/>
        <s v="10-1443224-2" u="1"/>
        <s v="12-1493021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0-1496754-3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2-1450086-2" u="1"/>
        <s v="10-1506239-2" u="1"/>
        <s v="1-1447264-3" u="1"/>
        <s v="1-1455470-9" u="1"/>
        <s v="1-1463162-3" u="1"/>
        <s v="1-1483437-3" u="1"/>
        <s v="11-1459624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07849-1" u="1"/>
        <s v="1-1493229-1" u="1"/>
        <s v="1-1502100-2" u="1"/>
        <s v="1-1443739-2" u="1"/>
        <s v="1-1447164-4" u="1"/>
        <s v="1-1447764-1" u="1"/>
        <s v="1-1463062-4" u="1"/>
        <s v="1-1464997-11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07857-1" u="1"/>
        <s v="12-1506815-3" u="1"/>
        <s v="1-1493129-2" u="1"/>
        <s v="1-1506101-3" u="1"/>
        <s v="1-1463162-4" u="1"/>
        <s v="1-1483561-2" u="1"/>
        <s v="1-1487662-2" u="1"/>
        <s v="12-1429957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64997-21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0-1442139-3" u="1"/>
        <s v="1-1493161-1" u="1"/>
        <s v="1-1493329-2" u="1"/>
        <s v="1-1506501-2" u="1"/>
        <s v="1-1463162-5" u="1"/>
        <s v="1-1463762-2" u="1"/>
        <s v="1-1467863-2" u="1"/>
        <s v="1-1469256-2" u="1"/>
        <s v="1-1485354-1" u="1"/>
        <s v="10-1489222-2" u="1"/>
        <s v="1-1475862-2" u="1"/>
        <s v="1-1479655-4" u="1"/>
        <s v="1-1479855-3" u="1"/>
        <s v="1-1499854-3" u="1"/>
        <s v="1-1507573-3" u="1"/>
        <s v="1-1507865-2" u="1"/>
        <s v="12-1491604-1" u="1"/>
        <s v="1-1441470-7" u="1"/>
        <s v="1-1502500-2" u="1"/>
        <s v="12-1505786-2" u="1"/>
        <s v="1-1445256-2" u="1"/>
        <s v="1-1469448-2" u="1"/>
        <s v="1-1481061-2" u="1"/>
        <s v="13-1468554-2" u="1"/>
        <s v="1-1455163-6" u="1"/>
        <s v="1-1455363-5" u="1"/>
        <s v="1-1459956-3" u="1"/>
        <s v="1-1499954-3" u="1"/>
        <s v="10-1484153-2" u="1"/>
        <s v="1-1457156-3" u="1"/>
        <s v="1-1506501-3" u="1"/>
        <s v="1-1494340-15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2-1455138-3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6501-4" u="1"/>
        <s v="1-1506901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473462-2" u="1"/>
        <s v="1-1502900-2" u="1"/>
        <s v="1-1505373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5015-12" u="1"/>
        <s v="1-1459956-5" u="1"/>
        <s v="1-1467048-2" u="1"/>
        <s v="12-1458338-2" u="1"/>
        <s v="1-1433564-2" u="1"/>
        <s v="1-1457556-3" u="1"/>
        <s v="1-1457956-1" u="1"/>
        <s v="1-1493729-3" u="1"/>
        <s v="1-1493929-2" u="1"/>
        <s v="12-1432086-2" u="1"/>
        <s v="12-1507842-2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65842-11" u="1"/>
        <s v="10-1490940-2" u="1"/>
        <s v="1-1433464-3" u="1"/>
        <s v="1-1437857-2" u="1"/>
        <s v="1-1453663-2" u="1"/>
        <s v="1-1493661-2" u="1"/>
        <s v="1-1501748-2" u="1"/>
        <s v="10-1463085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29782-2" u="1"/>
        <s v="1-1441763-2" u="1"/>
        <s v="1-1445956-2" u="1"/>
        <s v="1-1469580-3" u="1"/>
        <s v="1-1489255-6" u="1"/>
        <s v="1-1489855-3" u="1"/>
        <s v="1-1443156-2" u="1"/>
        <s v="1-1447349-2" u="1"/>
        <s v="1-1448701-2" u="1"/>
        <s v="1-1468700-2" u="1"/>
        <s v="1-1493861-2" u="1"/>
        <s v="1-1505773-2" u="1"/>
        <s v="12-1455269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455356-2" u="1"/>
        <s v="1-1495354-2" u="1"/>
        <s v="1-1500600-2" u="1"/>
        <s v="1-1503365-1" u="1"/>
        <s v="1-1469980-2" u="1"/>
        <s v="1-1451362-10" u="1"/>
        <s v="1-1447549-2" u="1"/>
        <s v="1-1487547-2" u="1"/>
        <s v="11-1456410-3" u="1"/>
        <s v="1-1446101-2" u="1"/>
        <s v="1-1501872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0-1435743-3" u="1"/>
        <s v="12-1445942-2" u="1"/>
        <s v="1-1446201-2" u="1"/>
        <s v="1-1501880-2" u="1"/>
        <s v="1-1501972-2" u="1"/>
        <s v="13-1439018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507558-2" u="1"/>
        <s v="1-1434201-2" u="1"/>
        <s v="1-1454200-2" u="1"/>
        <s v="1-1469980-3" u="1"/>
        <s v="1-1447749-2" u="1"/>
        <s v="1-1467748-2" u="1"/>
        <s v="1-1483554-2" u="1"/>
        <s v="1-1487547-3" u="1"/>
        <s v="1-1515465-2" u="1"/>
        <s v="10-1436943-2" u="1"/>
        <s v="1-1446301-2" u="1"/>
        <s v="1-1466100-3" u="1"/>
        <s v="1-1435181-3" u="1"/>
        <s v="1-1435257-4" u="1"/>
        <s v="1-1479480-2" u="1"/>
        <s v="1-1491553-2" u="1"/>
        <s v="1-1499847-2" u="1"/>
        <s v="1-1507858-1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503565-2" u="1"/>
        <s v="12-1506921-2" u="1"/>
        <s v="1-1434401-2" u="1"/>
        <s v="1-1469980-4" u="1"/>
        <s v="1-1497239-2" u="1"/>
        <s v="1-1487547-4" u="1"/>
        <s v="1-1487747-3" u="1"/>
        <s v="1-1487947-2" u="1"/>
        <s v="1-1515665-2" u="1"/>
        <s v="1-1487294-16" u="1"/>
        <s v="1-1466500-2" u="1"/>
        <s v="1-1485347-1" u="1"/>
        <s v="10-1446010-3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2-1430141-2" u="1"/>
        <s v="1-1433149-2" u="1"/>
        <s v="1-1454500-2" u="1"/>
        <s v="1-1457249-2" u="1"/>
        <s v="1-1506502-2" u="1"/>
        <s v="1-1467448-5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1-1459669-2" u="1"/>
        <s v="13-1465220-4" u="1"/>
        <s v="1-1435257-6" u="1"/>
        <s v="1-1435457-5" u="1"/>
        <s v="1-1455856-3" u="1"/>
        <s v="1-1479480-4" u="1"/>
        <s v="1-1500700-5" u="1"/>
        <s v="1-1503865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-1439982-2" u="1"/>
        <s v="1-1464000-2" u="1"/>
        <s v="1-1479980-2" u="1"/>
        <s v="1-1491929-4" u="1"/>
        <s v="1-1503965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513557-1" u="1"/>
        <s v="10-1499799-3" u="1"/>
        <s v="1-1435257-7" u="1"/>
        <s v="1-1479480-5" u="1"/>
        <s v="1-1500700-6" u="1"/>
        <s v="1-1507782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2-1445941-2" u="1"/>
        <s v="12-1485723-4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62662-14" u="1"/>
        <s v="11-1459621-2" u="1"/>
        <s v="1-1440200-2" u="1"/>
        <s v="1-1479480-6" u="1"/>
        <s v="1-1457649-3" u="1"/>
        <s v="1-1478800-4" u="1"/>
        <s v="1-1497939-2" u="1"/>
        <s v="12-1438144-21" u="1"/>
        <s v="1-1431149-1" u="1"/>
        <s v="1-1432301-2" u="1"/>
        <s v="1-1436202-3" u="1"/>
        <s v="1-1467648-7" u="1"/>
        <s v="1-1504210-2" u="1"/>
        <s v="10-1507128-3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516110-3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0-1479952-2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16602-2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2-1436989-6" u="1"/>
        <s v="1-1443349-2" u="1"/>
        <s v="1-1463072-2" u="1"/>
        <s v="1-1467173-2" u="1"/>
        <s v="1-1483071-2" u="1"/>
        <s v="1-1487172-2" u="1"/>
        <s v="1-1433581-3" u="1"/>
        <s v="1-1453780-2" u="1"/>
        <s v="1-1457649-5" u="1"/>
        <s v="1-1457973-2" u="1"/>
        <s v="1-1478800-6" u="1"/>
        <s v="1-1501865-2" u="1"/>
        <s v="1-1505490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33849-4" u="1"/>
        <s v="1-1453480-4" u="1"/>
        <s v="1-1453680-3" u="1"/>
        <s v="1-1457673-4" u="1"/>
        <s v="1-1501765-3" u="1"/>
        <s v="1-1505758-4" u="1"/>
        <s v="1-1443648-10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07367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-1453780-3" u="1"/>
        <s v="1-1453980-2" u="1"/>
        <s v="1-1457649-6" u="1"/>
        <s v="1-1478800-7" u="1"/>
        <s v="1-1505858-4" u="1"/>
        <s v="10-1430988-2" u="1"/>
        <s v="10-1486070-2" u="1"/>
        <s v="12-1460986-2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1-1459724-2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727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2-1451254-2" u="1"/>
        <s v="13-1473105-2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7912-13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559-4" u="1"/>
        <s v="1-1507867-2" u="1"/>
        <s v="1-1481454-8" u="1"/>
        <s v="1-1506003-5" u="1"/>
        <s v="1-1506603-2" u="1"/>
        <s v="1-1447874-2" u="1"/>
        <s v="1-1447966-2" u="1"/>
        <s v="1-1463772-2" u="1"/>
        <s v="1-1487964-2" u="1"/>
        <s v="1-1489265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07875-2" u="1"/>
        <s v="1-1437067-3" u="1"/>
        <s v="1-1469973-6" u="1"/>
        <s v="1-1473072-2" u="1"/>
        <s v="1-1485747-8" u="1"/>
        <s v="1-1493071-2" u="1"/>
        <s v="1-1493639-1" u="1"/>
        <s v="1-1502510-2" u="1"/>
        <s v="1-1464700-6" u="1"/>
        <s v="1-1483871-2" u="1"/>
        <s v="1-1515782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4054-3" u="1"/>
        <s v="12-1455266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0-1465254-2" u="1"/>
        <s v="1-1433274-2" u="1"/>
        <s v="1-1453273-2" u="1"/>
        <s v="1-1493271-2" u="1"/>
        <s v="1-1502710-2" u="1"/>
        <s v="1-150681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89744-11" u="1"/>
        <s v="13-1484584-2" u="1"/>
        <s v="1-1437367-3" u="1"/>
        <s v="1-1493171-3" u="1"/>
        <s v="1-1493371-2" u="1"/>
        <s v="1-1497564-2" u="1"/>
        <s v="1-1444801-7" u="1"/>
        <s v="1-1475057-1" u="1"/>
        <s v="1-1483971-3" u="1"/>
        <s v="1-1462400-5" u="1"/>
        <s v="1-1469666-2" u="1"/>
        <s v="1-1489665-2" u="1"/>
        <s v="1-1431881-3" u="1"/>
        <s v="1-1448311-2" u="1"/>
        <s v="1-1468310-2" u="1"/>
        <s v="1-1491246-8" u="1"/>
        <s v="1-1503790-3" u="1"/>
        <s v="12-1499184-2" u="1"/>
        <s v="1-1453473-2" u="1"/>
        <s v="1-1453673-1" u="1"/>
        <s v="1-1502910-2" u="1"/>
        <s v="1-1470606-26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2-1456506-2" u="1"/>
        <s v="1-1433374-3" u="1"/>
        <s v="1-1437367-4" u="1"/>
        <s v="1-1450700-4" u="1"/>
        <s v="1-1473572-2" u="1"/>
        <s v="1-1493939-2" u="1"/>
        <s v="1-1501658-2" u="1"/>
        <s v="1-1435059-2" u="1"/>
        <s v="1-1483971-4" u="1"/>
        <s v="1-1504118-16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91246-10" u="1"/>
        <s v="1-1467358-1" u="1"/>
        <s v="1-1468510-2" u="1"/>
        <s v="1-1487357-1" u="1"/>
        <s v="1-1516611-1" u="1"/>
        <s v="1-1457666-3" u="1"/>
        <s v="1-1497664-3" u="1"/>
        <s v="1-1501282-3" u="1"/>
        <s v="1-1505383-3" u="1"/>
        <s v="1-1505583-2" u="1"/>
        <s v="1-1470606-36" u="1"/>
        <s v="13-1455037-2" u="1"/>
        <s v="1-1475065-2" u="1"/>
        <s v="1-1479258-2" u="1"/>
        <s v="1-1491239-2" u="1"/>
        <s v="1-1495064-2" u="1"/>
        <s v="1-1500402-2" u="1"/>
        <s v="1-1507068-2" u="1"/>
        <s v="1-1501717-2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2701-18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72639-14" u="1"/>
        <s v="1-1429968-3" u="1"/>
        <s v="1-1465465-5" u="1"/>
        <s v="1-1469890-2" u="1"/>
        <s v="1-1428812-2" u="1"/>
        <s v="1-1447259-3" u="1"/>
        <s v="1-1447291-1" u="1"/>
        <s v="1-1447459-2" u="1"/>
        <s v="1-1467290-1" u="1"/>
        <s v="1-1483264-2" u="1"/>
        <s v="1-1487457-2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-1446111-2" u="1"/>
        <s v="1-1466110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-1445059-1" u="1"/>
        <s v="1-1466010-3" u="1"/>
        <s v="10-1487448-2" u="1"/>
        <s v="12-1482899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0-1489368-2" u="1"/>
        <s v="12-1480171-6" u="1"/>
        <s v="12-1497435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1717-52" u="1"/>
        <s v="1-1454110-3" u="1"/>
        <s v="1-1454310-2" u="1"/>
        <s v="1-1458011-4" u="1"/>
        <s v="1-1469890-4" u="1"/>
        <s v="1-1469966-5" u="1"/>
        <s v="1-1473157-1" u="1"/>
        <s v="1-1497057-2" u="1"/>
        <s v="1-1445845-19" u="1"/>
        <s v="1-1443466-3" u="1"/>
        <s v="1-1451580-9" u="1"/>
        <s v="1-1467658-3" u="1"/>
        <s v="1-1467858-2" u="1"/>
        <s v="1-1483664-2" u="1"/>
        <s v="1-1466010-4" u="1"/>
        <s v="1-1485057-2" u="1"/>
        <s v="10-1491971-2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447959-2" u="1"/>
        <s v="1-1467590-2" u="1"/>
        <s v="1-1476002-1" u="1"/>
        <s v="1-1515583-2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1717-6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-1435567-4" u="1"/>
        <s v="1-1479082-6" u="1"/>
        <s v="1-1479590-3" u="1"/>
        <s v="1-1488002-2" u="1"/>
        <s v="1-1500702-5" u="1"/>
        <s v="1-1503575-3" u="1"/>
        <s v="1-1507784-2" u="1"/>
        <s v="1-1507876-2" u="1"/>
        <s v="1-1437084-2" u="1"/>
        <s v="1-1457159-3" u="1"/>
        <s v="1-1458711-2" u="1"/>
        <s v="1-1497449-2" u="1"/>
        <s v="1-1502603-2" u="1"/>
        <s v="1-1505168-2" u="1"/>
        <s v="1-1459990-10" u="1"/>
        <s v="1-1506255-15" u="1"/>
        <s v="1-1436004-2" u="1"/>
        <s v="1-1440820-17" u="1"/>
        <s v="1-1467557-18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2-1515083-2" u="1"/>
        <s v="1-1445259-3" u="1"/>
        <s v="1-1446811-2" u="1"/>
        <s v="1-1435567-5" u="1"/>
        <s v="1-1448204-2" u="1"/>
        <s v="1-1455890-2" u="1"/>
        <s v="1-1468203-2" u="1"/>
        <s v="1-1488202-2" u="1"/>
        <s v="1-1500702-6" u="1"/>
        <s v="1-1507584-4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0-1494623-5" u="1"/>
        <s v="1-1435267-7" u="1"/>
        <s v="1-1479690-4" u="1"/>
        <s v="1-1488302-2" u="1"/>
        <s v="1-1481503-13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37747-11" u="1"/>
        <s v="1-1441466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2-1507428-6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-1435259-9" u="1"/>
        <s v="1-1435567-7" u="1"/>
        <s v="1-1440110-3" u="1"/>
        <s v="1-1443259-1" u="1"/>
        <s v="1-1459991-4" u="1"/>
        <s v="1-1468803-1" u="1"/>
        <s v="13-1443824-2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0-1441172-2" u="1"/>
        <s v="1-1431059-2" u="1"/>
        <s v="1-1447991-4" u="1"/>
        <s v="1-1452210-3" u="1"/>
        <s v="1-1456603-2" u="1"/>
        <s v="1-1467990-4" u="1"/>
        <s v="1-1479075-2" u="1"/>
        <s v="1-1507069-2" u="1"/>
        <s v="1-1437791-10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87281-10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0-1507300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2-1432608-2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1-143175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-1516912-2" u="1"/>
        <s v="1-1453990-2" u="1"/>
        <s v="10-1464607-2" u="1"/>
        <s v="1-1435584-1" u="1"/>
        <s v="1-1436812-3" u="1"/>
        <s v="1-1451358-3" u="1"/>
        <s v="1-1475382-2" u="1"/>
        <s v="1-1495749-2" u="1"/>
        <s v="1-1507585-1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0-1441087-3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64997-12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-1474502-2" u="1"/>
        <s v="1-1494501-2" u="1"/>
        <s v="1-1506521-1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87881-10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4997-2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-1485649-10" u="1"/>
        <s v="1-1457076-3" u="1"/>
        <s v="1-1457276-2" u="1"/>
        <s v="1-1473082-2" u="1"/>
        <s v="1-1474002-6" u="1"/>
        <s v="1-1474802-2" u="1"/>
        <s v="1-1502720-1" u="1"/>
        <s v="1-1506221-4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0-1446167-3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514920-2" u="1"/>
        <s v="1-1440303-2" u="1"/>
        <s v="1-1448321-2" u="1"/>
        <s v="1-1480501-1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55015-13" u="1"/>
        <s v="1-1451358-8" u="1"/>
        <s v="1-1460402-2" u="1"/>
        <s v="1-1467068-2" u="1"/>
        <s v="1-1480401-2" u="1"/>
        <s v="1-1495581-6" u="1"/>
        <s v="10-1430971-2" u="1"/>
        <s v="1-1454903-4" u="1"/>
        <s v="1-1473582-2" u="1"/>
        <s v="1-1506505-6" u="1"/>
        <s v="10-1461549-2" u="1"/>
        <s v="10-1482468-2" u="1"/>
        <s v="12-1505910-3" u="1"/>
        <s v="1-1452503-2" u="1"/>
        <s v="1-1472702-1" u="1"/>
        <s v="1-1475067-2" u="1"/>
        <s v="1-1495066-2" u="1"/>
        <s v="1-1500020-3" u="1"/>
        <s v="1-1511591-5" u="1"/>
        <s v="12-1502893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507777-6" u="1"/>
        <s v="1-1516513-2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51358-10" u="1"/>
        <s v="10-1501529-2" u="1"/>
        <s v="1-1447469-1" u="1"/>
        <s v="1-1448821-1" u="1"/>
        <s v="1-1451358-9" u="1"/>
        <s v="1-1467268-2" u="1"/>
        <s v="1-1516613-2" u="1"/>
        <s v="1-1430711-5" u="1"/>
        <s v="1-1446021-1" u="1"/>
        <s v="1-1493781-2" u="1"/>
        <s v="1-1497974-2" u="1"/>
        <s v="1-1501868-2" u="1"/>
        <s v="10-1465297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33891-9" u="1"/>
        <s v="1-1441783-2" u="1"/>
        <s v="1-1485374-5" u="1"/>
        <s v="1-1485974-2" u="1"/>
        <s v="1-1435376-10" u="1"/>
        <s v="1-1463375-1" u="1"/>
        <s v="1-1467368-2" u="1"/>
        <s v="1-1487367-2" u="1"/>
        <s v="11-1459686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2-1515092-2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35544-12" u="1"/>
        <s v="10-1507277-2" u="1"/>
        <s v="1-1516921-2" u="1"/>
        <s v="1-1453875-4" u="1"/>
        <s v="1-1493981-3" u="1"/>
        <s v="1-1501992-2" u="1"/>
        <s v="1-1505893-3" u="1"/>
        <s v="1-1455468-3" u="1"/>
        <s v="1-1471674-1" u="1"/>
        <s v="1-1495666-2" u="1"/>
        <s v="1-1499291-3" u="1"/>
        <s v="1-1503385-2" u="1"/>
        <s v="1-1507486-2" u="1"/>
        <s v="1-1430304-2" u="1"/>
        <s v="1-1485374-7" u="1"/>
        <s v="1-1502305-2" u="1"/>
        <s v="1-1502413-1" u="1"/>
        <s v="1-1451362-21" u="1"/>
        <s v="1-1443376-3" u="1"/>
        <s v="1-1447769-2" u="1"/>
        <s v="1-1463575-2" u="1"/>
        <s v="1-1487567-3" u="1"/>
        <s v="1-1453683-5" u="1"/>
        <s v="1-1497674-6" u="1"/>
        <s v="1-1435369-4" u="1"/>
        <s v="1-1435677-2" u="1"/>
        <s v="1-1455568-3" u="1"/>
        <s v="1-1479592-2" u="1"/>
        <s v="1-1479668-3" u="1"/>
        <s v="1-1507586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87294-17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5763-21" u="1"/>
        <s v="1-1443676-3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2-1434073-3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-1468213-2" u="1"/>
        <s v="1-1475775-4" u="1"/>
        <s v="1-1499767-5" u="1"/>
        <s v="1-1503985-2" u="1"/>
        <s v="1-1451362-19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0-1430989-3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-1516506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-1432321-2" u="1"/>
        <s v="1-1443676-6" u="1"/>
        <s v="1-1452320-2" u="1"/>
        <s v="1-1476512-2" u="1"/>
        <s v="1-1504230-2" u="1"/>
        <s v="10-1506240-2" u="1"/>
        <s v="10-1507128-4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6606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0-1468725-9" u="1"/>
        <s v="12-150289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03864-19" u="1"/>
        <s v="1-1458221-8" u="1"/>
        <s v="1-1501685-2" u="1"/>
        <s v="1-1505878-2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536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5286-2" u="1"/>
        <s v="11-1459672-2" u="1"/>
        <s v="1-1457693-4" u="1"/>
        <s v="1-1458521-8" u="1"/>
        <s v="1-1462020-2" u="1"/>
        <s v="1-1497967-4" u="1"/>
        <s v="1-1443648-11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68005-10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2-1471237-4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83070-19" u="1"/>
        <s v="1-1462612-2" u="1"/>
        <s v="1-1466913-1" u="1"/>
        <s v="1-1469278-2" u="1"/>
        <s v="1-1489185-2" u="1"/>
        <s v="1-1467820-14" u="1"/>
        <s v="1-1467912-14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7779-3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-1504806-6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64638-2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3-1438135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89744-12" u="1"/>
        <s v="1-1433486-2" u="1"/>
        <s v="1-1457586-2" u="1"/>
        <s v="1-1473192-3" u="1"/>
        <s v="1-1481966-8" u="1"/>
        <s v="1-1493391-2" u="1"/>
        <s v="12-1435918-10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432014-4" u="1"/>
        <s v="1-1440820-7" u="1"/>
        <s v="1-1479078-2" u="1"/>
        <s v="1-1491059-2" u="1"/>
        <s v="1-1492011-4" u="1"/>
        <s v="1-1499277-1" u="1"/>
        <s v="1-1504323-2" u="1"/>
        <s v="1-1501717-1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-1470606-37" u="1"/>
        <s v="12-1473168-4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46206-10" u="1"/>
        <s v="1-1429988-2" u="1"/>
        <s v="1-1442721-5" u="1"/>
        <s v="1-1445886-2" u="1"/>
        <s v="1-1461892-1" u="1"/>
        <s v="1-1470012-1" u="1"/>
        <s v="1-1485684-3" u="1"/>
        <s v="1-1494004-2" u="1"/>
        <s v="1-1447479-1" u="1"/>
        <s v="1-1467278-2" u="1"/>
        <s v="1-1468630-2" u="1"/>
        <s v="1-1483084-2" u="1"/>
        <s v="1-1488905-2" u="1"/>
        <s v="1-1516807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908-2" u="1"/>
        <s v="1-1449579-5" u="1"/>
        <s v="1-1450205-1" u="1"/>
        <s v="1-1462512-7" u="1"/>
        <s v="1-1481359-6" u="1"/>
        <s v="1-1481791-2" u="1"/>
        <s v="1-1485184-6" u="1"/>
        <s v="1-1489377-6" u="1"/>
        <s v="1-1504806-20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501717-33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501717-43" u="1"/>
        <s v="1-1429988-4" u="1"/>
        <s v="1-1434407-2" u="1"/>
        <s v="1-1438232-2" u="1"/>
        <s v="1-1485684-5" u="1"/>
        <s v="1-1489985-4" u="1"/>
        <s v="1-1494604-1" u="1"/>
        <s v="1-1502123-2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515387-3" u="1"/>
        <s v="1-1462505-2" u="1"/>
        <s v="1-1473584-6" u="1"/>
        <s v="1-1482504-2" u="1"/>
        <s v="10-1486240-3" u="1"/>
        <s v="1-1455178-5" u="1"/>
        <s v="1-1455286-4" u="1"/>
        <s v="1-1459879-2" u="1"/>
        <s v="1-1479478-4" u="1"/>
        <s v="1-1495776-2" u="1"/>
        <s v="1-1499877-2" u="1"/>
        <s v="1-1501717-53" u="1"/>
        <s v="13-1493418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481063-11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432-2" u="1"/>
        <s v="1-1506508-3" u="1"/>
        <s v="1-1503682-1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0-1442173-3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515579-4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67557-19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43425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0-1494623-6" u="1"/>
        <s v="1-1440030-2" u="1"/>
        <s v="1-1440306-2" u="1"/>
        <s v="1-1455178-8" u="1"/>
        <s v="1-1455286-7" u="1"/>
        <s v="1-1479478-7" u="1"/>
        <s v="1-1480304-2" u="1"/>
        <s v="1-1481503-14" u="1"/>
        <s v="10-1465252-3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516508-2" u="1"/>
        <s v="13-1441624-4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0-1466704-2" u="1"/>
        <s v="10-1471955-4" u="1"/>
        <s v="1-1457979-2" u="1"/>
        <s v="1-1474705-6" u="1"/>
        <s v="1-149797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7089-2" u="1"/>
        <s v="12-1434071-2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516540-2" u="1"/>
        <s v="1-1446024-2" u="1"/>
        <s v="1-1501795-2" u="1"/>
        <s v="1-1505788-3" u="1"/>
        <s v="1-1487281-11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-1501495-4" u="1"/>
        <s v="1-1436924-2" u="1"/>
        <s v="1-1452730-2" u="1"/>
        <s v="1-1459596-1" u="1"/>
        <s v="1-1479395-2" u="1"/>
        <s v="1-1491376-2" u="1"/>
        <s v="1-1496721-3" u="1"/>
        <s v="1-1499394-2" u="1"/>
        <s v="1-1507589-1" u="1"/>
        <s v="1-1438117-3" u="1"/>
        <s v="1-1474122-2" u="1"/>
        <s v="1-1502208-2" u="1"/>
        <s v="1-1506125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7489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509-2" u="1"/>
        <s v="1-1483077-5" u="1"/>
        <s v="1-1487594-2" u="1"/>
        <s v="1-1482321-2" u="1"/>
        <s v="1-1486422-2" u="1"/>
        <s v="11-1454967-2" u="1"/>
        <s v="1-1439897-1" u="1"/>
        <s v="1-1459896-1" u="1"/>
        <s v="1-1479095-5" u="1"/>
        <s v="1-1488107-1" u="1"/>
        <s v="1-1491676-2" u="1"/>
        <s v="1-1495869-2" u="1"/>
        <s v="1-1507597-2" u="1"/>
        <s v="1-1430231-2" u="1"/>
        <s v="1-1474422-2" u="1"/>
        <s v="1-1493069-2" u="1"/>
        <s v="1-1502108-4" u="1"/>
        <s v="1-1502308-3" u="1"/>
        <s v="1-1506609-2" u="1"/>
        <s v="1-1464730-4" u="1"/>
        <s v="1-1483377-4" u="1"/>
        <s v="1-1483869-2" u="1"/>
        <s v="1-1487494-3" u="1"/>
        <s v="1-1487694-2" u="1"/>
        <s v="1-1464997-13" u="1"/>
        <s v="1-1478722-10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46024-5" u="1"/>
        <s v="1-1462322-3" u="1"/>
        <s v="1-1462722-1" u="1"/>
        <s v="1-1466623-2" u="1"/>
        <s v="1-1469188-2" u="1"/>
        <s v="1-1481169-2" u="1"/>
        <s v="1-1431679-3" u="1"/>
        <s v="1-1451878-2" u="1"/>
        <s v="1-1471677-3" u="1"/>
        <s v="1-1479095-6" u="1"/>
        <s v="1-1484114-1" u="1"/>
        <s v="12-1451938-1" u="1"/>
        <s v="12-1491736-2" u="1"/>
        <s v="1-1485777-7" u="1"/>
        <s v="1-1493269-2" u="1"/>
        <s v="1-1506533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64997-23" u="1"/>
        <s v="1-1478722-20" u="1"/>
        <s v="10-1501546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-1485649-11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51641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58835-17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-1434017-1" u="1"/>
        <s v="1-1458009-2" u="1"/>
        <s v="1-1485694-2" u="1"/>
        <s v="1-1455015-14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516617-2" u="1"/>
        <s v="1-1433696-2" u="1"/>
        <s v="1-1450130-7" u="1"/>
        <s v="1-1457796-2" u="1"/>
        <s v="1-1486007-2" u="1"/>
        <s v="1-1493693-2" u="1"/>
        <s v="1-1493893-1" u="1"/>
        <s v="1-1456716-2" u="1"/>
        <s v="1-1459189-2" u="1"/>
        <s v="1-1472522-2" u="1"/>
        <s v="1-1496514-3" u="1"/>
        <s v="1-1499187-2" u="1"/>
        <s v="1-1445796-2" u="1"/>
        <s v="1-1446024-9" u="1"/>
        <s v="1-1458109-2" u="1"/>
        <s v="1-1465795-2" u="1"/>
        <s v="1-1478108-2" u="1"/>
        <s v="1-1504816-10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3-1475136-3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506118-2" u="1"/>
        <s v="1-1435376-11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501291-19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482129-16" u="1"/>
        <s v="1-1435597-2" u="1"/>
        <s v="1-1455596-2" u="1"/>
        <s v="1-1459989-1" u="1"/>
        <s v="1-1472722-4" u="1"/>
        <s v="1-1495594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448317-8" u="1"/>
        <s v="1-1468916-5" u="1"/>
        <s v="1-1462615-2" u="1"/>
        <s v="1-1466240-3" u="1"/>
        <s v="1-1477595-7" u="1"/>
        <s v="1-1482614-2" u="1"/>
        <s v="1-1486807-2" u="1"/>
        <s v="1-1482129-26" u="1"/>
        <s v="12-1437542-2" u="1"/>
        <s v="12-1439290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0-1490118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501291-39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542-2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0-1501528-3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4273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2-1438144-25" u="1"/>
        <s v="1-1443696-4" u="1"/>
        <s v="1-1456133-2" u="1"/>
        <s v="1-1483694-4" u="1"/>
        <s v="1-1496407-2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95994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3-1431152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86031-10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516450-2" u="1"/>
        <s v="1-1448409-18" u="1"/>
        <s v="1-1433789-3" u="1"/>
        <s v="1-1505098-6" u="1"/>
        <s v="1-1505898-2" u="1"/>
        <s v="1-1506850-4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2-1431708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7299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516634-3" u="1"/>
        <s v="1-1448409-28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43648-1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2-1454907-2" u="1"/>
        <s v="12-1455735-2" u="1"/>
        <s v="12-1497481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619-2" u="1"/>
        <s v="1-1440008-10" u="1"/>
        <s v="1-1468005-11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008-20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67912-15" u="1"/>
        <s v="1-1448127-2" u="1"/>
        <s v="1-1451788-3" u="1"/>
        <s v="1-1488217-2" u="1"/>
        <s v="10-1484585-2" u="1"/>
        <s v="1-1430909-2" u="1"/>
        <s v="1-1450540-2" u="1"/>
        <s v="1-1454733-2" u="1"/>
        <s v="1-1490506-4" u="1"/>
        <s v="1-1494731-2" u="1"/>
        <s v="1-1496324-1" u="1"/>
        <s v="1-1515998-2" u="1"/>
        <s v="1-1502833-10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514918-2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2-1441306-1" u="1"/>
        <s v="1-1440640-6" u="1"/>
        <s v="1-1476425-1" u="1"/>
        <s v="1-1496424-1" u="1"/>
        <s v="1-1500318-1" u="1"/>
        <s v="10-1501514-3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8524-10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0-1487585-2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9744-13" u="1"/>
        <s v="1-1493779-2" u="1"/>
        <s v="12-1435918-20" u="1"/>
        <s v="1-1432334-2" u="1"/>
        <s v="1-1456526-2" u="1"/>
        <s v="1-1472332-2" u="1"/>
        <s v="1-1462608-6" u="1"/>
        <s v="1-1466633-5" u="1"/>
        <s v="1-1448351-2" u="1"/>
        <s v="1-1464525-2" u="1"/>
        <s v="1-1468026-5" u="1"/>
        <s v="1-1468426-3" u="1"/>
        <s v="1-1480331-2" u="1"/>
        <s v="1-1488717-2" u="1"/>
        <s v="1-1516419-3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0-1466710-2" u="1"/>
        <s v="1-1430209-9" u="1"/>
        <s v="1-1450608-7" u="1"/>
        <s v="1-1474832-5" u="1"/>
        <s v="1-1478625-7" u="1"/>
        <s v="1-1486117-2" u="1"/>
        <s v="1-1501798-2" u="1"/>
        <s v="1-1470606-38" u="1"/>
        <s v="13-1455037-4" u="1"/>
        <s v="1-1472432-3" u="1"/>
        <s v="1-1492631-2" u="1"/>
        <s v="1-1495196-2" u="1"/>
        <s v="1-1499097-3" u="1"/>
        <s v="1-1504543-2" u="1"/>
        <s v="1-1501717-24" u="1"/>
        <s v="1-1434027-2" u="1"/>
        <s v="1-1446334-8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516919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2-1462036-2" u="1"/>
        <s v="1-1434127-2" u="1"/>
        <s v="1-1449999-3" u="1"/>
        <s v="1-1454126-2" u="1"/>
        <s v="1-1466633-7" u="1"/>
        <s v="1-1481179-7" u="1"/>
        <s v="1-1494016-3" u="1"/>
        <s v="1-1498317-2" u="1"/>
        <s v="1-1504806-21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2-1495367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0-1435991-3" u="1"/>
        <s v="1-1486417-2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516851-2" u="1"/>
        <s v="1-1426352-1" u="1"/>
        <s v="1-1450608-9" u="1"/>
        <s v="1-1466118-4" u="1"/>
        <s v="1-1478625-9" u="1"/>
        <s v="1-1482324-2" u="1"/>
        <s v="1-1459899-1" u="1"/>
        <s v="1-1472432-5" u="1"/>
        <s v="1-1479698-2" u="1"/>
        <s v="13-1430241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0728-17" u="1"/>
        <s v="10-1475641-6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2-1436642-2" u="1"/>
        <s v="1-1459699-3" u="1"/>
        <s v="1-1472432-6" u="1"/>
        <s v="1-1475797-2" u="1"/>
        <s v="1-1495796-2" u="1"/>
        <s v="12-1487019-3" u="1"/>
        <s v="1-1434151-3" u="1"/>
        <s v="1-1458219-5" u="1"/>
        <s v="1-1474717-2" u="1"/>
        <s v="1-1494316-4" u="1"/>
        <s v="1-1497189-2" u="1"/>
        <s v="1-1506460-1" u="1"/>
        <s v="1-1428728-6" u="1"/>
        <s v="1-1460232-7" u="1"/>
        <s v="1-1464825-5" u="1"/>
        <s v="1-1467898-2" u="1"/>
        <s v="1-1487897-2" u="1"/>
        <s v="11-1439911-3" u="1"/>
        <s v="1-1445099-2" u="1"/>
        <s v="1-1446219-5" u="1"/>
        <s v="1-1482624-2" u="1"/>
        <s v="1-1485097-2" u="1"/>
        <s v="1-1479998-2" u="1"/>
        <s v="1-1481063-12" u="1"/>
        <s v="12-1469048-2" u="1"/>
        <s v="1-1438552-2" u="1"/>
        <s v="1-1454926-1" u="1"/>
        <s v="1-1474217-5" u="1"/>
        <s v="1-1478350-3" u="1"/>
        <s v="1-1506360-2" u="1"/>
        <s v="1-1506436-3" u="1"/>
        <s v="1-1506528-3" u="1"/>
        <s v="1-1503682-12" u="1"/>
        <s v="12-1487130-10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514919-2" u="1"/>
        <s v="1-1444019-3" u="1"/>
        <s v="1-1460025-2" u="1"/>
        <s v="1-1479798-4" u="1"/>
        <s v="1-1433299-2" u="1"/>
        <s v="1-1458551-3" u="1"/>
        <s v="1-1458751-2" u="1"/>
        <s v="1-1493296-2" u="1"/>
        <s v="1-1497489-2" u="1"/>
        <s v="1-1502735-2" u="1"/>
        <s v="1-1506528-4" u="1"/>
        <s v="1-1460204-11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1-1431985-2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81503-15" u="1"/>
        <s v="12-1434825-2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514951-2" u="1"/>
        <s v="1-1444251-2" u="1"/>
        <s v="1-1448444-2" u="1"/>
        <s v="1-1460025-4" u="1"/>
        <s v="1-1479798-6" u="1"/>
        <s v="12-1455824-2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0-1487651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16828-2" u="1"/>
        <s v="1-1433399-5" u="1"/>
        <s v="1-1446036-2" u="1"/>
        <s v="1-1446144-1" u="1"/>
        <s v="1-1473797-3" u="1"/>
        <s v="1-1493796-3" u="1"/>
        <s v="1-1494316-9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516860-1" u="1"/>
        <s v="1-1516936-2" u="1"/>
        <s v="1-1442319-2" u="1"/>
        <s v="1-1446036-3" u="1"/>
        <s v="1-1462042-2" u="1"/>
        <s v="1-1466235-2" u="1"/>
        <s v="1-1486234-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516852-2" u="1"/>
        <s v="1-1482141-2" u="1"/>
        <s v="1-1486334-2" u="1"/>
        <s v="1-1486534-1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8037-2" u="1"/>
        <s v="1-1471897-2" u="1"/>
        <s v="1-1476318-9" u="1"/>
        <s v="1-1491896-2" u="1"/>
        <s v="1-1486821-11" u="1"/>
        <s v="10-14836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-1438264-17" u="1"/>
        <s v="1-1483989-3" u="1"/>
        <s v="1-1442619-4" u="1"/>
        <s v="1-1446936-2" u="1"/>
        <s v="1-1492140-10" u="1"/>
        <s v="1-1444336-1" u="1"/>
        <s v="1-1464135-2" u="1"/>
        <s v="1-1480309-2" u="1"/>
        <s v="1-1484134-2" u="1"/>
        <s v="1-1491296-6" u="1"/>
        <s v="1-1485649-12" u="1"/>
        <s v="1-1430451-3" u="1"/>
        <s v="1-1454843-2" u="1"/>
        <s v="1-1470217-6" u="1"/>
        <s v="1-1474042-6" u="1"/>
        <s v="1-1474842-2" u="1"/>
        <s v="1-1494641-3" u="1"/>
        <s v="1-1506753-2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-1430551-3" u="1"/>
        <s v="1-1454943-2" u="1"/>
        <s v="1-1474942-2" u="1"/>
        <s v="1-1490916-3" u="1"/>
        <s v="1-1493589-2" u="1"/>
        <s v="1-1498934-3" u="1"/>
        <s v="1-1502860-1" u="1"/>
        <s v="1-1484709-10" u="1"/>
        <s v="10-1432007-3" u="1"/>
        <s v="11-1442286-2" u="1"/>
        <s v="1-1452143-2" u="1"/>
        <s v="1-1456336-2" u="1"/>
        <s v="1-1500228-2" u="1"/>
        <s v="1-1442619-5" u="1"/>
        <s v="1-1442943-2" u="1"/>
        <s v="1-1481589-2" u="1"/>
        <s v="1-1482941-2" u="1"/>
        <s v="1-1492140-20" u="1"/>
        <s v="1-1448437-2" u="1"/>
        <s v="1-1464335-2" u="1"/>
        <s v="1-1480141-2" u="1"/>
        <s v="1-1484534-1" u="1"/>
        <s v="1-1478835-4" u="1"/>
        <s v="1-1493689-2" u="1"/>
        <s v="1-1502760-2" u="1"/>
        <s v="10-1494216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0-1488869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0-1429688-2" u="1"/>
        <s v="1-1458835-18" u="1"/>
        <s v="1-1478722-19" u="1"/>
        <s v="10-1495204-2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55015-15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2-1481872-5" u="1"/>
        <s v="12-1472868-2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34029-2" u="1"/>
        <s v="1-1458129-2" u="1"/>
        <s v="1-1482941-4" u="1"/>
        <s v="1-1494026-2" u="1"/>
        <s v="1-1471389-10" u="1"/>
        <s v="1-1504652-10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-1434037-2" u="1"/>
        <s v="1-1474035-2" u="1"/>
        <s v="1-1474327-1" u="1"/>
        <s v="1-1506038-2" u="1"/>
        <s v="10-1501545-3" u="1"/>
        <s v="1-1440643-2" u="1"/>
        <s v="1-1458060-10" u="1"/>
        <s v="1-1486027-3" u="1"/>
        <s v="1-1486227-2" u="1"/>
        <s v="1-1490916-6" u="1"/>
        <s v="10-1443490-2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35376-12" u="1"/>
        <s v="1-1440743-2" u="1"/>
        <s v="1-1460542-3" u="1"/>
        <s v="1-1468728-4" u="1"/>
        <s v="1-1516861-1" u="1"/>
        <s v="1-1516937-2" u="1"/>
        <s v="1-1446329-2" u="1"/>
        <s v="1-1482134-2" u="1"/>
        <s v="1-1486327-2" u="1"/>
        <s v="1-1506953-5" u="1"/>
        <s v="10-1461421-4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-1500952-2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-1486727-2" u="1"/>
        <s v="1-1452135-8" u="1"/>
        <s v="1-1480026-1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2-1438142-5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90152-17" u="1"/>
        <s v="10-1470123-2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66527-18" u="1"/>
        <s v="1-1440228-2" u="1"/>
        <s v="1-1460135-2" u="1"/>
        <s v="1-1460227-2" u="1"/>
        <s v="1-1480226-2" u="1"/>
        <s v="12-1452724-3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-1434637-5" u="1"/>
        <s v="1-1454960-2" u="1"/>
        <s v="1-1497599-3" u="1"/>
        <s v="12-1484122-2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-151644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86923-2" u="1"/>
        <s v="1-1434637-6" u="1"/>
        <s v="1-1497599-4" u="1"/>
        <s v="13-1474070-3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0-1500663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2-1502875-5" u="1"/>
        <s v="1-1458046-2" u="1"/>
        <s v="1-1466760-5" u="1"/>
        <s v="1-1506039-2" u="1"/>
        <s v="1-1448954-1" u="1"/>
        <s v="1-1464560-2" u="1"/>
        <s v="1-1464760-1" u="1"/>
        <s v="1-1483099-3" u="1"/>
        <s v="12-1458724-3" u="1"/>
        <s v="1-1434637-7" u="1"/>
        <s v="1-1446046-2" u="1"/>
        <s v="1-1497599-5" u="1"/>
        <s v="1-1497999-3" u="1"/>
        <s v="10-1482854-2" u="1"/>
        <s v="1-1432561-2" u="1"/>
        <s v="1-1436754-2" u="1"/>
        <s v="1-1472727-3" u="1"/>
        <s v="1-1495399-2" u="1"/>
        <s v="1-1496351-4" u="1"/>
        <s v="1-1446113-12" u="1"/>
        <s v="12-1460306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516570-2" u="1"/>
        <s v="1-1434461-7" u="1"/>
        <s v="1-1446146-2" u="1"/>
        <s v="1-1462228-2" u="1"/>
        <s v="1-1466053-2" u="1"/>
        <s v="1-1478728-8" u="1"/>
        <s v="1-1482119-3" u="1"/>
        <s v="1-1460922-11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516670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43648-1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43788-11" u="1"/>
        <s v="1-1432761-3" u="1"/>
        <s v="1-1495799-2" u="1"/>
        <s v="1-1496719-6" u="1"/>
        <s v="1-1430329-3" u="1"/>
        <s v="1-1454153-3" u="1"/>
        <s v="1-1470527-2" u="1"/>
        <s v="1-1494351-2" u="1"/>
        <s v="10-1507291-3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0-1481785-2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0-1507847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0-1467707-4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639-3" u="1"/>
        <s v="1-1506839-2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67912-16" u="1"/>
        <s v="1-1444046-2" u="1"/>
        <s v="1-1468038-3" u="1"/>
        <s v="1-1468238-2" u="1"/>
        <s v="1-1484244-1" u="1"/>
        <s v="10-1462838-3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2-1444186-1" u="1"/>
        <s v="12-1435918-14" u="1"/>
        <s v="1-1440728-7" u="1"/>
        <s v="1-1472044-2" u="1"/>
        <s v="1-1492119-3" u="1"/>
        <s v="1-1492319-2" u="1"/>
        <s v="1-1496144-2" u="1"/>
        <s v="1-1500038-2" u="1"/>
        <s v="1-1502833-11" u="1"/>
        <s v="1-1442753-2" u="1"/>
        <s v="1-1466853-2" u="1"/>
        <s v="1-1482519-5" u="1"/>
        <s v="1-1448447-1" u="1"/>
        <s v="1-1480151-1" u="1"/>
        <s v="1-1488337-2" u="1"/>
        <s v="1-1492826-7" u="1"/>
        <s v="12-1455786-2" u="1"/>
        <s v="1-1430261-4" u="1"/>
        <s v="1-1470427-5" u="1"/>
        <s v="1-1474252-5" u="1"/>
        <s v="1-1474852-2" u="1"/>
        <s v="1-1506563-3" u="1"/>
        <s v="1-1440660-6" u="1"/>
        <s v="1-1452053-2" u="1"/>
        <s v="1-1452145-2" u="1"/>
        <s v="1-1481499-2" u="1"/>
        <s v="1-1486552-4" u="1"/>
        <s v="1-1448347-2" u="1"/>
        <s v="1-1448439-2" u="1"/>
        <s v="1-1468038-4" u="1"/>
        <s v="1-1488345-2" u="1"/>
        <s v="1-1488545-1" u="1"/>
        <s v="1-1474952-2" u="1"/>
        <s v="1-1502670-2" u="1"/>
        <s v="1-1488524-11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-1430261-5" u="1"/>
        <s v="1-1430829-4" u="1"/>
        <s v="1-1474252-6" u="1"/>
        <s v="1-1474852-3" u="1"/>
        <s v="1-1502770-2" u="1"/>
        <s v="1-1506563-4" u="1"/>
        <s v="1-1506963-2" u="1"/>
        <s v="1-1498683-16" u="1"/>
        <s v="12-1485236-2" u="1"/>
        <s v="1-1432254-2" u="1"/>
        <s v="1-1456170-2" u="1"/>
        <s v="1-1456446-2" u="1"/>
        <s v="1-1504163-2" u="1"/>
        <s v="1-1446846-4" u="1"/>
        <s v="1-1492410-12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-1489744-14" u="1"/>
        <s v="1-1430961-2" u="1"/>
        <s v="1-1434954-3" u="1"/>
        <s v="1-1493799-2" u="1"/>
        <s v="1-1432446-2" u="1"/>
        <s v="1-1472444-2" u="1"/>
        <s v="1-1476545-2" u="1"/>
        <s v="1-1476745-1" u="1"/>
        <s v="1-1496344-3" u="1"/>
        <s v="1-1504263-2" u="1"/>
        <s v="1-1434039-1" u="1"/>
        <s v="1-1481799-2" u="1"/>
        <s v="1-1468370-2" u="1"/>
        <s v="1-1488645-2" u="1"/>
        <s v="1-1492826-9" u="1"/>
        <s v="1-1440008-19" u="1"/>
        <s v="12-1440790-5" u="1"/>
        <s v="12-1499968-2" u="1"/>
        <s v="1-1430261-6" u="1"/>
        <s v="1-1434854-4" u="1"/>
        <s v="1-1474252-7" u="1"/>
        <s v="1-1474852-4" u="1"/>
        <s v="12-1492979-2" u="1"/>
        <s v="1-1432454-2" u="1"/>
        <s v="1-1432546-2" u="1"/>
        <s v="1-1492819-2" u="1"/>
        <s v="1-1496444-3" u="1"/>
        <s v="1-1500538-2" u="1"/>
        <s v="1-1504163-3" u="1"/>
        <s v="10-1507846-2" u="1"/>
        <s v="1-1442929-5" u="1"/>
        <s v="1-1458039-2" u="1"/>
        <s v="1-1481899-2" u="1"/>
        <s v="1-1486552-6" u="1"/>
        <s v="1-1486952-4" u="1"/>
        <s v="1-1490219-1" u="1"/>
        <s v="1-1492410-22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2-1430670-2" u="1"/>
        <s v="12-1448238-2" u="1"/>
        <s v="13-1494835-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30209-11" u="1"/>
        <s v="1-1494143-10" u="1"/>
        <s v="1-1430261-7" u="1"/>
        <s v="1-1474252-8" u="1"/>
        <s v="1-1474852-5" u="1"/>
        <s v="1-1486137-2" u="1"/>
        <s v="1-1436371-3" u="1"/>
        <s v="1-1456846-2" u="1"/>
        <s v="1-1492651-2" u="1"/>
        <s v="1-1458071-1" u="1"/>
        <s v="1-1474045-2" u="1"/>
        <s v="1-1474137-2" u="1"/>
        <s v="1-1494244-1" u="1"/>
        <s v="1-1440653-2" u="1"/>
        <s v="1-1468038-7" u="1"/>
        <s v="1-1468670-2" u="1"/>
        <s v="1-1488345-5" u="1"/>
        <s v="1-1488745-3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0-1492219-3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3-1473299-3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2-1460299-1" u="1"/>
        <s v="1-1440953-2" u="1"/>
        <s v="1-1468738-5" u="1"/>
        <s v="1-1480551-4" u="1"/>
        <s v="1-1488937-4" u="1"/>
        <s v="1-1450608-11" u="1"/>
        <s v="1-1506255-20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507800-2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95095-19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2-1506044-2" u="1"/>
        <s v="1-1422147-4" u="1"/>
        <s v="10-1486240-5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572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8063-2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60204-1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0-1462824-3" u="1"/>
        <s v="1-1454170-5" u="1"/>
        <s v="1-1454570-3" u="1"/>
        <s v="1-1454770-2" u="1"/>
        <s v="1-1478670-3" u="1"/>
        <s v="1-1502655-3" u="1"/>
        <s v="1-1506680-2" u="1"/>
        <s v="1-1460232-11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-1506656-4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81503-16" u="1"/>
        <s v="1-1489501-17" u="1"/>
        <s v="1-1434847-4" u="1"/>
        <s v="1-1454170-6" u="1"/>
        <s v="1-1478962-3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507301-1" u="1"/>
        <s v="12-1507159-2" u="1"/>
        <s v="1-1444071-3" u="1"/>
        <s v="1-1444271-2" u="1"/>
        <s v="1-1444639-2" u="1"/>
        <s v="1-1464270-2" u="1"/>
        <s v="1-1480644-1" u="1"/>
        <s v="1-1484561-1" u="1"/>
        <s v="1-1488462-2" u="1"/>
        <s v="1-1438264-7" u="1"/>
        <s v="1-1454870-3" u="1"/>
        <s v="1-1458539-7" u="1"/>
        <s v="1-1478970-3" u="1"/>
        <s v="1-1498537-7" u="1"/>
        <s v="1-1498937-5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-1464370-2" u="1"/>
        <s v="1-1484461-2" u="1"/>
        <s v="1-1484737-2" u="1"/>
        <s v="1-1506956-4" u="1"/>
        <s v="12-1492685-3" u="1"/>
        <s v="1-1432139-5" u="1"/>
        <s v="1-1432371-2" u="1"/>
        <s v="1-1452738-2" u="1"/>
        <s v="1-1472737-2" u="1"/>
        <s v="1-1496237-5" u="1"/>
        <s v="1-1496837-2" u="1"/>
        <s v="1-1500655-1" u="1"/>
        <s v="12-1480153-2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58539-8" u="1"/>
        <s v="1-1462038-2" u="1"/>
        <s v="1-1482129-2" u="1"/>
        <s v="1-1498537-8" u="1"/>
        <s v="12-1451755-3" u="1"/>
        <s v="1-1432839-2" u="1"/>
        <s v="1-1436664-2" u="1"/>
        <s v="1-1456663-2" u="1"/>
        <s v="1-1496429-5" u="1"/>
        <s v="1-1496661-2" u="1"/>
        <s v="1-1504748-2" u="1"/>
        <s v="1-1505707-26" u="1"/>
        <s v="12-1480233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516364-4" u="1"/>
        <s v="1-1438264-9" u="1"/>
        <s v="1-1446156-2" u="1"/>
        <s v="1-1458539-9" u="1"/>
        <s v="1-1487281-13" u="1"/>
        <s v="12-1493937-3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157-2" u="1"/>
        <s v="1-1506249-2" u="1"/>
        <s v="1-1507601-2" u="1"/>
        <s v="1-1448764-3" u="1"/>
        <s v="1-1484661-3" u="1"/>
        <s v="1-1446164-2" u="1"/>
        <s v="1-1462138-3" u="1"/>
        <s v="1-1466255-2" u="1"/>
        <s v="1-1482429-2" u="1"/>
        <s v="1-1432571-3" u="1"/>
        <s v="1-1436764-3" u="1"/>
        <s v="1-1452738-4" u="1"/>
        <s v="1-1496237-7" u="1"/>
        <s v="1-1496837-4" u="1"/>
        <s v="1-1504648-4" u="1"/>
        <s v="11-1460738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7701-2" u="1"/>
        <s v="1-1464670-3" u="1"/>
        <s v="1-1480936-3" u="1"/>
        <s v="1-1484961-2" u="1"/>
        <s v="1-1462162-2" u="1"/>
        <s v="1-1466063-3" u="1"/>
        <s v="1-1482129-4" u="1"/>
        <s v="12-1497885-2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0-1487954-2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2-1456607-5" u="1"/>
        <s v="12-1478938-3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6657-2" u="1"/>
        <s v="1-1506749-2" u="1"/>
        <s v="1-1462638-3" u="1"/>
        <s v="1-1482561-2" u="1"/>
        <s v="1-1482729-3" u="1"/>
        <s v="12-1460942-6" u="1"/>
        <s v="1-1436264-8" u="1"/>
        <s v="1-1436464-7" u="1"/>
        <s v="1-1480129-2" u="1"/>
        <s v="1-1486821-12" u="1"/>
        <s v="12-1447207-3" u="1"/>
        <s v="12-1448035-3" u="1"/>
        <s v="12-1468434-1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506849-3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0-1476085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140-21" u="1"/>
        <s v="1-1436464-9" u="1"/>
        <s v="1-1448457-2" u="1"/>
        <s v="1-1480161-2" u="1"/>
        <s v="1-1484554-1" u="1"/>
        <s v="1-1488455-2" u="1"/>
        <s v="12-1475937-3" u="1"/>
        <s v="1-1430039-8" u="1"/>
        <s v="1-1502672-3" u="1"/>
        <s v="1-1502780-2" u="1"/>
        <s v="1-1506849-4" u="1"/>
        <s v="1-1506973-2" u="1"/>
        <s v="10-1435139-3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482861-3" u="1"/>
        <s v="1-1486762-4" u="1"/>
        <s v="1-1429910-2" u="1"/>
        <s v="1-1452738-9" u="1"/>
        <s v="1-1480261-2" u="1"/>
        <s v="1-1480829-1" u="1"/>
        <s v="1-1458556-6" u="1"/>
        <s v="1-1478355-7" u="1"/>
        <s v="1-1498954-4" u="1"/>
        <s v="1-1502880-2" u="1"/>
        <s v="1-1502972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360-20" u="1"/>
        <s v="1-1468380-2" u="1"/>
        <s v="1-1480161-3" u="1"/>
        <s v="1-1480729-2" u="1"/>
        <s v="1-1516649-2" u="1"/>
        <s v="1-1467500-1" u="1"/>
        <s v="1-1470561-5" u="1"/>
        <s v="1-1490960-3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55015-16" u="1"/>
        <s v="10-1459891-5" u="1"/>
        <s v="1-1440663-1" u="1"/>
        <s v="1-1448481-2" u="1"/>
        <s v="1-1448849-2" u="1"/>
        <s v="1-1468680-1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92360-30" u="1"/>
        <s v="1-1504652-11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516581-2" u="1"/>
        <s v="1-1458060-1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507802-1" u="1"/>
        <s v="1-1464955-2" u="1"/>
        <s v="1-1480729-4" u="1"/>
        <s v="1-1480568-16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-1507610-2" u="1"/>
        <s v="1-1448481-4" u="1"/>
        <s v="1-1457001-2" u="1"/>
        <s v="1-1480861-2" u="1"/>
        <s v="1-1488847-4" u="1"/>
        <s v="1-1446049-4" u="1"/>
        <s v="1-1446081-2" u="1"/>
        <s v="1-1447801-2" u="1"/>
        <s v="1-1470661-7" u="1"/>
        <s v="11-1445610-2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-1446049-5" u="1"/>
        <s v="1-1446081-3" u="1"/>
        <s v="1-1462255-3" u="1"/>
        <s v="1-1462455-2" u="1"/>
        <s v="1-1482454-2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2-1516944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494853-10" u="1"/>
        <s v="1-1442856-1" u="1"/>
        <s v="1-1446081-4" u="1"/>
        <s v="1-1465400-2" u="1"/>
        <s v="1-1492729-7" u="1"/>
        <s v="10-1441857-3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2-1470723-4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2-1440324-2" u="1"/>
        <s v="1-1457601-2" u="1"/>
        <s v="10-1501760-2" u="1"/>
        <s v="1-1446081-5" u="1"/>
        <s v="1-1460055-2" u="1"/>
        <s v="1-1460347-1" u="1"/>
        <s v="1-1464248-2" u="1"/>
        <s v="1-1480054-2" u="1"/>
        <s v="1-1492729-8" u="1"/>
        <s v="1-1500972-4" u="1"/>
        <s v="12-1493870-2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66527-19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0-1435073-2" u="1"/>
        <s v="10-1453140-2" u="1"/>
        <s v="10-1492202-3" u="1"/>
        <s v="12-1462603-1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011-2" u="1"/>
        <s v="1-1507103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2-1496470-4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507311-1" u="1"/>
        <s v="1-1444281-2" u="1"/>
        <s v="1-1445801-3" u="1"/>
        <s v="1-1448474-2" u="1"/>
        <s v="1-1460055-4" u="1"/>
        <s v="1-1480054-4" u="1"/>
        <s v="10-1487855-3" u="1"/>
        <s v="1-1443001-3" u="1"/>
        <s v="1-1454880-3" u="1"/>
        <s v="1-1470454-6" u="1"/>
        <s v="1-1478948-5" u="1"/>
        <s v="1-1506958-4" u="1"/>
        <s v="1-1470561-18" u="1"/>
        <s v="1-1452280-2" u="1"/>
        <s v="1-1496839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516858-1" u="1"/>
        <s v="10-1488871-2" u="1"/>
        <s v="1-1443301-2" u="1"/>
        <s v="1-1443501-1" u="1"/>
        <s v="1-1474455-7" u="1"/>
        <s v="1-1452748-2" u="1"/>
        <s v="1-1472747-2" u="1"/>
        <s v="1-1496571-2" u="1"/>
        <s v="1-1496939-2" u="1"/>
        <s v="1-1504858-1" u="1"/>
        <s v="1-1505210-6" u="1"/>
        <s v="12-1516931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3-1433724-2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516582-2" u="1"/>
        <s v="1-1450555-7" u="1"/>
        <s v="1-1463300-3" u="1"/>
        <s v="1-1490829-7" u="1"/>
        <s v="1-1432949-2" u="1"/>
        <s v="1-1496939-3" u="1"/>
        <s v="1-1500665-2" u="1"/>
        <s v="1-1504766-2" u="1"/>
        <s v="1-1446113-13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2-1500314-2" u="1"/>
        <s v="1-1446074-2" u="1"/>
        <s v="1-1463600-2" u="1"/>
        <s v="1-1466165-2" u="1"/>
        <s v="1-1478948-7" u="1"/>
        <s v="1-1482139-3" u="1"/>
        <s v="1-1486164-2" u="1"/>
        <s v="1-1460922-12" u="1"/>
        <s v="12-1495985-2" u="1"/>
        <s v="1-1432281-4" u="1"/>
        <s v="1-1452680-2" u="1"/>
        <s v="1-1456873-2" u="1"/>
        <s v="1-1496871-2" u="1"/>
        <s v="1-1504790-1" u="1"/>
        <s v="10-1432336-2" u="1"/>
        <s v="1-1454073-2" u="1"/>
        <s v="1-1494071-2" u="1"/>
        <s v="1-1498264-2" u="1"/>
        <s v="1-1502158-2" u="1"/>
        <s v="1-1506059-3" u="1"/>
        <s v="1-1506259-2" u="1"/>
        <s v="1-1506459-1" u="1"/>
        <s v="1-1507611-2" u="1"/>
        <s v="1-1420081-5" u="1"/>
        <s v="1-1440680-2" u="1"/>
        <s v="1-1444381-4" u="1"/>
        <s v="1-1444781-2" u="1"/>
        <s v="1-1465700-6" u="1"/>
        <s v="1-1468973-2" u="1"/>
        <s v="1-1516874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96939-4" u="1"/>
        <s v="10-1472506-2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0-1506887-2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3-1439456-3" u="1"/>
        <s v="1-1432681-3" u="1"/>
        <s v="1-1452480-4" u="1"/>
        <s v="1-1492846-4" u="1"/>
        <s v="10-1455255-2" u="1"/>
        <s v="1-1451800-2" u="1"/>
        <s v="1-1458466-2" u="1"/>
        <s v="1-1502082-2" u="1"/>
        <s v="1-1506259-3" u="1"/>
        <s v="1-1506275-2" u="1"/>
        <s v="1-1507811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2-1454907-4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-1446074-4" u="1"/>
        <s v="1-1478948-9" u="1"/>
        <s v="1-1486164-4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6259-4" u="1"/>
        <s v="1-1505303-2" u="1"/>
        <s v="1-1442273-3" u="1"/>
        <s v="1-1442949-1" u="1"/>
        <s v="1-1463900-3" u="1"/>
        <s v="1-1466573-2" u="1"/>
        <s v="1-1482947-1" u="1"/>
        <s v="1-1448059-2" u="1"/>
        <s v="1-1480039-2" u="1"/>
        <s v="1-1504690-4" u="1"/>
        <s v="1-1450180-3" u="1"/>
        <s v="1-1494571-2" u="1"/>
        <s v="1-1502290-2" u="1"/>
        <s v="1-1502458-3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506959-2" u="1"/>
        <s v="12-1435918-24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506890-9" u="1"/>
        <s v="1-1444266-2" u="1"/>
        <s v="1-1448091-2" u="1"/>
        <s v="1-1448459-2" u="1"/>
        <s v="1-1480039-4" u="1"/>
        <s v="1-1480439-2" u="1"/>
        <s v="1-1430873-2" u="1"/>
        <s v="1-1430949-3" u="1"/>
        <s v="1-1438767-4" u="1"/>
        <s v="1-1450348-6" u="1"/>
        <s v="1-1490946-3" u="1"/>
        <s v="1-1502690-2" u="1"/>
        <s v="1-1472172-2" u="1"/>
        <s v="1-1500182-1" u="1"/>
        <s v="1-1501610-2" u="1"/>
        <s v="1-1505803-2" u="1"/>
        <s v="1-1446874-3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516559-2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507720-2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507820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-1437512-2" u="1"/>
        <s v="1-1448591-6" u="1"/>
        <s v="1-1472057-2" u="1"/>
        <s v="1-1492056-2" u="1"/>
        <s v="1-150532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-1443111-2" u="1"/>
        <s v="1-1467503-1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-1440558-2" u="1"/>
        <s v="1-1440758-1" u="1"/>
        <s v="1-1460065-4" u="1"/>
        <s v="1-1468483-2" u="1"/>
        <s v="1-1480556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516592-2" u="1"/>
        <s v="1-1446276-1" u="1"/>
        <s v="1-1467703-2" u="1"/>
        <s v="1-1487502-3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7513-3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-1515804-2" u="1"/>
        <s v="1-1432791-2" u="1"/>
        <s v="1-1441003-2" u="1"/>
        <s v="1-1445104-2" u="1"/>
        <s v="1-1461002-2" u="1"/>
        <s v="1-1485102-2" u="1"/>
        <s v="1-1504176-6" u="1"/>
        <s v="1-1504776-3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505013-2" u="1"/>
        <s v="1-1516692-3" u="1"/>
        <s v="1-1462182-2" u="1"/>
        <s v="1-1466375-2" u="1"/>
        <s v="1-1487402-5" u="1"/>
        <s v="1-1498681-8" u="1"/>
        <s v="1-1425005-3" u="1"/>
        <s v="1-1445004-3" u="1"/>
        <s v="1-1445204-2" u="1"/>
        <s v="1-1452690-3" u="1"/>
        <s v="1-1506785-2" u="1"/>
        <s v="1-1507030-2" u="1"/>
        <s v="1-1506493-5" u="1"/>
        <s v="12-1507237-3" u="1"/>
        <s v="1-1516877-1" u="1"/>
        <s v="1-1516969-2" u="1"/>
        <s v="1-1505813-5" u="1"/>
        <s v="1-1507530-2" u="1"/>
        <s v="1-1516685-3" u="1"/>
        <s v="1-1506786-2" u="1"/>
        <s v="1-1507123-2" u="1"/>
        <s v="1-1507323-2" u="1"/>
        <s v="1-1516678-2" u="1"/>
        <s v="1-1507423-2" u="1"/>
        <s v="1-1516686-2" u="1"/>
        <s v="1-1507723-2" u="1"/>
        <s v="1-1516986-2" u="1"/>
        <s v="1-1507607-4" u="1"/>
        <s v="1-1507731-2" u="1"/>
        <s v="1-1507116-2" u="1"/>
        <s v="1-1507216-2" u="1"/>
        <s v="1-1516495-2" u="1"/>
        <s v="1-1516679-2" u="1"/>
        <s v="1-1507240-2" u="1"/>
        <s v="1-1516787-2" u="1"/>
        <s v="1-1507540-2" u="1"/>
        <s v="1-1516895-2" u="1"/>
        <s v="1-1507740-2" u="1"/>
        <s v="1-1507840-2" u="1"/>
        <s v="1-1502787-2" u="1"/>
        <s v="1-1507109-2" u="1"/>
        <s v="1-1506496-4" u="1"/>
        <s v="1-1507033-3" u="1"/>
        <s v="1-1507233-2" u="1"/>
        <s v="1-1507241-2" u="1"/>
        <s v="1-1516788-2" u="1"/>
        <s v="1-1507141-4" u="1"/>
        <s v="1-1507341-3" u="1"/>
        <s v="1-1507433-3" u="1"/>
        <s v="1-1507541-2" u="1"/>
        <s v="1-1507741-2" u="1"/>
        <s v="1-1516496-5" u="1"/>
        <s v="1-1506497-2" u="1"/>
        <s v="1-1507150-2" u="1"/>
        <s v="1-1507426-2" u="1"/>
        <s v="1-1507342-2" u="1"/>
        <s v="1-1507050-5" u="1"/>
        <s v="1-1507726-3" u="1"/>
        <s v="1-1507750-2" u="1"/>
        <s v="12-1507172-3" u="1"/>
        <s v="1-1507151-2" u="1"/>
        <s v="1-1507343-2" u="1"/>
        <s v="1-1507543-1" u="1"/>
        <s v="1-1507051-4" u="1"/>
        <s v="1-1507451-2" u="1"/>
        <s v="1-1507551-2" u="1"/>
        <s v="1-1507835-2" u="1"/>
        <s v="1-1507151-5" u="1"/>
        <s v="12-1507290-2" u="1"/>
        <s v="1-1507160-2" u="1"/>
        <s v="1-1507436-2" u="1"/>
        <s v="1-1507536-2" u="1"/>
        <s v="12-1506817-2" u="1"/>
        <s v="1-1507736-2" u="1"/>
        <s v="1-1507560-2" u="1"/>
        <s v="1-1507652-2" u="1"/>
        <s v="1-1507836-2" u="1"/>
        <s v="10-1453641-2" u="1"/>
        <s v="1-1501717-48" u="1"/>
        <s v="1-1507860-2" u="1"/>
        <s v="12-1502700-2" u="1"/>
        <s v="12-1504540-2" u="1"/>
        <s v="12-1506272-3" u="1"/>
        <s v="1-1501717-58" u="1"/>
        <s v="11-1433425-2" u="1"/>
        <s v="10-1432757-2" u="1"/>
        <s v="12-1500631-2" u="1"/>
        <s v="1-1460204-15" u="1"/>
        <s v="12-1465571-2" u="1"/>
        <s v="1-1507429-2" u="1"/>
        <s v="1-1480859-11" u="1"/>
        <s v="1-1507161-2" u="1"/>
        <s v="1-1507345-2" u="1"/>
        <s v="1-1507437-2" u="1"/>
        <s v="10-1465023-2" u="1"/>
        <s v="11-1433356-2" u="1"/>
        <s v="12-1460766-2" u="1"/>
        <s v="1-1507445-2" u="1"/>
        <s v="1-1464997-10" u="1"/>
        <s v="1-1507729-2" u="1"/>
        <s v="11-1433424-2" u="1"/>
        <s v="1-1503743-10" u="1"/>
        <s v="1-1464997-20" u="1"/>
        <s v="1-1507653-2" u="1"/>
        <s v="1-1503244-5" u="1"/>
        <s v="1-1507837-3" u="1"/>
        <s v="10-1475738-3" u="1"/>
        <s v="10-1498685-2" u="1"/>
        <s v="12-1455006-3" u="1"/>
        <s v="10-1497817-3" u="1"/>
        <s v="1-1507861-4" u="1"/>
        <s v="1-1465842-10" u="1"/>
        <s v="12-1507614-3" u="1"/>
        <s v="1-1432139-23" u="1"/>
        <s v="1-1432379-11" u="1"/>
        <s v="1-1492140-14" u="1"/>
        <s v="1-1507137-20" u="1"/>
        <s v="1-1432379-21" u="1"/>
        <s v="10-1496868-2" u="1"/>
        <s v="1-1436464-13" u="1"/>
        <s v="1-1492360-13" u="1"/>
        <s v="12-1495135-2" u="1"/>
        <s v="1-1507070-2" u="1"/>
        <s v="1-1452738-13" u="1"/>
        <s v="1-1436464-23" u="1"/>
        <s v="12-1430874-5" u="1"/>
        <s v="10-1481067-2" u="1"/>
        <s v="10-1507037-2" u="1"/>
        <s v="10-1451673-2" u="1"/>
        <s v="11-1433342-2" u="1"/>
        <s v="1-1515929-2" u="1"/>
        <s v="10-1491923-2" u="1"/>
        <s v="1-1447761-2" u="1"/>
        <s v="1-1463935-2" u="1"/>
        <s v="1-1467728-4" u="1"/>
        <s v="1-1465328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2-1445473-3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-1438749-13" u="1"/>
        <s v="1-1447961-2" u="1"/>
        <s v="1-1467728-5" u="1"/>
        <s v="1-1449154-3" u="1"/>
        <s v="1-1449354-2" u="1"/>
        <s v="10-1499799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0-1435742-2" u="1"/>
        <s v="1-1435861-3" u="1"/>
        <s v="1-1491709-6" u="1"/>
        <s v="1-1491741-4" u="1"/>
        <s v="1-1503053-7" u="1"/>
        <s v="1-1507862-3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2-1507172-4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62662-13" u="1"/>
        <s v="1-1439862-4" u="1"/>
        <s v="1-1455760-4" u="1"/>
        <s v="1-1498999-2" u="1"/>
        <s v="11-1452524-2" u="1"/>
        <s v="1-1457553-2" u="1"/>
        <s v="1-1493726-2" u="1"/>
        <s v="1-1496399-1" u="1"/>
        <s v="1-1501445-2" u="1"/>
        <s v="1-1505270-2" u="1"/>
        <s v="12-1438144-1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-1468032-15" u="1"/>
        <s v="10-1430937-2" u="1"/>
        <s v="11-1433341-2" u="1"/>
        <s v="12-1498318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0-1468725-7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80569-11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59220-1" u="1"/>
        <s v="12-1464871-1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0-1435657-3" u="1"/>
        <s v="1-1433861-2" u="1"/>
        <s v="1-1437654-4" u="1"/>
        <s v="1-1473227-7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35709-11" u="1"/>
        <s v="1-1443729-1" u="1"/>
        <s v="1-1447354-2" u="1"/>
        <s v="1-1515054-3" u="1"/>
        <s v="10-1455936-2" u="1"/>
        <s v="1-1453960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507071-3" u="1"/>
        <s v="1-1469953-4" u="1"/>
        <s v="1-1484899-2" u="1"/>
        <s v="1-1443653-1" u="1"/>
        <s v="1-1463360-2" u="1"/>
        <s v="1-1467553-2" u="1"/>
        <s v="1-1483251-3" u="1"/>
        <s v="1-1448481-23" u="1"/>
        <s v="10-1458856-2" u="1"/>
        <s v="12-1441867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07171-3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0-1458536-4" u="1"/>
        <s v="1-1437654-6" u="1"/>
        <s v="1-1505770-4" u="1"/>
        <s v="1-1439447-4" u="1"/>
        <s v="1-1455253-4" u="1"/>
        <s v="1-1455653-2" u="1"/>
        <s v="1-1459846-2" u="1"/>
        <s v="1-1494299-2" u="1"/>
        <s v="1-1507655-2" u="1"/>
        <s v="1-1507855-1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8481-33" u="1"/>
        <s v="1-1449147-2" u="1"/>
        <s v="1-1465245-1" u="1"/>
        <s v="1-1485044-2" u="1"/>
        <s v="11-1436456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0-1453639-4" u="1"/>
        <s v="10-1455787-2" u="1"/>
        <s v="12-1459323-1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1-1431387-2" u="1"/>
        <s v="1-1437447-1" u="1"/>
        <s v="1-1497044-3" u="1"/>
        <s v="1-1443853-2" u="1"/>
        <s v="1-1482499-2" u="1"/>
        <s v="1-1487752-3" u="1"/>
        <s v="1-1487952-2" u="1"/>
        <s v="1-1448481-43" u="1"/>
        <s v="1-1469346-2" u="1"/>
        <s v="1-1481419-2" u="1"/>
        <s v="1-1496799-5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2-1506674-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-1489744-10" u="1"/>
        <s v="1-1457546-2" u="1"/>
        <s v="1-1489852-8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2-1496104-3" u="1"/>
        <s v="1-1437747-2" u="1"/>
        <s v="1-1457546-3" u="1"/>
        <s v="1-1477145-5" u="1"/>
        <s v="1-1493551-2" u="1"/>
        <s v="1-1505463-2" u="1"/>
        <s v="1-1455146-1" u="1"/>
        <s v="1-1459139-2" u="1"/>
        <s v="1-1479138-2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67025-21" u="1"/>
        <s v="1-1455046-2" u="1"/>
        <s v="1-1459039-3" u="1"/>
        <s v="1-1449671-2" u="1"/>
        <s v="1-1461652-2" u="1"/>
        <s v="1-1485844-2" u="1"/>
        <s v="1-1447239-2" u="1"/>
        <s v="1-1463045-2" u="1"/>
        <s v="1-1470499-5" u="1"/>
        <s v="1-1483044-2" u="1"/>
        <s v="1-1481926-20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507348-1" u="1"/>
        <s v="1-1429048-7" u="1"/>
        <s v="1-1445946-2" u="1"/>
        <s v="1-1487337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72639-13" u="1"/>
        <s v="1-1441853-2" u="1"/>
        <s v="1-1449471-4" u="1"/>
        <s v="10-1465790-5" u="1"/>
        <s v="1-1463245-2" u="1"/>
        <s v="1-1467070-2" u="1"/>
        <s v="1-1467238-3" u="1"/>
        <s v="1-1470899-4" u="1"/>
        <s v="1-1487237-3" u="1"/>
        <s v="10-1451510-4" u="1"/>
        <s v="1-1473752-3" u="1"/>
        <s v="1-1505863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49971-2" u="1"/>
        <s v="1-1461952-2" u="1"/>
        <s v="1-1487537-2" u="1"/>
        <s v="1-1505163-6" u="1"/>
        <s v="12-1475036-3" u="1"/>
        <s v="1-1435171-2" u="1"/>
        <s v="1-1435447-2" u="1"/>
        <s v="1-1459239-4" u="1"/>
        <s v="1-1479070-3" u="1"/>
        <s v="1-1495444-2" u="1"/>
        <s v="1-1507080-2" u="1"/>
        <s v="1-1507356-2" u="1"/>
        <s v="1-1480699-2" u="1"/>
        <s v="1-1467438-3" u="1"/>
        <s v="1-1467638-2" u="1"/>
        <s v="1-1483444-2" u="1"/>
        <s v="10-1475641-3" u="1"/>
        <s v="1-1437747-5" u="1"/>
        <s v="1-1501870-2" u="1"/>
        <s v="12-1482899-2" u="1"/>
        <s v="1-1435471-1" u="1"/>
        <s v="1-1439172-3" u="1"/>
        <s v="1-1459739-2" u="1"/>
        <s v="1-1475545-2" u="1"/>
        <s v="1-1499137-5" u="1"/>
        <s v="1-1480799-2" u="1"/>
        <s v="1-1493036-1" u="1"/>
        <s v="1-1447739-2" u="1"/>
        <s v="1-1505763-4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0-1459390-3" u="1"/>
        <s v="1-1445039-2" u="1"/>
        <s v="1-1485037-2" u="1"/>
        <s v="1-1501070-7" u="1"/>
        <s v="1-1427947-10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472-2" u="1"/>
        <s v="1-1507856-1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507848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67557-17" u="1"/>
        <s v="10-1458910-2" u="1"/>
        <s v="1-1481144-2" u="1"/>
        <s v="1-1485337-2" u="1"/>
        <s v="1-1505763-6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506600-2" u="1"/>
        <s v="1-1443646-4" u="1"/>
        <s v="1-1447839-4" u="1"/>
        <s v="1-1470899-8" u="1"/>
        <s v="1-1441246-2" u="1"/>
        <s v="1-1465070-2" u="1"/>
        <s v="1-1481244-2" u="1"/>
        <s v="1-1435671-3" u="1"/>
        <s v="1-1455470-4" u="1"/>
        <s v="11-1431373-2" u="1"/>
        <s v="12-1497178-2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-1505763-7" u="1"/>
        <s v="10-1494623-4" u="1"/>
        <s v="1-1435371-5" u="1"/>
        <s v="1-1491819-5" u="1"/>
        <s v="12-1497166-2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99137-10" u="1"/>
        <s v="1-1443039-1" u="1"/>
        <s v="1-1455470-5" u="1"/>
        <s v="1-1455870-3" u="1"/>
        <s v="1-1499137-9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6500-4" u="1"/>
        <s v="1-1441070-3" u="1"/>
        <s v="1-1449564-2" u="1"/>
        <s v="1-1481144-4" u="1"/>
        <s v="1-1485337-4" u="1"/>
        <s v="10-1455705-4" u="1"/>
        <s v="12-1485903-3" u="1"/>
        <s v="1-1433539-3" u="1"/>
        <s v="1-1433739-2" u="1"/>
        <s v="1-1453370-2" u="1"/>
        <s v="1-1457363-3" u="1"/>
        <s v="1-1493536-3" u="1"/>
        <s v="1-1493736-2" u="1"/>
        <s v="1-1497929-2" u="1"/>
        <s v="1-1502786-12" u="1"/>
      </sharedItems>
    </cacheField>
    <cacheField name="Anunciante" numFmtId="0">
      <sharedItems/>
    </cacheField>
    <cacheField name="Cod. Neg." numFmtId="0">
      <sharedItems containsBlank="1" count="8000">
        <m/>
        <s v="290023 1"/>
        <s v="283847"/>
        <s v="003"/>
        <s v="56549."/>
        <s v="289898923"/>
        <s v="082023colsa"/>
        <s v="285421"/>
        <s v="&gt;PENDIENTE&lt;"/>
        <s v="285420"/>
        <s v="285473"/>
        <s v="259641Julio"/>
        <s v="284827"/>
        <s v="269799.26"/>
        <s v="283848"/>
        <s v="285466"/>
        <s v="260723+."/>
        <s v="020823Q"/>
        <s v="6532"/>
        <s v="210323"/>
        <s v="2023-53480"/>
        <s v="2082023"/>
        <s v="6163"/>
        <s v="285472"/>
        <s v="125632"/>
        <s v="0208.2023"/>
        <s v="285485"/>
        <s v="285486"/>
        <s v="285487"/>
        <s v="285488"/>
        <s v="285489"/>
        <s v="284436"/>
        <s v="020823lm"/>
        <s v="020823SEN"/>
        <s v="285484"/>
        <s v="285251"/>
        <s v="284437"/>
        <s v="274596 8"/>
        <s v="279201" u="1"/>
        <s v="070522 LT" u="1"/>
        <s v="30/06/22" u="1"/>
        <s v="110922 BMP" u="1"/>
        <s v="092020 JUJUY FM" u="1"/>
        <s v="029032.mayo" u="1"/>
        <s v="29090 1 1 10" u="1"/>
        <s v="258-1" u="1"/>
        <s v="250422.." u="1"/>
        <s v="290923 1 enero.1" u="1"/>
        <s v="08042022" u="1"/>
        <s v="24032022" u="1"/>
        <s v="24072020" u="1"/>
        <s v="02042021 UNJU" u="1"/>
        <s v="12072020" u="1"/>
        <s v="289381 11" u="1"/>
        <s v="36251" u="1"/>
        <s v="24261221" u="1"/>
        <s v="010722UEJ" u="1"/>
        <s v="BM09/2020" u="1"/>
        <s v="300421 cdJ" u="1"/>
        <s v="102021b2" u="1"/>
        <s v="0536" u="1"/>
        <s v="274586 5" u="1"/>
        <s v="030223" u="1"/>
        <s v="17-0422" u="1"/>
        <s v="290903pokg" u="1"/>
        <s v="97989 2309 1" u="1"/>
        <s v="noviembre.autocor.1" u="1"/>
        <s v="2956" u="1"/>
        <s v="191221" u="1"/>
        <s v="271122 8" u="1"/>
        <s v="mar22" u="1"/>
        <s v="8 marzo" u="1"/>
        <s v="274327" u="1"/>
        <s v="277087" u="1"/>
        <s v="2902021" u="1"/>
        <s v="278179" u="1"/>
        <s v="27909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2902022" u="1"/>
        <s v="234512 6" u="1"/>
        <s v="278820 1 113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17102020" u="1"/>
        <s v="20901920 12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0510202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29090 120" u="1"/>
        <s v="VSJ3007-21" u="1"/>
        <s v="11799" u="1"/>
        <s v="122772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103062022" u="1"/>
        <s v="2762031" u="1"/>
        <s v="0705/052021" u="1"/>
        <s v="279211" u="1"/>
        <s v="279303" u="1"/>
        <s v="282930" u="1"/>
        <s v="010821Mq" u="1"/>
        <s v="274454 AGOSTO20" u="1"/>
        <s v="24128" u="1"/>
        <s v="1792020" u="1"/>
        <s v="11222.cm." u="1"/>
        <s v="UCA012021" u="1"/>
        <s v="2180462" u="1"/>
        <s v="sept221" u="1"/>
        <s v="032021 JUJUY FM" u="1"/>
        <s v="052020 JUJUY FM" u="1"/>
        <s v="258-2" u="1"/>
        <s v="269751." u="1"/>
        <s v="3004EX/2022" u="1"/>
        <s v="28082020" u="1"/>
        <s v="300420211" u="1"/>
        <s v="33336..42" u="1"/>
        <s v="0322/14" u="1"/>
        <s v="1524FPJ" u="1"/>
        <s v="sept222" u="1"/>
        <s v="16062021" u="1"/>
        <s v="16082020" u="1"/>
        <s v="190290 6" u="1"/>
        <s v="2febrero.pensas." u="1"/>
        <s v="20052021" u="1"/>
        <s v="20072020" u="1"/>
        <s v="170822 cdJpSAB" u="1"/>
        <s v="DON TEOFILO APARICIO" u="1"/>
        <s v="062020nov" u="1"/>
        <s v="31122022LGSM" u="1"/>
        <s v="5345" u="1"/>
        <s v="128932" u="1"/>
        <s v="250222" u="1"/>
        <s v="270313" u="1"/>
        <s v="17-0522" u="1"/>
        <s v="8965" u="1"/>
        <s v="130222" u="1"/>
        <s v="20635" u="1"/>
        <s v="mar23" u="1"/>
        <s v="010222" u="1"/>
        <s v="030405" u="1"/>
        <s v="238989 23" u="1"/>
        <s v="4966" u="1"/>
        <s v="151221" u="1"/>
        <s v="2901231 1" u="1"/>
        <s v="031221" u="1"/>
        <s v="2090 20 932" u="1"/>
        <s v="2590923 marzo" u="1"/>
        <s v="9384" u="1"/>
        <s v="280988" u="1"/>
        <s v="280108 1121" u="1"/>
        <s v="154325" u="1"/>
        <s v="5632 1" u="1"/>
        <s v="01/2021" u="1"/>
        <s v="1W" u="1"/>
        <s v="278177" u="1"/>
        <s v="279189" u="1"/>
        <s v="280792" u="1"/>
        <s v="280884" u="1"/>
        <s v="280976" u="1"/>
        <s v="281988" u="1"/>
        <s v="8MARZO" u="1"/>
        <s v="2586" u="1"/>
        <s v="Centro de Jubilados Pensionados de Yut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2828667" u="1"/>
        <s v="82989 23" u="1"/>
        <s v="dic20124" u="1"/>
        <s v="26 abril 202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VSJ3007-20" u="1"/>
        <s v="300921" u="1"/>
        <s v="2762131" u="1"/>
        <s v="28280471" u="1"/>
        <s v="279221" u="1"/>
        <s v="279313" u="1"/>
        <s v="279405" u="1"/>
        <s v="282940" u="1"/>
        <s v="283952" u="1"/>
        <s v="281022 5" u="1"/>
        <s v="273648 0421" u="1"/>
        <s v="2898220 enero.." u="1"/>
        <s v="2762011" u="1"/>
        <s v="279301" u="1"/>
        <s v="070622 LT" u="1"/>
        <s v="jun2022dp" u="1"/>
        <s v="08247" u="1"/>
        <s v="269082 23" u="1"/>
        <s v="4516" u="1"/>
        <s v="36529" u="1"/>
        <s v="08032023" u="1"/>
        <s v="08072021" u="1"/>
        <s v="08092020" u="1"/>
        <s v="12082020" u="1"/>
        <s v="4526" u="1"/>
        <s v="12345" u="1"/>
        <s v="123231 13 1" u="1"/>
        <s v="2029001" u="1"/>
        <s v="12122023" u="1"/>
        <s v="2656563 3" u="1"/>
        <s v="9781 ABRIL 2021" u="1"/>
        <s v="4536" u="1"/>
        <s v="120622 cdJ" u="1"/>
        <s v="9755" u="1"/>
        <s v="4546" u="1"/>
        <s v="190321" u="1"/>
        <s v="5756" u="1"/>
        <s v="030323" u="1"/>
        <s v="050322" u="1"/>
        <s v="290020 1" u="1"/>
        <s v="sep20 1" u="1"/>
        <s v="190290 2023" u="1"/>
        <s v="4566" u="1"/>
        <s v="5786" u="1"/>
        <s v="279199" u="1"/>
        <s v="280894" u="1"/>
        <s v="280986" u="1"/>
        <s v="sep20 2" u="1"/>
        <s v="4586" u="1"/>
        <s v="24 07 2022 mercado" u="1"/>
        <s v="080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3333642." u="1"/>
        <s v="08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9112020" u="1"/>
        <s v="17112020" u="1"/>
        <s v="271120200" u="1"/>
        <s v="082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21102020" u="1"/>
        <s v="083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103062023" u="1"/>
        <s v="IIIU1" u="1"/>
        <s v="084" u="1"/>
        <s v="279231" u="1"/>
        <s v="279323" u="1"/>
        <s v="279415" u="1"/>
        <s v="279507" u="1"/>
        <s v="282950" u="1"/>
        <s v="283962" u="1"/>
        <s v="31122021m" u="1"/>
        <s v="2762111" u="1"/>
        <s v="6MARZO2" u="1"/>
        <s v="17octubre" u="1"/>
        <s v="080321MSSJ" u="1"/>
        <s v="085" u="1"/>
        <s v="279311" u="1"/>
        <s v="279403" u="1"/>
        <s v="28066421" u="1"/>
        <s v="92002093" u="1"/>
        <s v="109021 1 agosto" u="1"/>
        <s v="185615185" u="1"/>
        <s v="19072021CAB" u="1"/>
        <s v="97989 marzo.2" u="1"/>
        <s v="56329" u="1"/>
        <s v="1115/052021" u="1"/>
        <s v="029032.marzo." u="1"/>
        <s v="282413- 01-23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0903290 2" u="1"/>
        <s v="1706senco" u="1"/>
        <s v="BGT" u="1"/>
        <s v="09209032 100" u="1"/>
        <s v="011222." u="1"/>
        <s v="200622 cdJ" u="1"/>
        <s v="carp. metalurg. 25feb" u="1"/>
        <s v="8956" u="1"/>
        <s v="9090 23" u="1"/>
        <s v="390221 15noviembre" u="1"/>
        <s v="5346" u="1"/>
        <s v="250322" u="1"/>
        <s v="2898892 1" u="1"/>
        <s v="130322" u="1"/>
        <s v="28151700 2" u="1"/>
        <s v="278674 1276" u="1"/>
        <s v="311221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80984" u="1"/>
        <s v="275488 0520" u="1"/>
        <s v="0920902navas112" u="1"/>
        <s v="12" u="1"/>
        <s v="160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161" u="1"/>
        <s v="092091 121 1" u="1"/>
        <s v="dic2020 ingreso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09122020" u="1"/>
        <s v="162" u="1"/>
        <s v="26102021 1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01112020" u="1"/>
        <s v="163" u="1"/>
        <s v="I" u="1"/>
        <s v="278505" u="1"/>
        <s v="279425" u="1"/>
        <s v="279517" u="1"/>
        <s v="279609" u="1"/>
        <s v="282960" u="1"/>
        <s v="283972" u="1"/>
        <s v="160922 1" u="1"/>
        <s v="279413" u="1"/>
        <s v="279505" u="1"/>
        <s v="283960" u="1"/>
        <s v="25octubre" u="1"/>
        <s v="2791531" u="1"/>
        <s v="279401" u="1"/>
        <s v="281086 124" u="1"/>
        <s v="090722JujjBAN" u="1"/>
        <s v="290 1892-1dici." u="1"/>
        <s v="7782383" u="1"/>
        <s v="43090093 202" u="1"/>
        <s v="239090 230" u="1"/>
        <s v="26112021ujj" u="1"/>
        <s v="4517" u="1"/>
        <s v="289892" u="1"/>
        <s v="08082021" u="1"/>
        <s v="24092020" u="1"/>
        <s v="uca abril22" u="1"/>
        <s v="12072021" u="1"/>
        <s v="12092020" u="1"/>
        <s v="12355" u="1"/>
        <s v="082022colsa" u="1"/>
        <s v="5737" u="1"/>
        <s v="24547" u="1"/>
        <s v="76553" u="1"/>
        <s v="209090 3" u="1"/>
        <s v="102021b3" u="1"/>
        <s v="3904893 33 123" u="1"/>
        <s v="97989 mayo 2022" u="1"/>
        <s v="4547" u="1"/>
        <s v="12371" u="1"/>
        <s v="154287" u="1"/>
        <s v="274586 6" u="1"/>
        <s v="jul  2020" u="1"/>
        <s v="281517 - ag 2022" u="1"/>
        <s v="4557" u="1"/>
        <s v="2701511" u="1"/>
        <s v="271122 9" u="1"/>
        <s v="259640 agosto" u="1"/>
        <s v="00563" u="1"/>
        <s v="20562" u="1"/>
        <s v="6047." u="1"/>
        <s v="010722CJC" u="1"/>
        <s v="300422 SSD" u="1"/>
        <s v="56" u="1"/>
        <s v="0112200" u="1"/>
        <s v="279299" u="1"/>
        <s v="280994" u="1"/>
        <s v="299298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0982" u="1"/>
        <s v="281994" u="1"/>
        <s v="29082021 BIS" u="1"/>
        <s v="/./" u="1"/>
        <s v="25000" u="1"/>
        <s v="234512 7" u="1"/>
        <s v="0200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2970" u="1"/>
        <s v="123" u="1"/>
        <s v="364" u="1"/>
        <s v="278503" u="1"/>
        <s v="279331" u="1"/>
        <s v="279423" u="1"/>
        <s v="279515" u="1"/>
        <s v="279607" u="1"/>
        <s v="283970" u="1"/>
        <s v="FEB2021 FM SOL" u="1"/>
        <s v="365" u="1"/>
        <s v="16062002" u="1"/>
        <s v="004" u="1"/>
        <s v="202950" u="1"/>
        <s v="279411" u="1"/>
        <s v="279503" u="1"/>
        <s v="05042022PKM819" u="1"/>
        <s v="060802020" u="1"/>
        <s v="789/07/2021" u="1"/>
        <s v="005" u="1"/>
        <s v="82929982" u="1"/>
        <s v="34900 230" u="1"/>
        <s v="102020 FM SOL" u="1"/>
        <s v="006" u="1"/>
        <s v="2090 101" u="1"/>
        <s v="007" u="1"/>
        <s v="489" u="1"/>
        <s v="12164" u="1"/>
        <s v="150123.1" u="1"/>
        <s v="0903290 3" u="1"/>
        <s v="008" u="1"/>
        <s v="249" u="1"/>
        <s v="4117" u="1"/>
        <s v="04082021" u="1"/>
        <s v="24364" u="1"/>
        <s v="272469" u="1"/>
        <s v="009" u="1"/>
        <s v="28291221" u="1"/>
        <s v="022023colsa" u="1"/>
        <s v="042022colsa" u="1"/>
        <s v="3090232octubre." u="1"/>
        <s v="43898293 3kkdho" u="1"/>
        <s v="274596 6" u="1"/>
        <s v="24748" u="1"/>
        <s v="48848" u="1"/>
        <s v="190//2022" u="1"/>
        <s v="029203092323" u="1"/>
        <s v="130422" u="1"/>
        <s v="151617" u="1"/>
        <s v="01082021ujU" u="1"/>
        <s v="5357" u="1"/>
        <s v="24664" u="1"/>
        <s v="010422" u="1"/>
        <s v="296388" u="1"/>
        <s v="CTX 2022" u="1"/>
        <s v="277652 MY20" u="1"/>
        <s v="MSSJ 17/2/23" u="1"/>
        <s v="290902NOVIEMBRE.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25001" u="1"/>
        <s v="UCA300420" u="1"/>
        <s v="240,322FMS" u="1"/>
        <s v="441" u="1"/>
        <s v="279193" u="1"/>
        <s v="279285" u="1"/>
        <s v="279377" u="1"/>
        <s v="279469" u="1"/>
        <s v="280980" u="1"/>
        <s v="281992" u="1"/>
        <s v="29020221" u="1"/>
        <s v="562" u="1"/>
        <s v="2598" u="1"/>
        <s v="2223052021" u="1"/>
        <s v="278537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01102021" u="1"/>
        <s v="01122020" u="1"/>
        <s v="273648 0621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290023 200 2" u="1"/>
        <s v="ejesa14marzo.convoc" u="1"/>
        <s v="278501" u="1"/>
        <s v="279513" u="1"/>
        <s v="279605" u="1"/>
        <s v="281022 6" u="1"/>
        <s v="3849923 14a" u="1"/>
        <s v="309020DNOVIIEMBR3" u="1"/>
        <s v="446" u="1"/>
        <s v="279501" u="1"/>
        <s v="29091 9 mayo" u="1"/>
        <s v="326" u="1"/>
        <s v="21092020Z" u="1"/>
        <s v="029032. ag" u="1"/>
        <s v="23080612020" u="1"/>
        <s v="328996" u="1"/>
        <s v="20900 23" u="1"/>
        <s v="448" u="1"/>
        <s v="2901891 2" u="1"/>
        <s v="24357" u="1"/>
        <s v="170422." u="1"/>
        <s v="4518" u="1"/>
        <s v="08092021" u="1"/>
        <s v="jljls0293" u="1"/>
        <s v="6532-01-23" u="1"/>
        <s v="00265" u="1"/>
        <s v="272479" u="1"/>
        <s v="12062022" u="1"/>
        <s v="00010112022 01" u="1"/>
        <s v="76555" u="1"/>
        <s v="281528 021" u="1"/>
        <s v="27 febrero 2022.mercado" u="1"/>
        <s v="19221TN" u="1"/>
        <s v="122022colsa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19 marzo 2022.mercado" u="1"/>
        <s v="4568" u="1"/>
        <s v="19072021pF" u="1"/>
        <s v="111222 10" u="1"/>
        <s v="UCA070520" u="1"/>
        <s v="275719" u="1"/>
        <s v="279399" u="1"/>
        <s v="3939023 321" u="1"/>
        <s v="8910131/10/21" u="1"/>
        <s v="25002" u="1"/>
        <s v="5798" u="1"/>
        <s v="275707" u="1"/>
        <s v="276351" u="1"/>
        <s v="278559" u="1"/>
        <s v="279295" u="1"/>
        <s v="279387" u="1"/>
        <s v="279479" u="1"/>
        <s v="280990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21102021" u="1"/>
        <s v="." u="1"/>
        <s v="523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190290 100901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070521 ME" u="1"/>
        <s v="526" u="1"/>
        <s v="25510" u="1"/>
        <s v="283009" u="1"/>
        <s v="280922a" u="1"/>
        <s v="76256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020422 CM2022" u="1"/>
        <s v="20365" u="1"/>
        <s v="272477" u="1"/>
        <s v="2909018 109" u="1"/>
        <s v="19diciembr smg.1" u="1"/>
        <s v="12282" u="1"/>
        <s v="160922c" u="1"/>
        <s v="281528 020" u="1"/>
        <s v="12566" u="1"/>
        <s v="03221TN" u="1"/>
        <s v="312019 R" u="1"/>
        <s v="289009" u="1"/>
        <s v="130522" u="1"/>
        <s v="152361" u="1"/>
        <s v="170520" u="1"/>
        <s v="333364" u="1"/>
        <s v="323423423" u="1"/>
        <s v="24858" u="1"/>
        <s v="29089 112" u="1"/>
        <s v="20902 1012 1n" u="1"/>
        <s v="27009 1 octubre" u="1"/>
        <s v="27 marzo 2022.mercado" u="1"/>
        <s v="274453" u="1"/>
        <s v="311222 10" u="1"/>
        <s v="273648 0720" u="1"/>
        <s v="5378" u="1"/>
        <s v="JMPIR29-12" u="1"/>
        <s v="25003" u="1"/>
        <s v="158489" u="1"/>
        <s v="MSSJ 18/3/23" u="1"/>
        <s v="275717" u="1"/>
        <s v="278385" u="1"/>
        <s v="278569" u="1"/>
        <s v="279489" u="1"/>
        <s v="28151709 29 02" u="1"/>
        <s v="6598" u="1"/>
        <s v="00279060" u="1"/>
        <s v="UCA240520" u="1"/>
        <s v="20973" u="1"/>
        <s v="275705" u="1"/>
        <s v="278373" u="1"/>
        <s v="278557" u="1"/>
        <s v="279293" u="1"/>
        <s v="279385" u="1"/>
        <s v="279477" u="1"/>
        <s v="279569" u="1"/>
        <s v="294600" u="1"/>
        <s v="190290 10201" u="1"/>
        <s v="5821" u="1"/>
        <s v="3456 4" u="1"/>
        <s v="2752852" u="1"/>
        <s v="071120211" u="1"/>
        <s v="279752 1232" u="1"/>
        <s v="278545" u="1"/>
        <s v="278637" u="1"/>
        <s v="278729" u="1"/>
        <s v="279281" u="1"/>
        <s v="279373" u="1"/>
        <s v="279465" u="1"/>
        <s v="279557" u="1"/>
        <s v="NOV2020 K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19072021UN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010821 LT" u="1"/>
        <s v="2563N" u="1"/>
        <s v="020821Q" u="1"/>
        <s v="4509" u="1"/>
        <s v="290092 1" u="1"/>
        <s v="ENE22" u="1"/>
        <s v="24092021" u="1"/>
        <s v="5090" u="1"/>
        <s v="28292" u="1"/>
        <s v="12092021" u="1"/>
        <s v="13-11-2022m" u="1"/>
        <s v="5739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231222 11" u="1"/>
        <s v="111222 11" u="1"/>
        <s v="118921 AGOSTO" u="1"/>
        <s v="4569" u="1"/>
        <s v="0326./." u="1"/>
        <s v="0902802" u="1"/>
        <s v="274454 29JUN20" u="1"/>
        <s v="275739" u="1"/>
        <s v="marz/22" u="1"/>
        <s v="45/11" u="1"/>
        <s v="274531" u="1"/>
        <s v="275727" u="1"/>
        <s v="277659" u="1"/>
        <s v="278579" u="1"/>
        <s v="27949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dic.. GH - CONST" u="1"/>
        <s v="2" u="1"/>
        <s v="25120" u="1"/>
        <s v="280029" u="1"/>
        <s v="17122021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5504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69" u="1"/>
        <s v="282005" u="1"/>
        <s v="283017" u="1"/>
        <s v="283109" u="1"/>
        <s v="2584562" u="1"/>
        <s v="273648 3004" u="1"/>
        <s v="27009 1 sept" u="1"/>
        <s v="57711" u="1"/>
        <s v="49930 23 1" u="1"/>
        <s v="283005" u="1"/>
        <s v="92309023" u="1"/>
        <s v="2090 102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abr21" u="1"/>
        <s v="290090 1" u="1"/>
        <s v="300422 CM2022" u="1"/>
        <s v="109021 29 agosto" u="1"/>
        <s v="6539" u="1"/>
        <s v="3902839" u="1"/>
        <s v="mar2022 ICADE" u="1"/>
        <s v="289029" u="1"/>
        <s v="274596 7" u="1"/>
        <s v="2898919 1" u="1"/>
        <s v="29091 28 agosto" u="1"/>
        <s v="170620" u="1"/>
        <s v="178822 1 2 1" u="1"/>
        <s v="010622" u="1"/>
        <s v="050620" u="1"/>
        <s v="311222 11" u="1"/>
        <s v="273648 0820" u="1"/>
        <s v="AG020820" u="1"/>
        <s v="2718091" u="1"/>
        <s v="277669" u="1"/>
        <s v="278589" u="1"/>
        <s v="3333641" u="1"/>
        <s v="56983" u="1"/>
        <s v="072020 30" u="1"/>
        <s v="275725" u="1"/>
        <s v="278577" u="1"/>
        <s v="278669" u="1"/>
        <s v="279589" u="1"/>
        <s v="11/22 ACERO" u="1"/>
        <s v="275713" u="1"/>
        <s v="278565" u="1"/>
        <s v="278657" u="1"/>
        <s v="279393" u="1"/>
        <s v="279485" u="1"/>
        <s v="279577" u="1"/>
        <s v="279669" u="1"/>
        <s v="3333642" u="1"/>
        <s v="09032021" u="1"/>
        <s v="23202112" u="1"/>
        <s v="25022021" u="1"/>
        <s v="12.03.23F" u="1"/>
        <s v="239092dic.embre" u="1"/>
        <s v="21204" u="1"/>
        <s v="280039" u="1"/>
        <s v="2022Diciembre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278701" u="1"/>
        <s v="279713" u="1"/>
        <s v="279805" u="1"/>
        <s v="281022 7" u="1"/>
        <s v="01-2023MSP" u="1"/>
        <s v="029032. sep1" u="1"/>
        <s v="2552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3082021TN" u="1"/>
        <s v="20672022 jul/ago" u="1"/>
        <s v="283003" u="1"/>
        <s v="76467" u="1"/>
        <s v="390911 ju 2022" u="1"/>
        <s v="5081" u="1"/>
        <s v="5892" u="1"/>
        <s v="9090" u="1"/>
        <s v="25821" u="1"/>
        <s v="290192 1" u="1"/>
        <s v="333363gu" u="1"/>
        <s v="290920 mayo9" u="1"/>
        <s v="205007" u="1"/>
        <s v="00293" u="1"/>
        <s v="29090 9811" u="1"/>
        <s v="290901 1octubre" u="1"/>
        <s v="032022GH" u="1"/>
        <s v="170722" u="1"/>
        <s v="02/09/2021" u="1"/>
        <s v="209019" u="1"/>
        <s v="4899 099 23" u="1"/>
        <s v="MAY" u="1"/>
        <s v="8NOV 390902" u="1"/>
        <s v="275759" u="1"/>
        <s v="28082020 pg9" u="1"/>
        <s v="0327./." u="1"/>
        <s v="09083RLCD" u="1"/>
        <s v="275747" u="1"/>
        <s v="277679" u="1"/>
        <s v="278599" u="1"/>
        <s v="277348 12" u="1"/>
        <s v="34234 24323" u="1"/>
        <s v="277667" u="1"/>
        <s v="278587" u="1"/>
        <s v="278679" u="1"/>
        <s v="279599" u="1"/>
        <s v="311222LED" u="1"/>
        <s v="10 octubre" u="1"/>
        <s v="190422Jujj" u="1"/>
        <s v="3838727 3" u="1"/>
        <s v="31072./2..." u="1"/>
        <s v="275723" u="1"/>
        <s v="278575" u="1"/>
        <s v="278667" u="1"/>
        <s v="278759" u="1"/>
        <s v="279495" u="1"/>
        <s v="279587" u="1"/>
        <s v="279679" u="1"/>
        <s v="4389309 231" u="1"/>
        <s v="5412" u="1"/>
        <s v="280049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796377" u="1"/>
        <s v="21022021" u="1"/>
        <s v="21213" u="1"/>
        <s v="280037" u="1"/>
        <s v="280129" u="1"/>
        <s v="281049" u="1"/>
        <s v="299091 281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65320" u="1"/>
        <s v="280025" u="1"/>
        <s v="280117" u="1"/>
        <s v="280209" u="1"/>
        <s v="281037" u="1"/>
        <s v="282049" u="1"/>
        <s v="oct GH" u="1"/>
        <s v="2793951" u="1"/>
        <s v="2795791" u="1"/>
        <s v="281222HS" u="1"/>
        <s v="277324 20" u="1"/>
        <s v="04-2022 jujuy FM" u="1"/>
        <s v="278631" u="1"/>
        <s v="278723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MSSJ 2528/11/20221" u="1"/>
        <s v="5442" u="1"/>
        <s v="280013" u="1"/>
        <s v="280105" u="1"/>
        <s v="281025" u="1"/>
        <s v="281117" u="1"/>
        <s v="282037" u="1"/>
        <s v="282129" u="1"/>
        <s v="283049" u="1"/>
        <s v="2795671" u="1"/>
        <s v="278711" u="1"/>
        <s v="278803" u="1"/>
        <s v="279631" u="1"/>
        <s v="279723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12078" u="1"/>
        <s v="279711" u="1"/>
        <s v="279803" u="1"/>
        <s v="25622" u="1"/>
        <s v="282013" u="1"/>
        <s v="282105" u="1"/>
        <s v="283025" u="1"/>
        <s v="283117" u="1"/>
        <s v="52W" u="1"/>
        <s v="25630" u="1"/>
        <s v="282001" u="1"/>
        <s v="283013" u="1"/>
        <s v="283105" u="1"/>
        <s v="4272" u="1"/>
        <s v="5482" u="1"/>
        <s v="283001" u="1"/>
        <s v="290190 1" u="1"/>
        <s v="273648 3105" u="1"/>
        <s v="20569" u="1"/>
        <s v="274454 dic20" u="1"/>
        <s v="AÑO2021" u="1"/>
        <s v="274769" u="1"/>
        <s v="311222 12" u="1"/>
        <s v="273648 0920" u="1"/>
        <s v="20672022 jun" u="1"/>
        <s v="2090203 12 1" u="1"/>
        <s v="MSSJ20/06/2022" u="1"/>
        <s v="24786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0622 1021" u="1"/>
        <s v="1020321 MARZO" u="1"/>
        <s v="275733" u="1"/>
        <s v="277665" u="1"/>
        <s v="278585" u="1"/>
        <s v="278677" u="1"/>
        <s v="278769" u="1"/>
        <s v="279689" u="1"/>
        <s v="280059" u="1"/>
        <s v="00279061" u="1"/>
        <s v="0604" u="1"/>
        <s v="278573" u="1"/>
        <s v="278665" u="1"/>
        <s v="278757" u="1"/>
        <s v="279493" u="1"/>
        <s v="279585" u="1"/>
        <s v="279677" u="1"/>
        <s v="279769" u="1"/>
        <s v="09042021" u="1"/>
        <s v="25052020" u="1"/>
        <s v="271701 JUN" u="1"/>
        <s v="280139" u="1"/>
        <s v="281059" u="1"/>
        <s v="092091 121 2" u="1"/>
        <s v="290090 20 23" u="1"/>
        <s v="sep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3febrero" u="1"/>
        <s v="97989 1en.ero." u="1"/>
        <s v="65321" u="1"/>
        <s v="280035" u="1"/>
        <s v="280127" u="1"/>
        <s v="280219" u="1"/>
        <s v="281139" u="1"/>
        <s v="282059" u="1"/>
        <s v="2795891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80023" u="1"/>
        <s v="280115" u="1"/>
        <s v="280207" u="1"/>
        <s v="281035" u="1"/>
        <s v="281127" u="1"/>
        <s v="282139" u="1"/>
        <s v="283059" u="1"/>
        <s v="2795771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035" u="1"/>
        <s v="282127" u="1"/>
        <s v="283139" u="1"/>
        <s v="2795651" u="1"/>
        <s v="16diciembre jumi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035" u="1"/>
        <s v="283127" u="1"/>
        <s v="2795531" u="1"/>
        <s v="2253" u="1"/>
        <s v="279801" u="1"/>
        <s v="062022" u="1"/>
        <s v="082021" u="1"/>
        <s v="282011" u="1"/>
        <s v="282103" u="1"/>
        <s v="283023" u="1"/>
        <s v="283115" u="1"/>
        <s v="283207" u="1"/>
        <s v="277326 11 1" u="1"/>
        <s v="283011" u="1"/>
        <s v="284115" u="1"/>
        <s v="JMPIR29-122" u="1"/>
        <s v="38923849 4spt" u="1"/>
        <s v="9091" u="1"/>
        <s v="29840" u="1"/>
        <s v="12092022" u="1"/>
        <s v="190290 10" u="1"/>
        <s v="2627/12/22." u="1"/>
        <s v="010822 cdJpACHA" u="1"/>
        <s v="2805500 11" u="1"/>
        <s v="274779" u="1"/>
        <s v="290822" u="1"/>
        <s v="170822" u="1"/>
        <s v="190821" u="1"/>
        <s v="274586 8" u="1"/>
        <s v="mar18.23" u="1"/>
        <s v="280908 101" u="1"/>
        <s v="050822" u="1"/>
        <s v="289009 1" u="1"/>
        <s v="290520 1" u="1"/>
        <s v="29081998" u="1"/>
        <s v="2903902" u="1"/>
        <s v="277699" u="1"/>
        <s v="09019021" u="1"/>
        <s v="25016" u="1"/>
        <s v="277687" u="1"/>
        <s v="278699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79699" u="1"/>
        <s v="280069" u="1"/>
        <s v="0222 1021" u="1"/>
        <s v="06081221 5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0149" u="1"/>
        <s v="281069" u="1"/>
        <s v="17042021" u="1"/>
        <s v="UHYG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795991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279465 1" u="1"/>
        <s v="080120 1212 1" u="1"/>
        <s v="280125" u="1"/>
        <s v="280217" u="1"/>
        <s v="280309" u="1"/>
        <s v="281045" u="1"/>
        <s v="281137" u="1"/>
        <s v="282057" u="1"/>
        <s v="282149" u="1"/>
        <s v="283069" u="1"/>
        <s v="2795871" u="1"/>
        <s v="278731" u="1"/>
        <s v="278823" u="1"/>
        <s v="278915" u="1"/>
        <s v="279651" u="1"/>
        <s v="279743" u="1"/>
        <s v="279927" u="1"/>
        <s v="20 diciembre" u="1"/>
        <s v="2534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795751" u="1"/>
        <s v="278811" u="1"/>
        <s v="278903" u="1"/>
        <s v="279731" u="1"/>
        <s v="279823" u="1"/>
        <s v="279915" u="1"/>
        <s v="1 SEPTIEMBRE VENTAS" u="1"/>
        <s v="261022" u="1"/>
        <s v="280101" u="1"/>
        <s v="281021" u="1"/>
        <s v="281113" u="1"/>
        <s v="282125" u="1"/>
        <s v="283045" u="1"/>
        <s v="283137" u="1"/>
        <s v="283229" u="1"/>
        <s v="2795631" u="1"/>
        <s v="2654" u="1"/>
        <s v="141022" u="1"/>
        <s v="279811" u="1"/>
        <s v="279903" u="1"/>
        <s v="303038" u="1"/>
        <s v="7062" u="1"/>
        <s v="25632" u="1"/>
        <s v="021022" u="1"/>
        <s v="281101" u="1"/>
        <s v="282113" u="1"/>
        <s v="282205" u="1"/>
        <s v="283125" u="1"/>
        <s v="2795511" u="1"/>
        <s v="novPE/21" u="1"/>
        <s v="73905" u="1"/>
        <s v="29002 31" u="1"/>
        <s v="25640" u="1"/>
        <s v="022022" u="1"/>
        <s v="042021" u="1"/>
        <s v="062020" u="1"/>
        <s v="282101" u="1"/>
        <s v="283021" u="1"/>
        <s v="283113" u="1"/>
        <s v="283205" u="1"/>
        <s v="284309" u="1"/>
        <s v="283007 1" u="1"/>
        <s v="X0921155" u="1"/>
        <s v="2849012 7" u="1"/>
        <s v="239092 feb...1" u="1"/>
        <s v="2010112022 0113" u="1"/>
        <s v="2090 103" u="1"/>
        <s v="5483" u="1"/>
        <s v="283101" u="1"/>
        <s v="26598111" u="1"/>
        <s v="290209 33" u="1"/>
        <s v="CTX 2023 MP" u="1"/>
        <s v="3083" u="1"/>
        <s v="285205" u="1"/>
        <s v="286217" u="1"/>
        <s v="00010112022 022" u="1"/>
        <s v="010722." u="1"/>
        <s v="290321 13" u="1"/>
        <s v="2586m" u="1"/>
        <s v="29093811 1773" u="1"/>
        <s v="02090123" u="1"/>
        <s v="2809201 27" u="1"/>
        <s v="274789" u="1"/>
        <s v="311222 13" u="1"/>
        <s v="19072021SE" u="1"/>
        <s v="010822" u="1"/>
        <s v="28298 29-07-23" u="1"/>
        <s v="noddict GH - CONST" u="1"/>
        <s v="56987" u="1"/>
        <s v="99030232OKD" u="1"/>
        <s v="275765" u="1"/>
        <s v="300421 CM1" u="1"/>
        <s v="280910 1091" u="1"/>
        <s v="278834 12i0" u="1"/>
        <s v="MSSJ 28./12./2022" u="1"/>
        <s v="277685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685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09052021" u="1"/>
        <s v="09072020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8937" u="1"/>
        <s v="279581" u="1"/>
        <s v="279673" u="1"/>
        <s v="279765" u="1"/>
        <s v="279857" u="1"/>
        <s v="01042021" u="1"/>
        <s v="01062020" u="1"/>
        <s v="25425" u="1"/>
        <s v="280043" u="1"/>
        <s v="280135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9200 891" u="1"/>
        <s v="278741" u="1"/>
        <s v="278833" u="1"/>
        <s v="278925" u="1"/>
        <s v="279661" u="1"/>
        <s v="279753" u="1"/>
        <s v="279845" u="1"/>
        <s v="279937" u="1"/>
        <s v="277331 2" u="1"/>
        <s v="279463 1" u="1"/>
        <s v="279751 49101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851" u="1"/>
        <s v="278913" u="1"/>
        <s v="279741" u="1"/>
        <s v="279833" u="1"/>
        <s v="279925" u="1"/>
        <s v="986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731" u="1"/>
        <s v="891011/07/21" u="1"/>
        <s v="mayo 2022 mart. pablo a. lello sanch." u="1"/>
        <s v="278901" u="1"/>
        <s v="279913" u="1"/>
        <s v="MSSJ 12/06/20221" u="1"/>
        <s v="25633" u="1"/>
        <s v="081121" u="1"/>
        <s v="281111" u="1"/>
        <s v="282031" u="1"/>
        <s v="282123" u="1"/>
        <s v="283043" u="1"/>
        <s v="283135" u="1"/>
        <s v="283227" u="1"/>
        <s v="2795611" u="1"/>
        <s v="0902801 112131" u="1"/>
        <s v="121021" u="1"/>
        <s v="141020" u="1"/>
        <s v="201122 7" u="1"/>
        <s v="290 1891 1" u="1"/>
        <s v="282111" u="1"/>
        <s v="282203" u="1"/>
        <s v="283031" u="1"/>
        <s v="283123" u="1"/>
        <s v="284319" u="1"/>
        <s v="250522-1" u="1"/>
        <s v="76479" u="1"/>
        <s v="102022" u="1"/>
        <s v="122021" u="1"/>
        <s v="65923" u="1"/>
        <s v="283111" u="1"/>
        <s v="283203" u="1"/>
        <s v="284307" u="1"/>
        <s v="324207" u="1"/>
        <s v="5894" u="1"/>
        <s v="24397" u="1"/>
        <s v="0820211" u="1"/>
        <s v="97989 321" u="1"/>
        <s v="ANTONIO CARRAZAN 21SEPT" u="1"/>
        <s v="274799" u="1"/>
        <s v="021022cm" u="1"/>
        <s v="290922" u="1"/>
        <s v="190921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78799" u="1"/>
        <s v="232423 2" u="1"/>
        <s v="029032.nov" u="1"/>
        <s v="280089" u="1"/>
        <s v="2909021" u="1"/>
        <s v="17.03.23" u="1"/>
        <s v="278695" u="1"/>
        <s v="278787" u="1"/>
        <s v="279799" u="1"/>
        <s v="012023II" u="1"/>
        <s v="fgtyjtyj" u="1"/>
        <s v="102020oct" u="1"/>
        <s v="212223122021" u="1"/>
        <s v="280077" u="1"/>
        <s v="280169" u="1"/>
        <s v="281089" u="1"/>
        <s v="070622Jujj" u="1"/>
        <s v="277671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0249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671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671" u="1"/>
        <s v="279763" u="1"/>
        <s v="279855" u="1"/>
        <s v="279947" u="1"/>
        <s v="21122022" u="1"/>
        <s v="278137 4" u="1"/>
        <s v="28013 OI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5951" u="1"/>
        <s v="2909023" u="1"/>
        <s v="2635" u="1"/>
        <s v="278831" u="1"/>
        <s v="278923" u="1"/>
        <s v="279751" u="1"/>
        <s v="279843" u="1"/>
        <s v="5444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8911" u="1"/>
        <s v="279831" u="1"/>
        <s v="89899 121" u="1"/>
        <s v="25634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711" u="1"/>
        <s v="2655" u="1"/>
        <s v="73631" u="1"/>
        <s v="121307" u="1"/>
        <s v="279911" u="1"/>
        <s v="301022" u="1"/>
        <s v="24198" u="1"/>
        <s v="262214" u="1"/>
        <s v="282121" u="1"/>
        <s v="283041" u="1"/>
        <s v="284329" u="1"/>
        <s v="2849012 8" u="1"/>
        <s v="2901828 1octubre" u="1"/>
        <s v="283121" u="1"/>
        <s v="284317" u="1"/>
        <s v="060821 cdJ p" u="1"/>
        <s v="123123" u="1"/>
        <s v="28194423" u="1"/>
        <s v="005055" u="1"/>
        <s v="283201" u="1"/>
        <s v="284305" u="1"/>
        <s v="0050498" u="1"/>
        <s v="BMnov22" u="1"/>
        <s v="290321 14" u="1"/>
        <s v="1411021" u="1"/>
        <s v="271917 Nov y Dic" u="1"/>
        <s v="36598" u="1"/>
        <s v="20sept 2021 canal 7" u="1"/>
        <s v="272387 2" u="1"/>
        <s v="309020DNOVIIEMBRE" u="1"/>
        <s v="1 SEPTIEM ALQUILA" u="1"/>
        <s v="190320021" u="1"/>
        <s v="170920" u="1"/>
        <s v="0201023" u="1"/>
        <s v="290901 01" u="1"/>
        <s v="290908981" u="1"/>
        <s v="010922" u="1"/>
        <s v="250910" u="1"/>
        <s v="275785" u="1"/>
        <s v="3209 1" u="1"/>
        <s v="075." u="1"/>
        <s v="4899834 4" u="1"/>
        <s v="280099" u="1"/>
        <s v="97989 abril." u="1"/>
        <s v="Martínez Héctor Elías" u="1"/>
        <s v="277693" u="1"/>
        <s v="278889" u="1"/>
        <s v="03202304" u="1"/>
        <s v="434343 2" u="1"/>
        <s v="2789323231" u="1"/>
        <s v="280087" u="1"/>
        <s v="280179" u="1"/>
        <s v="277681" u="1"/>
        <s v="278693" u="1"/>
        <s v="278785" u="1"/>
        <s v="278877" u="1"/>
        <s v="278969" u="1"/>
        <s v="279889" u="1"/>
        <s v="0705EX/2022" u="1"/>
        <s v="5004" u="1"/>
        <s v="21318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785" u="1"/>
        <s v="279877" u="1"/>
        <s v="279969" u="1"/>
        <s v="09022023" u="1"/>
        <s v="09082020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154511 2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160223" u="1"/>
        <s v="180222" u="1"/>
        <s v="279841" u="1"/>
        <s v="279933" u="1"/>
        <s v="12 julio" u="1"/>
        <s v="3898792 12" u="1"/>
        <s v="05360" u="1"/>
        <s v="21350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811" u="1"/>
        <s v="4093902 23" u="1"/>
        <s v="responsable taller 12 marzo" u="1"/>
        <s v="Centro de Jubilados Pensionados de Yuto 7 mayo 2022" u="1"/>
        <s v="21450" u="1"/>
        <s v="25643" u="1"/>
        <s v="281303" u="1"/>
        <s v="282131" u="1"/>
        <s v="282223" u="1"/>
        <s v="282407" u="1"/>
        <s v="283051" u="1"/>
        <s v="283143" u="1"/>
        <s v="283235" u="1"/>
        <s v="9829392 293" u="1"/>
        <s v="283223" u="1"/>
        <s v="284327" u="1"/>
        <s v="2779011" u="1"/>
        <s v="31 diciembre.club.campo roca" u="1"/>
        <s v="17102019 4" u="1"/>
        <s v="284315" u="1"/>
        <s v="280 1090" u="1"/>
        <s v="1112092022" u="1"/>
        <s v="125145" u="1"/>
        <s v="10046ENERO" u="1"/>
        <s v="5895" u="1"/>
        <s v="49951" u="1"/>
        <s v="284303" u="1"/>
        <s v="279751 4 9 1" u="1"/>
        <s v="5094" u="1"/>
        <s v="1011021" u="1"/>
        <s v="300422 SUBTE" u="1"/>
        <s v="0220201" u="1"/>
        <s v="208055" u="1"/>
        <s v="280948 2091" u="1"/>
        <s v="28081 12" u="1"/>
        <s v="010722UIJ" u="1"/>
        <s v="3 ABRIL 2022.mercado" u="1"/>
        <s v="1011022" u="1"/>
        <s v="2794930 2kl3" u="1"/>
        <s v="274586 9" u="1"/>
        <s v="02042022MSSJ" u="1"/>
        <s v="2022 2906" u="1"/>
        <s v="VSJ3007-1" u="1"/>
        <s v="0805/052021" u="1"/>
        <s v="20898" u="1"/>
        <s v="274771" u="1"/>
        <s v="209012 01" u="1"/>
        <s v="277652 DIC20" u="1"/>
        <s v="278899" u="1"/>
        <s v="29001920 12 1" u="1"/>
        <s v="280097" u="1"/>
        <s v="280189" u="1"/>
        <s v="277691" u="1"/>
        <s v="278795" u="1"/>
        <s v="278887" u="1"/>
        <s v="279899" u="1"/>
        <s v="dic2029" u="1"/>
        <s v="042021 JUJUY FM" u="1"/>
        <s v="062020 JUJUY FM" u="1"/>
        <s v="65326" u="1"/>
        <s v="280085" u="1"/>
        <s v="280177" u="1"/>
        <s v="280269" u="1"/>
        <s v="281097" u="1"/>
        <s v="281189" u="1"/>
        <s v="239090 13" u="1"/>
        <s v="19032022PKM" u="1"/>
        <s v="22900 820 31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0349" u="1"/>
        <s v="281085" u="1"/>
        <s v="281269" u="1"/>
        <s v="282097" u="1"/>
        <s v="282189" u="1"/>
        <s v="060522.." u="1"/>
        <s v="17082020" u="1"/>
        <s v="2909012 1" u="1"/>
        <s v="278771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06081221 1" u="1"/>
        <s v="278851" u="1"/>
        <s v="278943" u="1"/>
        <s v="279771" u="1"/>
        <s v="279863" u="1"/>
        <s v="279955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278931" u="1"/>
        <s v="279851" u="1"/>
        <s v="279943" u="1"/>
        <s v="1011feb" u="1"/>
        <s v="09019 0921 1" u="1"/>
        <s v="5445" u="1"/>
        <s v="25636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911" u="1"/>
        <s v="20 julio" u="1"/>
        <s v="120223" u="1"/>
        <s v="279931" u="1"/>
        <s v="300122" u="1"/>
        <s v="06081221 51" u="1"/>
        <s v="25644" u="1"/>
        <s v="29653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84349" u="1"/>
        <s v="301122" u="1"/>
        <s v="283006 12" u="1"/>
        <s v="281301" u="1"/>
        <s v="282221" u="1"/>
        <s v="283141" u="1"/>
        <s v="283509" u="1"/>
        <s v="284337" u="1"/>
        <s v="602021" u="1"/>
        <s v="328996/2" u="1"/>
        <s v="2809112 1sept" u="1"/>
        <s v="ene2022 ICADE" u="1"/>
        <s v="259643Noviembre" u="1"/>
        <s v="284325" u="1"/>
        <s v="285429" u="1"/>
        <s v="uca oct21b}2" u="1"/>
        <s v="3904893 33423 83" u="1"/>
        <s v="303030" u="1"/>
        <s v="563201" u="1"/>
        <s v="02/2021" u="1"/>
        <s v="07062020 w" u="1"/>
        <s v="29091 0920" u="1"/>
        <s v="25852" u="1"/>
        <s v="284313" u="1"/>
        <s v="17 07 2022 mercado" u="1"/>
        <s v="284301" u="1"/>
        <s v="1020321" u="1"/>
        <s v="126327" u="1"/>
        <s v="010922." u="1"/>
        <s v="345353ñ" u="1"/>
        <s v="26102020" u="1"/>
        <s v="891011/1719/08/21" u="1"/>
        <s v="52698" u="1"/>
        <s v="2890891" u="1"/>
        <s v="269957 4" u="1"/>
        <s v="081120200" u="1"/>
        <s v="208053" u="1"/>
        <s v="02102020" u="1"/>
        <s v="56325236" u="1"/>
        <s v="274793" u="1"/>
        <s v="713082020" u="1"/>
        <s v="209023-1dic." u="1"/>
        <s v="39090 3223" u="1"/>
        <s v="a2021" u="1"/>
        <s v="274475 2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509101" u="1"/>
        <s v="278793" u="1"/>
        <s v="278885" u="1"/>
        <s v="279989" u="1"/>
        <s v="0706EX/2022" u="1"/>
        <s v="274454 25may20" u="1"/>
        <s v="5005" u="1"/>
        <s v="280083" u="1"/>
        <s v="280175" u="1"/>
        <s v="280267" u="1"/>
        <s v="280359" u="1"/>
        <s v="281187" u="1"/>
        <s v="281279" u="1"/>
        <s v="28146|" u="1"/>
        <s v="282199" u="1"/>
        <s v="feb2022" u="1"/>
        <s v="06081221 54" u="1"/>
        <s v="121906 0221" u="1"/>
        <s v="0607" u="1"/>
        <s v="278781" u="1"/>
        <s v="278965" u="1"/>
        <s v="279793" u="1"/>
        <s v="279885" u="1"/>
        <s v="279977" u="1"/>
        <s v="09072021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083" u="1"/>
        <s v="281175" u="1"/>
        <s v="281267" u="1"/>
        <s v="281359" u="1"/>
        <s v="282187" u="1"/>
        <s v="282279" u="1"/>
        <s v="283199" u="1"/>
        <s v="13062021" u="1"/>
        <s v="278674 10" u="1"/>
        <s v="278861" u="1"/>
        <s v="279781" u="1"/>
        <s v="279873" u="1"/>
        <s v="279965" u="1"/>
        <s v="01082020" u="1"/>
        <s v="3004senco" u="1"/>
        <s v="07121725  1n" u="1"/>
        <s v="280151" u="1"/>
        <s v="280243" u="1"/>
        <s v="280335" u="1"/>
        <s v="280427" u="1"/>
        <s v="281071" u="1"/>
        <s v="281163" u="1"/>
        <s v="281255" u="1"/>
        <s v="282083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121906 1021" u="1"/>
        <s v="277652 FEB20" u="1"/>
        <s v="140822 cdJpSAB" u="1"/>
        <s v="MSSJ 28./12/2022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83267" u="1"/>
        <s v="180322" u="1"/>
        <s v="279941" u="1"/>
        <s v="5045" u="1"/>
        <s v="5856" u="1"/>
        <s v="9865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10-0422" u="1"/>
        <s v="5632./." u="1"/>
        <s v="04/102020b" u="1"/>
        <s v="201122 8" u="1"/>
        <s v="21NOV 390902" u="1"/>
        <s v="5065" u="1"/>
        <s v="021220" u="1"/>
        <s v="282403" u="1"/>
        <s v="283231" u="1"/>
        <s v="283507" u="1"/>
        <s v="284335" u="1"/>
        <s v="jun0622" u="1"/>
        <s v="21 marzo" u="1"/>
        <s v="303040" u="1"/>
        <s v="070621M" u="1"/>
        <s v="234242 12 6" u="1"/>
        <s v="284323" u="1"/>
        <s v="2200422" u="1"/>
        <s v="05" u="1"/>
        <s v="284311" u="1"/>
        <s v="CM0807" u="1"/>
        <s v="122020 bm" u="1"/>
        <s v="281020201" u="1"/>
        <s v="290919 12" u="1"/>
        <s v="2801141352" u="1"/>
        <s v="280946 112" u="1"/>
        <s v="5095" u="1"/>
        <s v="259647Marzo" u="1"/>
        <s v="20902309 cien.soc.5" u="1"/>
        <s v="18112020" u="1"/>
        <s v="258457-393" u="1"/>
        <s v="MSSJ 2325/01/2023." u="1"/>
        <s v="265300" u="1"/>
        <s v="06112020" u="1"/>
        <s v="10102020" u="1"/>
        <s v="25 nov" u="1"/>
        <s v="VSJ3007-2" u="1"/>
        <s v="3892389" u="1"/>
        <s v="18octubre" u="1"/>
        <s v="289293nav" u="1"/>
        <s v="275791" u="1"/>
        <s v="080321 ME" u="1"/>
        <s v="VOLKSWAGEN SURAN" u="1"/>
        <s v="1082020" u="1"/>
        <s v="2508219 1" u="1"/>
        <s v="280289" u="1"/>
        <s v="02902891" u="1"/>
        <s v="277975" u="1"/>
        <s v="278895" u="1"/>
        <s v="279999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240223.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871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87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2590924 abril" u="1"/>
        <s v="38923923 4spt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369" u="1"/>
        <s v="jul0722" u="1"/>
        <s v="111122iEJ" u="1"/>
        <s v="uca agos22" u="1"/>
        <s v="120323" u="1"/>
        <s v="283006 13" u="1"/>
        <s v="20212223241" u="1"/>
        <s v="29 M- 2022." u="1"/>
        <s v="54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90209 36" u="1"/>
        <s v="5466" u="1"/>
        <s v="282413" u="1"/>
        <s v="282505" u="1"/>
        <s v="283241" u="1"/>
        <s v="283517" u="1"/>
        <s v="283609" u="1"/>
        <s v="284253" u="1"/>
        <s v="sep/21" u="1"/>
        <s v="MSSJ 12/06/2022" u="1"/>
        <s v="2586s" u="1"/>
        <s v="223232" u="1"/>
        <s v="282401" u="1"/>
        <s v="283505" u="1"/>
        <s v="284425" u="1"/>
        <s v="283031 1" u="1"/>
        <s v="072021UB" u="1"/>
        <s v="25" u="1"/>
        <s v="5486" u="1"/>
        <s v="204325" u="1"/>
        <s v="284321" u="1"/>
        <s v="285425" u="1"/>
        <s v="BMJUN22" u="1"/>
        <s v="392090 23" u="1"/>
        <s v="3 2022" u="1"/>
        <s v="277329 112" u="1"/>
        <s v="290973 091" u="1"/>
        <s v="01" u="1"/>
        <s v="171" u="1"/>
        <s v="081120201" u="1"/>
        <s v="1920" u="1"/>
        <s v="30102020" u="1"/>
        <s v="258457-392" u="1"/>
        <s v="280822 121" u="1"/>
        <s v="3012022" u="1"/>
        <s v="3032021" u="1"/>
        <s v="4500127200 DIC" u="1"/>
        <s v="010820 p" u="1"/>
        <s v="29093811" u="1"/>
        <s v="063414ñ453" u="1"/>
        <s v="21 dic.roca.alq" u="1"/>
        <s v="054" u="1"/>
        <s v="295" u="1"/>
        <s v="210822 1" u="1"/>
        <s v="175" u="1"/>
        <s v="279407 101" u="1"/>
        <s v="055" u="1"/>
        <s v="1711022 SUBTE" u="1"/>
        <s v="281517 - mayo 2022" u="1"/>
        <s v="280299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183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79985" u="1"/>
        <s v="07121725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54511 3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287" u="1"/>
        <s v="25052020 ING" u="1"/>
        <s v="279961" u="1"/>
        <s v="EDICTO MARIANA RIOS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275" u="1"/>
        <s v="283459" u="1"/>
        <s v="820212" u="1"/>
        <s v="3849923 1mayo" u="1"/>
        <s v="5046" u="1"/>
        <s v="280411" u="1"/>
        <s v="280503" u="1"/>
        <s v="281331" u="1"/>
        <s v="281607" u="1"/>
        <s v="282251" u="1"/>
        <s v="282527" u="1"/>
        <s v="283263" u="1"/>
        <s v="283539" u="1"/>
        <s v="121517" u="1"/>
        <s v="281503" u="1"/>
        <s v="282515" u="1"/>
        <s v="282607" u="1"/>
        <s v="283527" u="1"/>
        <s v="283619" u="1"/>
        <s v="284263" u="1"/>
        <s v="32 13123 01" u="1"/>
        <s v="MSSJ 24/12/20221" u="1"/>
        <s v="MSSJ 31/12/20221" u="1"/>
        <s v="282411" u="1"/>
        <s v="282503" u="1"/>
        <s v="283515" u="1"/>
        <s v="283607" u="1"/>
        <s v="25632023" u="1"/>
        <s v="abril2020" u="1"/>
        <s v="283503" u="1"/>
        <s v="284331" u="1"/>
        <s v="02202201" u="1"/>
        <s v="97989 j 2022" u="1"/>
        <s v="390489L2noviembre." u="1"/>
        <s v="2811512" u="1"/>
        <s v="2902389 121" u="1"/>
        <s v="2febrero.clubcampo" u="1"/>
        <s v="285423" u="1"/>
        <s v="agos20" u="1"/>
        <s v="7 diciembre.club.campo roca" u="1"/>
        <s v="130" u="1"/>
        <s v="371" u="1"/>
        <s v="21julio" u="1"/>
        <s v="277329 111" u="1"/>
        <s v="111906 d0921" u="1"/>
        <s v="CM0803" u="1"/>
        <s v="3108991" u="1"/>
        <s v="131" u="1"/>
        <s v="18122020" u="1"/>
        <s v="493" u="1"/>
        <s v="26531." u="1"/>
        <s v="06122020" u="1"/>
        <s v="22112020" u="1"/>
        <s v="VSJ3007-3" u="1"/>
        <s v="132" u="1"/>
        <s v="nov 2021 melli" u="1"/>
        <s v="253" u="1"/>
        <s v="207415" u="1"/>
        <s v="3108992" u="1"/>
        <s v="4500127200 nov" u="1"/>
        <s v="13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7novi.adic." u="1"/>
        <s v="256" u="1"/>
        <s v="MSSJ 27/12/2022.." u="1"/>
        <s v="136" u="1"/>
        <s v="280389" u="1"/>
        <s v="0326...C." u="1"/>
        <s v="15octubre." u="1"/>
        <s v="112020 FM SOL" u="1"/>
        <s v="498" u="1"/>
        <s v="280193" u="1"/>
        <s v="280285" u="1"/>
        <s v="280377" u="1"/>
        <s v="280469" u="1"/>
        <s v="281389" u="1"/>
        <s v="2563 12" u="1"/>
        <s v="239090 23" u="1"/>
        <s v="258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8971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309001-1-4-fb.lb" u="1"/>
        <s v="279971" u="1"/>
        <s v="032023colsa" u="1"/>
        <s v="052022colsa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4848792 15nov" u="1"/>
        <s v="920211" u="1"/>
        <s v="28989892.3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97989 ags 2022" u="1"/>
        <s v="010722../." u="1"/>
        <s v="234121 135" u="1"/>
        <s v="24feb" u="1"/>
        <s v="f0921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5469" u="1"/>
        <s v="281501" u="1"/>
        <s v="282513" u="1"/>
        <s v="282605" u="1"/>
        <s v="283525" u="1"/>
        <s v="283617" u="1"/>
        <s v="283709" u="1"/>
        <s v="2803211" u="1"/>
        <s v="MSSJ 18/11/20221" u="1"/>
        <s v="65" u="1"/>
        <s v="5477" u="1"/>
        <s v="282501" u="1"/>
        <s v="283513" u="1"/>
        <s v="283605" u="1"/>
        <s v="284341" u="1"/>
        <s v="161002020" u="1"/>
        <s v="25964 julio" u="1"/>
        <s v="277327 123" u="1"/>
        <s v="022021 DImp" u="1"/>
        <s v="5487" u="1"/>
        <s v="283501" u="1"/>
        <s v="125145 1" u="1"/>
        <s v="10110211" u="1"/>
        <s v="060822 SUBTE" u="1"/>
        <s v="02202011" u="1"/>
        <s v="26102021" u="1"/>
        <s v="06032021 b" u="1"/>
        <s v="14122020" u="1"/>
        <s v="269957 5" u="1"/>
        <s v="30112020" u="1"/>
        <s v="ILPO" u="1"/>
        <s v="02102021" u="1"/>
        <s v="109021 5AGOSTO" u="1"/>
        <s v="333" u="1"/>
        <s v="271846 20" u="1"/>
        <s v="390221 10 1122" u="1"/>
        <s v="EDICTO NICOLASA FLORES" u="1"/>
        <s v="334" u="1"/>
        <s v="0204023" u="1"/>
        <s v="274475 3" u="1"/>
        <s v="209090 345" u="1"/>
        <s v="215" u="1"/>
        <s v="14501" u="1"/>
        <s v="190290 13202" u="1"/>
        <s v="274579 07/05" u="1"/>
        <s v="DOÑA AMALIA DEL CARMEN PAREDES" u="1"/>
        <s v="280399" u="1"/>
        <s v="2769850" u="1"/>
        <s v="39483489" u="1"/>
        <s v="216" u="1"/>
        <s v="9006" u="1"/>
        <s v="280387" u="1"/>
        <s v="280479" u="1"/>
        <s v="281399" u="1"/>
        <s v="2893211" u="1"/>
        <s v="2022 2409" u="1"/>
        <s v="5007" u="1"/>
        <s v="280191" u="1"/>
        <s v="280283" u="1"/>
        <s v="280375" u="1"/>
        <s v="280467" u="1"/>
        <s v="280559" u="1"/>
        <s v="281387" u="1"/>
        <s v="281479" u="1"/>
        <s v="282399" u="1"/>
        <s v="2903289 123" u="1"/>
        <s v="190422 CM2022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479" u="1"/>
        <s v="2043255" u="1"/>
        <s v="17159852" u="1"/>
        <s v="2311o 123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283467" u="1"/>
        <s v="820220" u="1"/>
        <s v="010822 cdJ" u="1"/>
        <s v="262260" u="1"/>
        <s v="280603" u="1"/>
        <s v="281523" u="1"/>
        <s v="281615" u="1"/>
        <s v="282443" u="1"/>
        <s v="282535" u="1"/>
        <s v="282719" u="1"/>
        <s v="283271" u="1"/>
        <s v="283455" u="1"/>
        <s v="283639" u="1"/>
        <s v="28738382 21" u="1"/>
        <s v="4848793 3 diciembre 2" u="1"/>
        <s v="281511" u="1"/>
        <s v="281603" u="1"/>
        <s v="282523" u="1"/>
        <s v="282615" u="1"/>
        <s v="282707" u="1"/>
        <s v="283535" u="1"/>
        <s v="283627" u="1"/>
        <s v="283719" u="1"/>
        <s v="24245343 1" u="1"/>
        <s v="141022 2" u="1"/>
        <s v="2810/2021" u="1"/>
        <s v="282511" u="1"/>
        <s v="282603" u="1"/>
        <s v="283523" u="1"/>
        <s v="283615" u="1"/>
        <s v="283707" u="1"/>
        <s v="21febrero 2021" u="1"/>
        <s v="323423" u="1"/>
        <s v="MSSJ 07/10/20221" u="1"/>
        <s v="MSSJ 16/10/20221" u="1"/>
        <s v="5888" u="1"/>
        <s v="283511" u="1"/>
        <s v="283603" u="1"/>
        <s v="2071416" u="1"/>
        <s v="49939 1" u="1"/>
        <s v="308196" u="1"/>
        <s v="326263" u="1"/>
        <s v="141022i" u="1"/>
        <s v="34893 38.dic" u="1"/>
        <s v="ASAMBLEA INTA" u="1"/>
        <s v="1314082020" u="1"/>
        <s v="5510" u="1"/>
        <s v="27 NOV VENDO CENTRO" u="1"/>
        <s v="2071417" u="1"/>
        <s v="06012021" u="1"/>
        <s v="VSJ3007-4" u="1"/>
        <s v="532" u="1"/>
        <s v="071022.." u="1"/>
        <s v="020822 SUBTE" u="1"/>
        <s v="2909sd.diciembre" u="1"/>
        <s v="653" u="1"/>
        <s v="9022022" u="1"/>
        <s v="22102021" u="1"/>
        <s v="5530" u="1"/>
        <s v="10102021" u="1"/>
        <s v="239802kg" u="1"/>
        <s v="654" u="1"/>
        <s v="4330" u="1"/>
        <s v="268708" u="1"/>
        <s v="2071418" u="1"/>
        <s v="57578909" u="1"/>
        <s v="28298 0009" u="1"/>
        <s v="7novi.chef" u="1"/>
        <s v="535" u="1"/>
        <s v="214,322FMS" u="1"/>
        <s v="2071419" u="1"/>
        <s v="277989 1" u="1"/>
        <s v="417" u="1"/>
        <s v="290 189 230912" u="1"/>
        <s v="538" u="1"/>
        <s v="280293" u="1"/>
        <s v="280385" u="1"/>
        <s v="280477" u="1"/>
        <s v="280569" u="1"/>
        <s v="281489" u="1"/>
        <s v="275732 21" u="1"/>
        <s v="2609" u="1"/>
        <s v="32129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40422.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465" u="1"/>
        <s v="102020 aj1" u="1"/>
        <s v="2840920 1" u="1"/>
        <s v="063414ñ453." u="1"/>
        <s v="25858" u="1"/>
        <s v="2586W" u="1"/>
        <s v="263270" u="1"/>
        <s v="280601" u="1"/>
        <s v="281613" u="1"/>
        <s v="282625" u="1"/>
        <s v="282717" u="1"/>
        <s v="282809" u="1"/>
        <s v="283453" u="1"/>
        <s v="283545" u="1"/>
        <s v="283637" u="1"/>
        <s v="2659" u="1"/>
        <s v="04/102020" u="1"/>
        <s v="282521" u="1"/>
        <s v="282705" u="1"/>
        <s v="283717" u="1"/>
        <s v="902lslnov.1" u="1"/>
        <s v="25690" u="1"/>
        <s v="jul20" u="1"/>
        <s v="282601" u="1"/>
        <s v="283521" u="1"/>
        <s v="283613" u="1"/>
        <s v="283705" u="1"/>
        <s v="283031 2" u="1"/>
        <s v="26/11" u="1"/>
        <s v="181122i" u="1"/>
        <s v="05360 11" u="1"/>
        <s v="14151610" u="1"/>
        <s v="283601" u="1"/>
        <s v="5100" u="1"/>
        <s v="jun20" u="1"/>
        <s v="19041221 2" u="1"/>
        <s v="14012021" u="1"/>
        <s v="03 Jul- 2022." u="1"/>
        <s v="2311" u="1"/>
        <s v="m2021" u="1"/>
        <s v="24feb 2" u="1"/>
        <s v="29090 23 23" u="1"/>
        <s v="22202" u="1"/>
        <s v="902lslnov.2" u="1"/>
        <s v="08012 MARZO 2022" u="1"/>
        <s v="20902309 18dic.1" u="1"/>
        <s v="268350" u="1"/>
        <s v="268718" u="1"/>
        <s v="2090838" u="1"/>
        <s v="29090328 1213" u="1"/>
        <s v="311222 cdJpSAB" u="1"/>
        <s v="28298 0008" u="1"/>
        <s v="14marzo" u="1"/>
        <s v="210822 2" u="1"/>
        <s v="5150" u="1"/>
        <s v="73248" u="1"/>
        <s v="277999 1" u="1"/>
        <s v="26 abril 2022 canal 7 - 2" u="1"/>
        <s v="5160" u="1"/>
        <s v="280499" u="1"/>
        <s v="2361" u="1"/>
        <s v="06620" u="1"/>
        <s v="280487" u="1"/>
        <s v="280579" u="1"/>
        <s v="281499" u="1"/>
        <s v="2890090 36" u="1"/>
        <s v="dic21" u="1"/>
        <s v="280291" u="1"/>
        <s v="280475" u="1"/>
        <s v="280567" u="1"/>
        <s v="281487" u="1"/>
        <s v="281579" u="1"/>
        <s v="282499" u="1"/>
        <s v="00279064" u="1"/>
        <s v="063414ñ4531" u="1"/>
        <s v="090232  7, 10, 12 y 18 mayo 2022" u="1"/>
        <s v="220422.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83499" u="1"/>
        <s v="154511 4" u="1"/>
        <s v="8092022 1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063414ñ4532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5963 junio" u="1"/>
        <s v="JUl21" u="1"/>
        <s v="282611" u="1"/>
        <s v="282703" u="1"/>
        <s v="283531" u="1"/>
        <s v="283715" u="1"/>
        <s v="07121725  1" u="1"/>
        <s v="283611" u="1"/>
        <s v="283703" u="1"/>
        <s v="390911 29 19" u="1"/>
        <s v="147568" u="1"/>
        <s v="8398 23232 3" u="1"/>
        <s v="22-01-23 ENERO" u="1"/>
        <s v="5088" u="1"/>
        <s v="JUN21" u="1"/>
        <s v="VSJ3007-5" u="1"/>
        <s v="5511" u="1"/>
        <s v="300422cm" u="1"/>
        <s v="05.03.23F" u="1"/>
        <s v="2309001-18dic" u="1"/>
        <s v="19041221 1" u="1"/>
        <s v="280122NOV.2" u="1"/>
        <s v="10012021" u="1"/>
        <s v="10092021 BIS" u="1"/>
        <s v="268728" u="1"/>
        <s v="06122021" u="1"/>
        <s v="269082 1" u="1"/>
        <s v="07121725  2" u="1"/>
        <s v="278818 09121" u="1"/>
        <s v="1522" u="1"/>
        <s v="5531" u="1"/>
        <s v="10112021" u="1"/>
        <s v="240322FMS" u="1"/>
        <s v="274454 Mar21" u="1"/>
        <s v="9550" u="1"/>
        <s v="250922 2" u="1"/>
        <s v="1542" u="1"/>
        <s v="259642 octubre" u="1"/>
        <s v="14612" u="1"/>
        <s v="2653." u="1"/>
        <s v="280589" u="1"/>
        <s v="19029109 5" u="1"/>
        <s v="280393" u="1"/>
        <s v="280485" u="1"/>
        <s v="280577" u="1"/>
        <s v="280669" u="1"/>
        <s v="281589" u="1"/>
        <s v="234234234" u="1"/>
        <s v="2890090 35" u="1"/>
        <s v="38932 gg44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1524g2" u="1"/>
        <s v="5449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090230 1120" u="1"/>
        <s v="29-01_2023m" u="1"/>
        <s v="029032.febrero.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5968" u="1"/>
        <s v="jul22" u="1"/>
        <s v="281701" u="1"/>
        <s v="282713" u="1"/>
        <s v="282805" u="1"/>
        <s v="283541" u="1"/>
        <s v="283725" u="1"/>
        <s v="302614" u="1"/>
        <s v="14102002" u="1"/>
        <s v="20 marzo 2022.mercado" u="1"/>
        <s v="282701" u="1"/>
        <s v="283621" u="1"/>
        <s v="283713" u="1"/>
        <s v="274454 300420" u="1"/>
        <s v="10004" u="1"/>
        <s v="50002" u="1"/>
        <s v="jun22" u="1"/>
        <s v="283701" u="1"/>
        <s v="029032no" u="1"/>
        <s v="1516052022" u="1"/>
        <s v="125145 2" u="1"/>
        <s v="01050722 4" u="1"/>
        <s v="265622" u="1"/>
        <s v="060622cm" u="1"/>
        <s v="26022021" u="1"/>
        <s v="30010422" u="1"/>
        <s v="289190 01" u="1"/>
        <s v="026539 302GF" u="1"/>
        <s v="268738" u="1"/>
        <s v="288737" u="1"/>
        <s v="1923" u="1"/>
        <s v="269957 6" u="1"/>
        <s v="10120" u="1"/>
        <s v="268726" u="1"/>
        <s v="02102022" u="1"/>
        <s v="26505" u="1"/>
        <s v="268714" u="1"/>
        <s v="289909" u="1"/>
        <s v="281513 - j 23" u="1"/>
        <s v="250005" u="1"/>
        <s v="121906 0621" u="1"/>
        <s v="14605" u="1"/>
        <s v="274475 4" u="1"/>
        <s v="02-2023MSP" u="1"/>
        <s v="5151" u="1"/>
        <s v="278674 14" u="1"/>
        <s v="1695451" u="1"/>
        <s v="1506221TN" u="1"/>
        <s v="080922 SEP22" u="1"/>
        <s v="5161" u="1"/>
        <s v="-0522" u="1"/>
        <s v="020921 LT" u="1"/>
        <s v="feb21" u="1"/>
        <s v="280495" u="1"/>
        <s v="280587" u="1"/>
        <s v="280679" u="1"/>
        <s v="281599" u="1"/>
        <s v="2234234 1" u="1"/>
        <s v="3 octubre" u="1"/>
        <s v="4500127200 AG2" u="1"/>
        <s v="19029109 4" u="1"/>
        <s v="5181" u="1"/>
        <s v="280391" u="1"/>
        <s v="280575" u="1"/>
        <s v="280759" u="1"/>
        <s v="281495" u="1"/>
        <s v="281587" u="1"/>
        <s v="281679" u="1"/>
        <s v="28259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-112020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3/2023.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300520" u="1"/>
        <s v="2814631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02032201" u="1"/>
        <s v="3112411021" u="1"/>
        <s v="141022 3" u="1"/>
        <s v="16/07/21" u="1"/>
        <s v="02022.13fs3" u="1"/>
        <s v="15 SEPTIEMBRE" u="1"/>
        <s v="282711" u="1"/>
        <s v="282803" u="1"/>
        <s v="283631" u="1"/>
        <s v="283723" u="1"/>
        <s v="285471" u="1"/>
        <s v="250522-4" u="1"/>
        <s v="09109 4 abril 2021" u="1"/>
        <s v="2814632" u="1"/>
        <s v="HUANUCO" u="1"/>
        <s v="50003" u="1"/>
        <s v="283711" u="1"/>
        <s v="1516192020" u="1"/>
        <s v="29020sdnavas" u="1"/>
        <s v="274454 oct20" u="1"/>
        <s v="5089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06012022" u="1"/>
        <s v="06032021" u="1"/>
        <s v="1314102021" u="1"/>
        <s v="290 1892zls" u="1"/>
        <s v="25861651 213" u="1"/>
        <s v="oct2107" u="1"/>
        <s v="22122021" u="1"/>
        <s v="99029934" u="1"/>
        <s v="130123.20-23" u="1"/>
        <s v="268724" u="1"/>
        <s v="063414ñ4531w" u="1"/>
        <s v="279453 101" u="1"/>
        <s v="268712" u="1"/>
        <s v="289907" u="1"/>
        <s v="281513 - mayo 22" u="1"/>
        <s v="250003" u="1"/>
        <s v="2814635" u="1"/>
        <s v="38992389 12" u="1"/>
        <s v="22705" u="1"/>
        <s v="26530" u="1"/>
        <s v="2898191" u="1"/>
        <s v="28298 0005" u="1"/>
        <s v="INMUEBLE EL CEIBAL" u="1"/>
        <s v="feb22" u="1"/>
        <s v="280689" u="1"/>
        <s v="2814636" u="1"/>
        <s v="920092 01" u="1"/>
        <s v="99032 912" u="1"/>
        <s v="14630" u="1"/>
        <s v="agos-022" u="1"/>
        <s v="0405082021P" u="1"/>
        <s v="280493" u="1"/>
        <s v="280585" u="1"/>
        <s v="280677" u="1"/>
        <s v="280769" u="1"/>
        <s v="281689" u="1"/>
        <s v="2898192" u="1"/>
        <s v="02923lnas." u="1"/>
        <s v="281528  1012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90918 103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8493434" u="1"/>
        <s v="28 NOV 3909021" u="1"/>
        <s v="26octubre.roca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97989 321 2dlsd" u="1"/>
        <s v="140722" u="1"/>
        <s v="1524g." u="1"/>
        <s v="160721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14639" u="1"/>
        <s v="25noviembre.jumi" u="1"/>
        <s v="265390" u="1"/>
        <s v="279002" u="1"/>
        <s v="282813" u="1"/>
        <s v="282905" u="1"/>
        <s v="283641" u="1"/>
        <s v="282801" u="1"/>
        <s v="283905" u="1"/>
        <s v="283031 3" u="1"/>
        <s v="05360 12" u="1"/>
        <s v="18.12.22" u="1"/>
        <s v="0722 1021" u="1"/>
        <s v="1904" u="1"/>
        <s v="42021" u="1"/>
        <s v="2090921 |1" u="1"/>
        <s v="26032021" u="1"/>
        <s v="14032021" u="1"/>
        <s v="30042020" u="1"/>
        <s v="277658 17" u="1"/>
        <s v="01050722 2" u="1"/>
        <s v="30121" u="1"/>
        <s v="268746" u="1"/>
        <s v="101112/08/2021" u="1"/>
        <s v="0720213323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11//22" u="1"/>
        <s v="agosto21" u="1"/>
        <s v="2900901 102" u="1"/>
        <s v="5142" u="1"/>
        <s v="6352" u="1"/>
        <s v="10514" u="1"/>
        <s v="191022" u="1"/>
        <s v="268710" u="1"/>
        <s v="289905" u="1"/>
        <s v="210822 3" u="1"/>
        <s v="06532" u="1"/>
        <s v="26531" u="1"/>
        <s v="071022" u="1"/>
        <s v="250001" u="1"/>
        <s v="10522" u="1"/>
        <s v="10614" u="1"/>
        <s v="X092115512" u="1"/>
        <s v="072022" u="1"/>
        <s v="092021" u="1"/>
        <s v="280699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00279065" u="1"/>
        <s v="1011mar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2814617" u="1"/>
        <s v="154511 5" u="1"/>
        <s v="01092022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58457-2w" u="1"/>
        <s v="311222 EVE" u="1"/>
        <s v="25695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5491" u="1"/>
        <s v="2826551" u="1"/>
        <s v="070521 CM1" u="1"/>
        <s v="298989 2932" u="1"/>
        <s v="282811" u="1"/>
        <s v="282903" u="1"/>
        <s v="283731" u="1"/>
        <s v="VSJ3007-7" u="1"/>
        <s v="2898220 marzo." u="1"/>
        <s v="10015" u="1"/>
        <s v="283903" u="1"/>
        <s v="43090093 205" u="1"/>
        <s v="26124" u="1"/>
        <s v="301222i" u="1"/>
        <s v="30114" u="1"/>
        <s v="5513" u="1"/>
        <s v="02308" u="1"/>
        <s v="10123" u="1"/>
        <s v="2agosto" u="1"/>
        <s v="01050722 1" u="1"/>
        <s v="234121 1335" u="1"/>
        <s v="30222" u="1"/>
        <s v="268744" u="1"/>
        <s v="20febrero" u="1"/>
        <s v="1524" u="1"/>
        <s v="278533 203" u="1"/>
        <s v="274475 12dic" u="1"/>
        <s v="10415" u="1"/>
        <s v="268732" u="1"/>
        <s v="22 noviembre" u="1"/>
        <s v="4800780916 NY22" u="1"/>
        <s v="5543" u="1"/>
        <s v="26532" u="1"/>
        <s v="289903" u="1"/>
        <s v="031022" u="1"/>
        <s v="152361 WD1" u="1"/>
        <s v="012023" u="1"/>
        <s v="032022" u="1"/>
        <s v="052021" u="1"/>
        <s v="072020" u="1"/>
        <s v="280789" u="1"/>
        <s v="28298 0003" u="1"/>
        <s v="73377" u="1"/>
        <s v="32090 2 012" u="1"/>
        <s v="280593" u="1"/>
        <s v="280685" u="1"/>
        <s v="280777" u="1"/>
        <s v="280869" u="1"/>
        <s v="281789" u="1"/>
        <s v="febbp/22" u="1"/>
        <s v="38932" u="1"/>
        <s v="290180 120" u="1"/>
        <s v="280765" u="1"/>
        <s v="280857" u="1"/>
        <s v="281593" u="1"/>
        <s v="281685" u="1"/>
        <s v="281777" u="1"/>
        <s v="281869" u="1"/>
        <s v="282789" u="1"/>
        <s v="2840920 1012" u="1"/>
        <s v="021{" u="1"/>
        <s v="uca jul21" u="1"/>
        <s v="19029109 1" u="1"/>
        <s v="noviembre17.1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0920232" u="1"/>
        <s v="25688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656566" u="1"/>
        <s v="029032.diciemb." u="1"/>
        <s v="25696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020822" u="1"/>
        <s v="279022" u="1"/>
        <s v="279114" u="1"/>
        <s v="279206" u="1"/>
        <s v="280901" u="1"/>
        <s v="281913" u="1"/>
        <s v="282925" u="1"/>
        <s v="283661" u="1"/>
        <s v="123663" u="1"/>
        <s v="uca jun21" u="1"/>
        <s v="279010" u="1"/>
        <s v="279102" u="1"/>
        <s v="281901" u="1"/>
        <s v="282913" u="1"/>
        <s v="283741" u="1"/>
        <s v="747484" u="1"/>
        <s v="282901" u="1"/>
        <s v="1octubre 29010" u="1"/>
        <s v="KANGOO" u="1"/>
        <s v="239092jul" u="1"/>
        <s v="311221 LT" u="1"/>
        <s v="2090 012 01" u="1"/>
        <s v="2122/052021" u="1"/>
        <s v="283901" u="1"/>
        <s v="22032" u="1"/>
        <s v="10308" u="1"/>
        <s v="BMAY22" u="1"/>
        <s v="agos20 2" u="1"/>
        <s v="FIGUEROA CABALLERO31marzo.22" u="1"/>
        <s v="26509" u="1"/>
        <s v="071022." u="1"/>
        <s v="15061221 1" u="1"/>
        <s v="281513 - j 24" u="1"/>
        <s v="14425" u="1"/>
        <s v="5133" u="1"/>
        <s v="290123" u="1"/>
        <s v="020422 cdJ" u="1"/>
        <s v="10240" u="1"/>
        <s v="30331" u="1"/>
        <s v="268730" u="1"/>
        <s v="029032.mayo. MARMOLERIA" u="1"/>
        <s v="26533" u="1"/>
        <s v="26 J- 2022." u="1"/>
        <s v="5153" u="1"/>
        <s v="071122" u="1"/>
        <s v="ene21 distancia" u="1"/>
        <s v="131021" u="1"/>
        <s v="289901" u="1"/>
        <s v="diciembre18.d1" u="1"/>
        <s v="011021" u="1"/>
        <s v="280799" u="1"/>
        <s v="277652 MAR21" u="1"/>
        <s v="14641" u="1"/>
        <s v="112022" u="1"/>
        <s v="abrPE/22" u="1"/>
        <s v="28151323 10 2" u="1"/>
        <s v="22824" u="1"/>
        <s v="012021" u="1"/>
        <s v="277068" u="1"/>
        <s v="280695" u="1"/>
        <s v="280787" u="1"/>
        <s v="280879" u="1"/>
        <s v="281799" u="1"/>
        <s v="28298 0002" u="1"/>
        <s v="336047" u="1"/>
        <s v="5183" u="1"/>
        <s v="280591" u="1"/>
        <s v="280775" u="1"/>
        <s v="280867" u="1"/>
        <s v="280959" u="1"/>
        <s v="281695" u="1"/>
        <s v="281787" u="1"/>
        <s v="281879" u="1"/>
        <s v="282799" u="1"/>
        <s v="0711021" u="1"/>
        <s v="07202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oct GH - CONST" u="1"/>
        <s v="1marzo" u="1"/>
        <s v="275036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5697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100742" u="1"/>
        <s v="209023s1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204859" u="1"/>
        <s v="279112" u="1"/>
        <s v="279204" u="1"/>
        <s v="281911" u="1"/>
        <s v="282831" u="1"/>
        <s v="282923" u="1"/>
        <s v="VSJ3007-8" u="1"/>
        <s v="345674" u="1"/>
        <s v="279100" u="1"/>
        <s v="282911" u="1"/>
        <s v="FB 2022" u="1"/>
        <s v="232020oct" u="1"/>
        <s v="14feb.ciensoc.1" u="1"/>
        <s v="10025" u="1"/>
        <s v="SEP1-2021" u="1"/>
        <s v="516515 121" u="1"/>
        <s v="29090 1 1 10 0" u="1"/>
        <s v="5524" u="1"/>
        <s v="279453 121" u="1"/>
        <s v="902923dicie,mbre" u="1"/>
        <s v="14426" u="1"/>
        <s v="1525" u="1"/>
        <s v="02150" u="1"/>
        <s v="268740" u="1"/>
        <s v="3945" u="1"/>
        <s v="5544" u="1"/>
        <s v="26534" u="1"/>
        <s v="891011" u="1"/>
        <s v="7 dic.roca.alq" u="1"/>
        <s v="1545" u="1"/>
        <s v="309824" u="1"/>
        <s v="14450" u="1"/>
        <s v="311022" u="1"/>
        <s v="8965 b" u="1"/>
        <s v="031122" u="1"/>
        <s v="211021" u="1"/>
        <s v="BARCENA.TERRENOS.MARZO" u="1"/>
        <s v="14642" u="1"/>
        <s v="312022" u="1"/>
        <s v="22733" u="1"/>
        <s v="212021" u="1"/>
        <s v="280889" u="1"/>
        <s v="14.feb.laura.blanco-6" u="1"/>
        <s v="22833" u="1"/>
        <s v="276238" u="1"/>
        <s v="277066" u="1"/>
        <s v="280693" u="1"/>
        <s v="280785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4848792 27 ABRIL - 2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30010422.5" u="1"/>
        <s v="25698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80920" u="1"/>
        <s v="020922" u="1"/>
        <s v="279030" u="1"/>
        <s v="279122" u="1"/>
        <s v="279214" u="1"/>
        <s v="279306" u="1"/>
        <s v="282841" u="1"/>
        <s v="282933" u="1"/>
        <s v="sept21" u="1"/>
        <s v="30109" u="1"/>
        <s v="279110" u="1"/>
        <s v="279202" u="1"/>
        <s v="902930kdñ" u="1"/>
        <s v="30117" u="1"/>
        <s v="848493" u="1"/>
        <s v="5905" u="1"/>
        <s v="26327" u="1"/>
        <s v="270168" u="1"/>
        <s v="2893211 091" u="1"/>
        <s v="121906 0921" u="1"/>
        <s v="290923 1 diciembre" u="1"/>
        <s v="5935" u="1"/>
        <s v="02151" u="1"/>
        <s v="10426" u="1"/>
        <s v="268750" u="1"/>
        <s v="5945" u="1"/>
        <s v="26351" u="1"/>
        <s v="26535" u="1"/>
        <s v="277652 JL20" u="1"/>
        <s v="14719" u="1"/>
        <s v="170223" u="1"/>
        <s v="050223" u="1"/>
        <s v="10350" u="1"/>
        <s v="151120" u="1"/>
        <s v="7 marzo" u="1"/>
        <s v="5164" u="1"/>
        <s v="5975" u="1"/>
        <s v="277088" u="1"/>
        <s v="280899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281899" u="1"/>
        <s v="5184" u="1"/>
        <s v="278168" u="1"/>
        <s v="279088" u="1"/>
        <s v="280691" u="1"/>
        <s v="280875" u="1"/>
        <s v="280967" u="1"/>
        <s v="281795" u="1"/>
        <s v="281887" u="1"/>
        <s v="282899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5 J- 2022.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90232nov" u="1"/>
        <s v="30010422.4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VSJ3007-9" u="1"/>
        <s v="PANINI 2021" u="1"/>
        <s v="279212" u="1"/>
        <s v="279304" u="1"/>
        <s v="282931" u="1"/>
        <s v="50025" u="1"/>
        <s v="278818 09112" u="1"/>
        <s v="250522 JUN22" u="1"/>
        <s v="10 ABRIL 2022.mercado" u="1"/>
        <s v="920932 232" u="1"/>
        <s v="1524E" u="1"/>
        <s v="279453 131" u="1"/>
        <s v="50233" u="1"/>
        <s v="269876" u="1"/>
        <s v="23082020 1" u="1"/>
        <s v="22527" u="1"/>
        <s v="0326" u="1"/>
        <s v="5545" u="1"/>
        <s v="270222" u="1"/>
        <s v="Agsep0720" u="1"/>
        <s v="092091 10121 1" u="1"/>
        <s v="14452" u="1"/>
        <s v="14636" u="1"/>
        <s v="130223" u="1"/>
        <s v="171221" u="1"/>
        <s v="2090 230" u="1"/>
        <s v="281021 CM3" u="1"/>
        <s v="22643" u="1"/>
        <s v="051221" u="1"/>
        <s v="211121" u="1"/>
        <s v="181022 CM2" u="1"/>
        <s v="14NOV 390902" u="1"/>
        <s v="277652 DIC22" u="1"/>
        <s v="192312" u="1"/>
        <s v="2090230 032" u="1"/>
        <s v="65398" u="1"/>
        <s v="OCT22" u="1"/>
        <s v="274326" u="1"/>
        <s v="280989" u="1"/>
        <s v="230821 cdJ p" u="1"/>
        <s v="73397" u="1"/>
        <s v="290392 120" u="1"/>
        <s v="276246" u="1"/>
        <s v="279098" u="1"/>
        <s v="280793" u="1"/>
        <s v="280885" u="1"/>
        <s v="280977" u="1"/>
        <s v="281989" u="1"/>
        <s v="7MARZO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03.2023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30010422.3" u="1"/>
        <s v="280122NOV.3L23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278210" u="1"/>
        <s v="279130" u="1"/>
        <s v="279222" u="1"/>
        <s v="279314" u="1"/>
        <s v="279406" u="1"/>
        <s v="282941" u="1"/>
        <s v="283953" u="1"/>
        <s v="271809 2020" u="1"/>
        <s v="09202 01223" u="1"/>
        <s v="279210" u="1"/>
        <s v="279302" u="1"/>
        <s v="2090230 10" u="1"/>
        <s v="25022022TN" u="1"/>
        <s v="30 ABRIL 2022.mercado" u="1"/>
        <s v="204853" u="1"/>
        <s v="navas30abril .2 cntro jub" u="1"/>
        <s v="5906" u="1"/>
        <s v="200622Jujj" u="1"/>
        <s v="26082020" u="1"/>
        <s v="5115" u="1"/>
        <s v="02153" u="1"/>
        <s v="30052021" u="1"/>
        <s v="30072020" u="1"/>
        <s v="02022023" u="1"/>
        <s v="02082020" u="1"/>
        <s v="274454 abr20" u="1"/>
        <s v="287607 3" u="1"/>
        <s v="ciensoc.anon.14feb.2" u="1"/>
        <s v="5946" u="1"/>
        <s v="272164" u="1"/>
        <s v="170323" u="1"/>
        <s v="050323" u="1"/>
        <s v="070322" u="1"/>
        <s v="270312" u="1"/>
        <s v="909230 2" u="1"/>
        <s v="110222" u="1"/>
        <s v="268812 1" u="1"/>
        <s v="dic2022 ICADE" u="1"/>
        <s v="5155" u="1"/>
        <s v="26653" u="1"/>
        <s v="278820 1 1" u="1"/>
        <s v="5976" u="1"/>
        <s v="02653" u="1"/>
        <s v="011221" u="1"/>
        <s v="280999" u="1"/>
        <s v="10 MARZO" u="1"/>
        <s v="280895" u="1"/>
        <s v="280987" u="1"/>
        <s v="281999" u="1"/>
        <s v="18" u="1"/>
        <s v="9MARZO" u="1"/>
        <s v="276244" u="1"/>
        <s v="279188" u="1"/>
        <s v="280791" u="1"/>
        <s v="280975" u="1"/>
        <s v="281895" u="1"/>
        <s v="281987" u="1"/>
        <s v="282999" u="1"/>
        <s v="2010112022" u="1"/>
        <s v="2908 2332DKD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171020201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07112020" u="1"/>
        <s v="23102020" u="1"/>
        <s v="uca feb22" u="1"/>
        <s v="11102020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258457-37" u="1"/>
        <s v="2505/052021" u="1"/>
        <s v="CUADROTARIFARIO122021" u="1"/>
        <s v="141022 5" u="1"/>
        <s v="0720210 12112" u="1"/>
        <s v="082020 FM SOL" u="1"/>
        <s v="2909198 9 1" u="1"/>
        <s v="5506" u="1"/>
        <s v="2090203 12 32" u="1"/>
        <s v="02022.13" u="1"/>
        <s v="280133 124" u="1"/>
        <s v="18072021" u="1"/>
        <s v="18092020" u="1"/>
        <s v="30152" u="1"/>
        <s v="22022023" u="1"/>
        <s v="22062021" u="1"/>
        <s v="2090232 130" u="1"/>
        <s v="26538" u="1"/>
        <s v="10062021" u="1"/>
        <s v="CM2006" u="1"/>
        <s v="0209MEX." u="1"/>
        <s v="17110200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61" u="1"/>
        <s v="27112020" u="1"/>
        <s v="2770741" u="1"/>
        <s v="15112020" u="1"/>
        <s v="090281 09 1 2" u="1"/>
        <s v="062" u="1"/>
        <s v="063" u="1"/>
        <s v="ABRIL2021 FM SOL" u="1"/>
        <s v="180922 1" u="1"/>
        <s v="278674 127224" u="1"/>
        <s v="064" u="1"/>
        <s v="15J236" u="1"/>
        <s v="2762101" u="1"/>
        <s v="2809893" u="1"/>
        <s v="2829892" u="1"/>
        <s v="300520 2" u="1"/>
        <s v="15octubre" u="1"/>
        <s v="230821 CM2" u="1"/>
        <s v="065" u="1"/>
        <s v="116721 junio" u="1"/>
        <s v="MSSJ 27/12/2022." u="1"/>
        <s v="066" u="1"/>
        <s v="10046" u="1"/>
        <s v="283031 5" u="1"/>
        <s v="22238" u="1"/>
        <s v="067" u="1"/>
        <s v="20211104" u="1"/>
        <s v="068" u="1"/>
        <s v="10338" u="1"/>
        <s v="26072021" u="1"/>
        <s v="26539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5176" u="1"/>
        <s v="5997" u="1"/>
        <s v="2809778" u="1"/>
        <s v="00279067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07102021" u="1"/>
        <s v="07122020" u="1"/>
        <s v="142" u="1"/>
        <s v="83989923" u="1"/>
        <s v="263" u="1"/>
        <s v="0420" u="1"/>
        <s v="1904023" u="1"/>
        <s v="143" u="1"/>
        <s v="258457-38" u="1"/>
        <s v="010822 121" u="1"/>
        <s v="122021 1021" u="1"/>
        <s v="2090203 2023" u="1"/>
        <s v="121122 cdJpSAB" u="1"/>
        <s v="090232  12, 19, 24 y 31 mayo 2022" u="1"/>
        <s v="144" u="1"/>
        <s v="265" u="1"/>
        <s v="145" u="1"/>
        <s v="230821 CM1" u="1"/>
        <s v="2090204 2023" u="1"/>
        <s v="146" u="1"/>
        <s v="122020 FM SOL" u="1"/>
        <s v="147" u="1"/>
        <s v="150W" u="1"/>
        <s v="22063" u="1"/>
        <s v="iou" u="1"/>
        <s v="276230 121 5" u="1"/>
        <s v="148" u="1"/>
        <s v="389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MSSJ 25/2/23" u="1"/>
        <s v="25909240  mayo" u="1"/>
        <s v="28298-19-28-23" u="1"/>
        <s v="14648" u="1"/>
        <s v="2785441 marzo" u="1"/>
        <s v="891011/31/08/21" u="1"/>
        <s v="290023 2" u="1"/>
        <s v="10555" u="1"/>
        <s v="11-5-20" u="1"/>
        <s v="26-10-2022 mercado" u="1"/>
        <s v="22 M- 2022." u="1"/>
        <s v="071022 2" u="1"/>
        <s v="2090232 1j" u="1"/>
        <s v="WS" u="1"/>
        <s v="22947" u="1"/>
        <s v="5587" u="1"/>
        <s v="2898220 febre.." u="1"/>
        <s v="10 mayo agrotecn stella" u="1"/>
        <s v="20902801 23" u="1"/>
        <s v="27122020" u="1"/>
        <s v="15102021" u="1"/>
        <s v="222" u="1"/>
        <s v="463" u="1"/>
        <s v="0010" u="1"/>
        <s v="03102021" u="1"/>
        <s v="03122020" u="1"/>
        <s v="4840" u="1"/>
        <s v="1111." u="1"/>
        <s v="171021 cdJ" u="1"/>
        <s v="280930 10" u="1"/>
        <s v="465" u="1"/>
        <s v="30039" u="1"/>
        <s v="3112103" u="1"/>
        <s v="uca nov21" u="1"/>
        <s v="345" u="1"/>
        <s v="140520 3" u="1"/>
        <s v="225" u="1"/>
        <s v="276489 100 1" u="1"/>
        <s v="226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3082021ujU" u="1"/>
        <s v="MSSJ27/05/2022" u="1"/>
        <s v="4848793 3 diciembre 3" u="1"/>
        <s v="14665" u="1"/>
        <s v="2900912" u="1"/>
        <s v="080323 CM2" u="1"/>
        <s v="8 MAYO 2022.mercado" u="1"/>
        <s v="Asociación Regional Jujeña de Hockey Amateur" u="1"/>
        <s v="10848" u="1"/>
        <s v="50754" u="1"/>
        <s v="277652 MAR22" u="1"/>
        <s v="08012 mayo de 2022" u="1"/>
        <s v="1415082022" u="1"/>
        <s v="5610" u="1"/>
        <s v="30963" u="1"/>
        <s v="421" u="1"/>
        <s v="5197" u="1"/>
        <s v="9903023" u="1"/>
        <s v="5620" u="1"/>
        <s v="121906 d0721" u="1"/>
        <s v="180323 cdJpSAB" u="1"/>
        <s v="07112021" u="1"/>
        <s v="23122020" u="1"/>
        <s v="891011/1719/08/21a" u="1"/>
        <s v="543" u="1"/>
        <s v="11122020" u="1"/>
        <s v="258457-39" u="1"/>
        <s v="2020" u="1"/>
        <s v="3112MEX." u="1"/>
        <s v="290 81982 893" u="1"/>
        <s v="241222 cdJpSAB" u="1"/>
        <s v="5640" u="1"/>
        <s v="5650" u="1"/>
        <s v="25698 11" u="1"/>
        <s v="092031 19 DIC.-" u="1"/>
        <s v="290902 1235" u="1"/>
        <s v="5508" u="1"/>
        <s v="juana ledesma" u="1"/>
        <s v="5518" u="1"/>
        <s v="24122021ujj" u="1"/>
        <s v="14 08 2022 merc" u="1"/>
        <s v="3838923" u="1"/>
        <s v="08090322" u="1"/>
        <s v="22082021" u="1"/>
        <s v="270227 12" u="1"/>
        <s v="22365" u="1"/>
        <s v="MSSJ09/07/2022" u="1"/>
        <s v="278533 - 30 ABRIL" u="1"/>
        <s v="X0921c52" u="1"/>
        <s v="13 febrero 2022.mercado" u="1"/>
        <s v="270522" u="1"/>
        <s v="13diciembre" u="1"/>
        <s v="10565" u="1"/>
        <s v="10657" u="1"/>
        <s v="150522" u="1"/>
        <s v="333365" u="1"/>
        <s v="269234 5" u="1"/>
        <s v="2840920 9" u="1"/>
        <s v="MSSJ25/05/2022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79398" u="1"/>
        <s v="230821 cdJ a" u="1"/>
        <s v="15-01-23 ENERO" u="1"/>
        <s v="2ºET" u="1"/>
        <s v="1589" u="1"/>
        <s v="276442" u="1"/>
        <s v="278374" u="1"/>
        <s v="278558" u="1"/>
        <s v="279294" u="1"/>
        <s v="279386" u="1"/>
        <s v="279478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3621" u="1"/>
        <s v="31102021" u="1"/>
        <s v="121906 d0621" u="1"/>
        <s v="0011" u="1"/>
        <s v="0822" u="1"/>
        <s v="278626" u="1"/>
        <s v="278718" u="1"/>
        <s v="279270" u="1"/>
        <s v="279362" u="1"/>
        <s v="279454" u="1"/>
        <s v="279546" u="1"/>
        <s v="279638" u="1"/>
        <s v="280008" u="1"/>
        <s v="21nov.roca.alq" u="1"/>
        <s v="278522" u="1"/>
        <s v="278614" u="1"/>
        <s v="278706" u="1"/>
        <s v="279350" u="1"/>
        <s v="279626" u="1"/>
        <s v="279718" u="1"/>
        <s v="nov GH" u="1"/>
        <s v="29101 1 2 6232" u="1"/>
        <s v="504" u="1"/>
        <s v="281008" u="1"/>
        <s v="180922 2" u="1"/>
        <s v="278510" u="1"/>
        <s v="278602" u="1"/>
        <s v="279430" u="1"/>
        <s v="279522" u="1"/>
        <s v="279614" u="1"/>
        <s v="279706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26359" u="1"/>
        <s v="020822Q" u="1"/>
        <s v="4881" u="1"/>
        <s v="2901910" u="1"/>
        <s v="26092021" u="1"/>
        <s v="509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MSSJ07/07/2022" u="1"/>
        <s v="171819" u="1"/>
        <s v="190622" u="1"/>
        <s v="2901901 0" u="1"/>
        <s v="5148" u="1"/>
        <s v="070622" u="1"/>
        <s v="070806" u="1"/>
        <s v="31122021 melli" u="1"/>
        <s v="333363" u="1"/>
        <s v="24245343" u="1"/>
        <s v="030520" u="1"/>
        <s v="14683" u="1"/>
        <s v="080321 CM1" u="1"/>
        <s v="15octubre 2" u="1"/>
        <s v="13 marzo 2022.mercado" u="1"/>
        <s v="080321 cd" u="1"/>
        <s v="275728" u="1"/>
        <s v="10690" u="1"/>
        <s v="MSSJ 08/3/23" u="1"/>
        <s v="26983" u="1"/>
        <s v="256361" u="1"/>
        <s v="278568" u="1"/>
        <s v="279396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384" u="1"/>
        <s v="279476" u="1"/>
        <s v="279568" u="1"/>
        <s v="300422 sa" u="1"/>
        <s v="92029923" u="1"/>
        <s v="2909022diciembre.navas" u="1"/>
        <s v="1" u="1"/>
        <s v="278544" u="1"/>
        <s v="278636" u="1"/>
        <s v="278728" u="1"/>
        <s v="279280" u="1"/>
        <s v="279372" u="1"/>
        <s v="279464" u="1"/>
        <s v="279556" u="1"/>
        <s v="298635" u="1"/>
        <s v="07102022" u="1"/>
        <s v="31 octubre 390902" u="1"/>
        <s v="280018" u="1"/>
        <s v="2980901 1" u="1"/>
        <s v="2021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29883209 12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0108/052021" u="1"/>
        <s v="50249" u="1"/>
        <s v="279600" u="1"/>
        <s v="dicPE/21" u="1"/>
        <s v="230821 LT" u="1"/>
        <s v="283006" u="1"/>
        <s v="20 febrero terrenos" u="1"/>
        <s v="010722UcIJ" u="1"/>
        <s v="23090 121 1" u="1"/>
        <s v="290091 1" u="1"/>
        <s v="5529" u="1"/>
        <s v="292393" u="1"/>
        <s v="293589" u="1"/>
        <s v="34567" u="1"/>
        <s v="3849923" u="1"/>
        <s v="272474" u="1"/>
        <s v="290909" u="1"/>
        <s v="3901901" u="1"/>
        <s v="08/2023." u="1"/>
        <s v="13-112020" u="1"/>
        <s v="26584" u="1"/>
        <s v="102020 aj" u="1"/>
        <s v="150622" u="1"/>
        <s v="170621" u="1"/>
        <s v="030622" u="1"/>
        <s v="070620" u="1"/>
        <s v="230520" u="1"/>
        <s v="171805" u="1"/>
        <s v="080321UB" u="1"/>
        <s v="26858222" u="1"/>
        <s v="10683" u="1"/>
        <s v="151610" u="1"/>
        <s v="0326..." u="1"/>
        <s v="15161718" u="1"/>
        <s v="234121 12" u="1"/>
        <s v="275726" u="1"/>
        <s v="278578" u="1"/>
        <s v="5599" u="1"/>
        <s v="275714" u="1"/>
        <s v="276450" u="1"/>
        <s v="278566" u="1"/>
        <s v="278658" u="1"/>
        <s v="279394" u="1"/>
        <s v="279486" u="1"/>
        <s v="279578" u="1"/>
        <s v="070622cm" u="1"/>
        <s v="01072./2..." u="1"/>
        <s v="FIAT WEEKEND" u="1"/>
        <s v="31021221" u="1"/>
        <s v="9781 MAYO 20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370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11220" u="1"/>
        <s v="278530" u="1"/>
        <s v="278622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622" u="1"/>
        <s v="279714" u="1"/>
        <s v="279806" u="1"/>
        <s v="3652" u="1"/>
        <s v="281004" u="1"/>
        <s v="282016" u="1"/>
        <s v="282108" u="1"/>
        <s v="283028" u="1"/>
        <s v="3420 90 12" u="1"/>
        <s v="279610" u="1"/>
        <s v="279702" u="1"/>
        <s v="282004" u="1"/>
        <s v="283016" u="1"/>
        <s v="283108" u="1"/>
        <s v="02923lnas" u="1"/>
        <s v="4872" u="1"/>
        <s v="10168" u="1"/>
        <s v="30167" u="1"/>
        <s v="283004" u="1"/>
        <s v="50266" u="1"/>
        <s v="5109" u="1"/>
        <s v="nov1" u="1"/>
        <s v="18 09 2022merc" u="1"/>
        <s v="34900 34" u="1"/>
        <s v="032021 Imp" u="1"/>
        <s v="02082022" u="1"/>
        <s v="04 -2020" u="1"/>
        <s v="2090 012" u="1"/>
        <s v="28032020 12" u="1"/>
        <s v="30042020 CP" u="1"/>
        <s v="274454 Abr21" u="1"/>
        <s v="16/09/2021" u="1"/>
        <s v="50390" u="1"/>
        <s v="08012 j 2022" u="1"/>
        <s v="278822 1 2 1" u="1"/>
        <s v="310520" u="1"/>
        <s v="0708060" u="1"/>
        <s v="5159" u="1"/>
        <s v="253645" u="1"/>
        <s v="2090 10 23 3" u="1"/>
        <s v="2800085" u="1"/>
        <s v="240522 may22" u="1"/>
        <s v="011122020" u="1"/>
        <s v="240321 cd" u="1"/>
        <s v="26985" u="1"/>
        <s v="277668" u="1"/>
        <s v="278588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11021" u="1"/>
        <s v="275712" u="1"/>
        <s v="278564" u="1"/>
        <s v="278656" u="1"/>
        <s v="279392" u="1"/>
        <s v="279484" u="1"/>
        <s v="279576" u="1"/>
        <s v="279668" u="1"/>
        <s v="07032021" u="1"/>
        <s v="07052020" u="1"/>
        <s v="390221 10 1" u="1"/>
        <s v="280038" u="1"/>
        <s v="2980901 2" u="1"/>
        <s v="278552" u="1"/>
        <s v="278644" u="1"/>
        <s v="278736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may28/22" u="1"/>
        <s v="277325 20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796388" u="1"/>
        <s v="29089191 1" u="1"/>
        <s v="290 1892-1febre.." u="1"/>
        <s v="280014" u="1"/>
        <s v="280106" u="1"/>
        <s v="281026" u="1"/>
        <s v="281118" u="1"/>
        <s v="282038" u="1"/>
        <s v="2795681" u="1"/>
        <s v="11202022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300922i" u="1"/>
        <s v="3333635" u="1"/>
        <s v="283002" u="1"/>
        <s v="390482" u="1"/>
        <s v="2796001" u="1"/>
        <s v="08012 ags 2022" u="1"/>
        <s v="493883 234noviembre" u="1"/>
        <s v="154236U" u="1"/>
        <s v="00010112022" u="1"/>
        <s v="17082022LGSM" u="1"/>
        <s v="20902 3 20 23" u="1"/>
        <s v="29091 1010" u="1"/>
        <s v="01-2/2021" u="1"/>
        <s v="enero23.ejedsa" u="1"/>
        <s v="272470" u="1"/>
        <s v="94682" u="1"/>
        <s v="150722" u="1"/>
        <s v="269234 6" u="1"/>
        <s v="29028 198 1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8298923" u="1"/>
        <s v="0822 1021" u="1"/>
        <s v="277666" u="1"/>
        <s v="278586" u="1"/>
        <s v="278678" u="1"/>
        <s v="277376 1" u="1"/>
        <s v="2022 1903" u="1"/>
        <s v="17181920" u="1"/>
        <s v="250220211" u="1"/>
        <s v="275722" u="1"/>
        <s v="278574" u="1"/>
        <s v="278666" u="1"/>
        <s v="278758" u="1"/>
        <s v="279494" u="1"/>
        <s v="279586" u="1"/>
        <s v="279678" u="1"/>
        <s v="50991" u="1"/>
        <s v="15052020" u="1"/>
        <s v="000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280024" u="1"/>
        <s v="280116" u="1"/>
        <s v="280208" u="1"/>
        <s v="281036" u="1"/>
        <s v="281128" u="1"/>
        <s v="2795781" u="1"/>
        <s v="281221HS" u="1"/>
        <s v="277323 20" u="1"/>
        <s v="15423" u="1"/>
        <s v="278630" u="1"/>
        <s v="278722" u="1"/>
        <s v="278814" u="1"/>
        <s v="278906" u="1"/>
        <s v="279550" u="1"/>
        <s v="279642" u="1"/>
        <s v="279826" u="1"/>
        <s v="279918" u="1"/>
        <s v="MSSJ 5/2/23" u="1"/>
        <s v="23900 230 12" u="1"/>
        <s v="1233" u="1"/>
        <s v="280012" u="1"/>
        <s v="280104" u="1"/>
        <s v="281024" u="1"/>
        <s v="281116" u="1"/>
        <s v="282036" u="1"/>
        <s v="282128" u="1"/>
        <s v="2795661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061122 7" u="1"/>
        <s v="2932090 12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3000" u="1"/>
        <s v="4848792 1oct" u="1"/>
        <s v="290190 9" u="1"/>
        <s v="225.31" u="1"/>
        <s v="284000" u="1"/>
        <s v="San Martín hockey club" u="1"/>
        <s v="02092022" u="1"/>
        <s v="092090 12" u="1"/>
        <s v="272492" u="1"/>
        <s v="adfsadfas" u="1"/>
        <s v="ABRIL22" u="1"/>
        <s v="274454 nov20" u="1"/>
        <s v="22494" u="1"/>
        <s v="272480" u="1"/>
        <s v="190822" u="1"/>
        <s v="191834" u="1"/>
        <s v="2090203 12 5" u="1"/>
        <s v="070822" u="1"/>
        <s v="290903" u="1"/>
        <s v="274756" u="1"/>
        <s v="10694" u="1"/>
        <s v="171903" u="1"/>
        <s v="65321PO" u="1"/>
        <s v="080323 COM" u="1"/>
        <s v="1278820 1 1" u="1"/>
        <s v="FEFER 07-20" u="1"/>
        <s v="080321 LT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0422 1021" u="1"/>
        <s v="275732" u="1"/>
        <s v="278584" u="1"/>
        <s v="278676" u="1"/>
        <s v="278768" u="1"/>
        <s v="279688" u="1"/>
        <s v="298675" u="1"/>
        <s v="280058" u="1"/>
        <s v="19042021" u="1"/>
        <s v="19062020" u="1"/>
        <s v="277333 12" u="1"/>
        <s v="2980901 3" u="1"/>
        <s v="97989 1febrero." u="1"/>
        <s v="278572" u="1"/>
        <s v="278664" u="1"/>
        <s v="278756" u="1"/>
        <s v="279492" u="1"/>
        <s v="279584" u="1"/>
        <s v="279676" u="1"/>
        <s v="279768" u="1"/>
        <s v="07042021" u="1"/>
        <s v="234512 1" u="1"/>
        <s v="5623" u="1"/>
        <s v="280046" u="1"/>
        <s v="280138" u="1"/>
        <s v="281058" u="1"/>
        <s v="1105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61022" u="1"/>
        <s v="181021" u="1"/>
        <s v="278800" u="1"/>
        <s v="279812" u="1"/>
        <s v="279904" u="1"/>
        <s v="281010" u="1"/>
        <s v="281102" u="1"/>
        <s v="282022" u="1"/>
        <s v="282114" u="1"/>
        <s v="282206" u="1"/>
        <s v="283126" u="1"/>
        <s v="2795521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8012 abril 2022" u="1"/>
        <s v="222001" u="1"/>
        <s v="283010" u="1"/>
        <s v="283102" u="1"/>
        <s v="290190 11" u="1"/>
        <s v="10387" u="1"/>
        <s v="190422ujj" u="1"/>
        <s v="14588" u="1"/>
        <s v="230652" u="1"/>
        <s v="AÑO2022W" u="1"/>
        <s v="08032022MSSJ" u="1"/>
        <s v="6noviembre.roca1" u="1"/>
        <s v="3904893 2" u="1"/>
        <s v="10687" u="1"/>
        <s v="310722" u="1"/>
        <s v="050722 0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uca mar22" u="1"/>
        <s v="28006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0004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0014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280124" u="1"/>
        <s v="280216" u="1"/>
        <s v="280308" u="1"/>
        <s v="281044" u="1"/>
        <s v="281136" u="1"/>
        <s v="282056" u="1"/>
        <s v="283068" u="1"/>
        <s v="2795861" u="1"/>
        <s v="278730" u="1"/>
        <s v="278822" u="1"/>
        <s v="278914" u="1"/>
        <s v="279650" u="1"/>
        <s v="279742" u="1"/>
        <s v="279834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741" u="1"/>
        <s v="278810" u="1"/>
        <s v="278902" u="1"/>
        <s v="279730" u="1"/>
        <s v="279822" u="1"/>
        <s v="279914" u="1"/>
        <s v="5253" u="1"/>
        <s v="081122" u="1"/>
        <s v="280100" u="1"/>
        <s v="282124" u="1"/>
        <s v="283044" u="1"/>
        <s v="283136" u="1"/>
        <s v="283228" u="1"/>
        <s v="2795621" u="1"/>
        <s v="121022" u="1"/>
        <s v="279810" u="1"/>
        <s v="279902" u="1"/>
        <s v="90920 23" u="1"/>
        <s v="5263" u="1"/>
        <s v="22188" u="1"/>
        <s v="281100" u="1"/>
        <s v="282112" u="1"/>
        <s v="282204" u="1"/>
        <s v="283124" u="1"/>
        <s v="122022" u="1"/>
        <s v="03825" u="1"/>
        <s v="022021" u="1"/>
        <s v="042020" u="1"/>
        <s v="282100" u="1"/>
        <s v="283112" u="1"/>
        <s v="283204" u="1"/>
        <s v="284308" u="1"/>
        <s v="283006 1" u="1"/>
        <s v="324208" u="1"/>
        <s v="299091 8DICIEMBRE." u="1"/>
        <s v="283100" u="1"/>
        <s v="030.122020" u="1"/>
        <s v="3884329 125" u="1"/>
        <s v="311222v" u="1"/>
        <s v="2090 013" u="1"/>
        <s v="26597" u="1"/>
        <s v="290923" u="1"/>
        <s v="452022 MAYO" u="1"/>
        <s v="270464h 11octubre" u="1"/>
        <s v="290911" u="1"/>
        <s v="JUN2ML2" u="1"/>
        <s v="2090190 1" u="1"/>
        <s v="23109" u="1"/>
        <s v="171805 1" u="1"/>
        <s v="22311212123" u="1"/>
        <s v="275672" u="1"/>
        <s v="2090281" u="1"/>
        <s v="2090 20 12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07052021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8912" u="1"/>
        <s v="279740" u="1"/>
        <s v="279832" u="1"/>
        <s v="279924" u="1"/>
        <s v="5654" u="1"/>
        <s v="0326.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721" u="1"/>
        <s v="15247851" u="1"/>
        <s v="278900" u="1"/>
        <s v="279912" u="1"/>
        <s v="febPE/22" u="1"/>
        <s v="281110" u="1"/>
        <s v="281202" u="1"/>
        <s v="282030" u="1"/>
        <s v="282122" u="1"/>
        <s v="283042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74454 AGO20" u="1"/>
        <s v="15742" u="1"/>
        <s v="290190 12" u="1"/>
        <s v="26398" u="1"/>
        <s v="202102" u="1"/>
        <s v="283110" u="1"/>
        <s v="283202" u="1"/>
        <s v="284306" u="1"/>
        <s v="25698 23" u="1"/>
        <s v="190422v" u="1"/>
        <s v="2909202noviembre17.lspa" u="1"/>
        <s v="CM0606" u="1"/>
        <s v="145215" u="1"/>
        <s v="2850461" u="1"/>
        <s v="290390 10" u="1"/>
        <s v="26598" u="1"/>
        <s v="2220011" u="1"/>
        <s v="121022cm" u="1"/>
        <s v="28100020" u="1"/>
        <s v="0820202" u="1"/>
        <s v="2850462" u="1"/>
        <s v="290921" u="1"/>
        <s v="29090 1201" u="1"/>
        <s v="3090232octb" u="1"/>
        <s v="269234 7" u="1"/>
        <s v="070920" u="1"/>
        <s v="8MARZO NUMANCIA" u="1"/>
        <s v="0220233" u="1"/>
        <s v="2850463" u="1"/>
        <s v="23febrero.pensas." u="1"/>
        <s v="03.07.22" u="1"/>
        <s v="20200430" u="1"/>
        <s v="277652 ABR21" u="1"/>
        <s v="275670" u="1"/>
        <s v="277694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7670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278670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3518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31122022" u="1"/>
        <s v="20061221 1" u="1"/>
        <s v="0015" u="1"/>
        <s v="278750" u="1"/>
        <s v="278842" u="1"/>
        <s v="279670" u="1"/>
        <s v="279762" u="1"/>
        <s v="279854" u="1"/>
        <s v="279946" u="1"/>
        <s v="21270721" u="1"/>
        <s v="2352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7910" u="1"/>
        <s v="278830" u="1"/>
        <s v="278922" u="1"/>
        <s v="279750" u="1"/>
        <s v="279842" u="1"/>
        <s v="1235" u="1"/>
        <s v="5244" u="1"/>
        <s v="27635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4909034" u="1"/>
        <s v="15451" u="1"/>
        <s v="120122" u="1"/>
        <s v="278910" u="1"/>
        <s v="279830" u="1"/>
        <s v="279922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141121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3 agosto" u="1"/>
        <s v="21 diciembre.club.campo roca" u="1"/>
        <s v="23650" u="1"/>
        <s v="202020" u="1"/>
        <s v="282200" u="1"/>
        <s v="284316" u="1"/>
        <s v="33336351" u="1"/>
        <s v="283200" u="1"/>
        <s v="284304" u="1"/>
        <s v="2021-07" u="1"/>
        <s v="01082021uj" u="1"/>
        <s v="274454 JUN20" u="1"/>
        <s v="08/2023" u="1"/>
        <s v="281517 -20112" u="1"/>
        <s v="0050582" u="1"/>
        <s v="2090190 2" u="1"/>
        <s v="29101 1 2 6" u="1"/>
        <s v="04042022MSSJ" u="1"/>
        <s v="209032" u="1"/>
        <s v="274475 21nov" u="1"/>
        <s v="256877" u="1"/>
        <s v="280098" u="1"/>
        <s v="090232 abril 2022 conv. agrim." u="1"/>
        <s v="277692" u="1"/>
        <s v="278888" u="1"/>
        <s v="333363A" u="1"/>
        <s v="29091 23 mayo" u="1"/>
        <s v="082020 JUJUY FM" u="1"/>
        <s v="280086" u="1"/>
        <s v="280178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28209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07062021" u="1"/>
        <s v="07082020" u="1"/>
        <s v="23052021" u="1"/>
        <s v="23072020" u="1"/>
        <s v="234512 2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dic2012" u="1"/>
        <s v="11052021" u="1"/>
        <s v="11072020" u="1"/>
        <s v="15160622" u="1"/>
        <s v="MSSJ 2930./12./2022" u="1"/>
        <s v="278760" u="1"/>
        <s v="278852" u="1"/>
        <s v="278944" u="1"/>
        <s v="279680" u="1"/>
        <s v="279772" u="1"/>
        <s v="279864" u="1"/>
        <s v="279956" u="1"/>
        <s v="070722 - 11116" u="1"/>
        <s v="5635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070622 cdJ" u="1"/>
        <s v="278840" u="1"/>
        <s v="278932" u="1"/>
        <s v="279760" u="1"/>
        <s v="279852" u="1"/>
        <s v="279944" u="1"/>
        <s v="891011/29/08/21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801" u="1"/>
        <s v="28298 010 1232" u="1"/>
        <s v="28298923" u="1"/>
        <s v="9674" u="1"/>
        <s v="061221" u="1"/>
        <s v="281302" u="1"/>
        <s v="282130" u="1"/>
        <s v="282222" u="1"/>
        <s v="282406" u="1"/>
        <s v="283050" u="1"/>
        <s v="283142" u="1"/>
        <s v="2090232 diciembre 18.--" u="1"/>
        <s v="0811200" u="1"/>
        <s v="204054" u="1"/>
        <s v="283222" u="1"/>
        <s v="284326" u="1"/>
        <s v="150522M" u="1"/>
        <s v="303031" u="1"/>
        <s v="284314" u="1"/>
        <s v="15852" u="1"/>
        <s v="265315" u="1"/>
        <s v="284302" u="1"/>
        <s v="0050468" u="1"/>
        <s v="090190 25 abril" u="1"/>
        <s v="5632.." u="1"/>
        <s v="190290 2" u="1"/>
        <s v="32092 102" u="1"/>
        <s v="20901223 1 01" u="1"/>
        <s v="29002 33220 2" u="1"/>
        <s v="16102020" u="1"/>
        <s v="208054" u="1"/>
        <s v="333363g" u="1"/>
        <s v="258457-2" u="1"/>
        <s v="209019 11" u="1"/>
        <s v="290910 01" u="1"/>
        <s v="275794" u="1"/>
        <s v="26598 1" u="1"/>
        <s v="274770" u="1"/>
        <s v="300422 LT" u="1"/>
        <s v="26598 2" u="1"/>
        <s v="280188" u="1"/>
        <s v="293090 12 1" u="1"/>
        <s v="278794" u="1"/>
        <s v="278886" u="1"/>
        <s v="090 2390 12" u="1"/>
        <s v="022021 JUJUY FM" u="1"/>
        <s v="042020 JUJUY FM" u="1"/>
        <s v="280084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084" u="1"/>
        <s v="281176" u="1"/>
        <s v="281268" u="1"/>
        <s v="282188" u="1"/>
        <s v="0050444" u="1"/>
        <s v="040522.." u="1"/>
        <s v="278770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MSSJ 1820/01/2023" u="1"/>
        <s v="0016" u="1"/>
        <s v="278850" u="1"/>
        <s v="278942" u="1"/>
        <s v="279770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795901" u="1"/>
        <s v="100223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4348" u="1"/>
        <s v="301121" u="1"/>
        <s v="00010112022 2" u="1"/>
        <s v="111906 d052022" u="1"/>
        <s v="4500127200 oct" u="1"/>
        <s v="259644Diciembre" u="1"/>
        <s v="23652" u="1"/>
        <s v="281300" u="1"/>
        <s v="283140" u="1"/>
        <s v="283232" u="1"/>
        <s v="283508" u="1"/>
        <s v="284336" u="1"/>
        <s v="2412020" u="1"/>
        <s v="23660" u="1"/>
        <s v="23844" u="1"/>
        <s v="282300" u="1"/>
        <s v="284324" u="1"/>
        <s v="12/2021" u="1"/>
        <s v="15842012" u="1"/>
        <s v="277907 jul-dic2020" u="1"/>
        <s v="920932 20 1" u="1"/>
        <s v="284312" u="1"/>
        <s v="0310.20201" u="1"/>
        <s v="CM0704" u="1"/>
        <s v="2090 014" u="1"/>
        <s v="274454 JUL20" u="1"/>
        <s v="08112020" u="1"/>
        <s v="24102020" u="1"/>
        <s v="2412022" u="1"/>
        <s v="12102020" u="1"/>
        <s v="34234236" u="1"/>
        <s v="090 2390 15" u="1"/>
        <s v="IIIU" u="1"/>
        <s v="274792" u="1"/>
        <s v="19072021lr" u="1"/>
        <s v="16813." u="1"/>
        <s v="256897" u="1"/>
        <s v="11222cm" u="1"/>
        <s v="1232022" u="1"/>
        <s v="nov1020" u="1"/>
        <s v="290901 1" u="1"/>
        <s v="171805 2" u="1"/>
        <s v="1242022" u="1"/>
        <s v="092020 FM SOL" u="1"/>
        <s v="280198" u="1"/>
        <s v="938593" u="1"/>
        <s v="278896" u="1"/>
        <s v="280094" u="1"/>
        <s v="280186" u="1"/>
        <s v="280278" u="1"/>
        <s v="122020 JUJUY FM" u="1"/>
        <s v="278792" u="1"/>
        <s v="279896" u="1"/>
        <s v="279988" u="1"/>
        <s v="0090239 1" u="1"/>
        <s v="903892 klkd" u="1"/>
        <s v="280174" u="1"/>
        <s v="280266" u="1"/>
        <s v="281094" u="1"/>
        <s v="281186" u="1"/>
        <s v="281278" u="1"/>
        <s v="282198" u="1"/>
        <s v="278780" u="1"/>
        <s v="278872" u="1"/>
        <s v="278964" u="1"/>
        <s v="279792" u="1"/>
        <s v="279976" u="1"/>
        <s v="07072021" u="1"/>
        <s v="23082020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11062021" u="1"/>
        <s v="30 enero 2022." u="1"/>
        <s v="278860" u="1"/>
        <s v="278952" u="1"/>
        <s v="279780" u="1"/>
        <s v="279872" u="1"/>
        <s v="279964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180321" u="1"/>
        <s v="279940" u="1"/>
        <s v="X09211553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090190 18 abril" u="1"/>
        <s v="563222" u="1"/>
        <s v="111906 d042022" u="1"/>
        <s v="283230" u="1"/>
        <s v="283506" u="1"/>
        <s v="563210" u="1"/>
        <s v="392090 20 032" u="1"/>
        <s v="284322" u="1"/>
        <s v="285426" u="1"/>
        <s v="290985" u="1"/>
        <s v="17082020ldm" u="1"/>
        <s v="08092021LKL2" u="1"/>
        <s v="15954" u="1"/>
        <s v="50499" u="1"/>
        <s v="151120M2" u="1"/>
        <s v="32092 103" u="1"/>
        <s v="03" u="1"/>
        <s v="284310" u="1"/>
        <s v="102020 bm" u="1"/>
        <s v="3989323" u="1"/>
        <s v="261020201" u="1"/>
        <s v="280945 112" u="1"/>
        <s v="207154" u="1"/>
        <s v="EDADAS" u="1"/>
        <s v="141020201" u="1"/>
        <s v="07121725  23" u="1"/>
        <s v="9090239noviembre17.34" u="1"/>
        <s v="16112020" u="1"/>
        <s v="2653909 233" u="1"/>
        <s v="100132023." u="1"/>
        <s v="32 13123 00 23" u="1"/>
        <s v="909302kdls" u="1"/>
        <s v="5672021" u="1"/>
        <s v="03.07.23" u="1"/>
        <s v="152361 DM" u="1"/>
        <s v="2022023" u="1"/>
        <s v="23054" u="1"/>
        <s v="280288" u="1"/>
        <s v="597780" u="1"/>
        <s v="20901891" u="1"/>
        <s v="22390902 2" u="1"/>
        <s v="278894" u="1"/>
        <s v="349090 323" u="1"/>
        <s v="carp 25 feb" u="1"/>
        <s v="280092" u="1"/>
        <s v="280184" u="1"/>
        <s v="280276" u="1"/>
        <s v="280368" u="1"/>
        <s v="281288" u="1"/>
        <s v="278790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15052022" u="1"/>
        <s v="15072021" u="1"/>
        <s v="15092020" u="1"/>
        <s v="31082020" u="1"/>
        <s v="01082021P" u="1"/>
        <s v="274454 pie" u="1"/>
        <s v="258963" u="1"/>
        <s v="278962" u="1"/>
        <s v="279790" u="1"/>
        <s v="279974" u="1"/>
        <s v="03092020" u="1"/>
        <s v="3989 100 23" u="1"/>
        <s v="21mayo pastos chicos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567-05-22" u="1"/>
        <s v="0209..2020" u="1"/>
        <s v="902pld2nov" u="1"/>
        <s v="mecanico 12 marzo" u="1"/>
        <s v="279950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368" u="1"/>
        <s v="333363gu5" u="1"/>
        <s v="11462" u="1"/>
        <s v="100323" u="1"/>
        <s v="140321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15 M- 2022." u="1"/>
        <s v="30 06 2022 jun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09202 012 1" u="1"/>
        <s v="323232" u="1"/>
        <s v="111906 d032022" u="1"/>
        <s v="283504" u="1"/>
        <s v="284332" u="1"/>
        <s v="284424" u="1"/>
        <s v="285252" u="1"/>
        <s v="14151617" u="1"/>
        <s v="12344ñ" u="1"/>
        <s v="23" u="1"/>
        <s v="31 07 2022 mercado" u="1"/>
        <s v="266333" u="1"/>
        <s v="263271 NOV.DIC" u="1"/>
        <s v="161022 FULL" u="1"/>
        <s v="287516" u="1"/>
        <s v="488334" u="1"/>
        <s v="oct22v" u="1"/>
        <s v="08102021" u="1"/>
        <s v="289898232" u="1"/>
        <s v="Sindicato de Obreros y Empleados del papel cartón y celulosa de la provincia" u="1"/>
        <s v="12112020" u="1"/>
        <s v="43898293 3" u="1"/>
        <s v="010422022" u="1"/>
        <s v="151120W2" u="1"/>
        <s v="274586 2" u="1"/>
        <s v="1feb.navas" u="1"/>
        <s v="31 dic.roca.alq" u="1"/>
        <s v="0050622" u="1"/>
        <s v="8938892" u="1"/>
        <s v="NOV2020" u="1"/>
        <s v="012022 JUJUY-FM" u="1"/>
        <s v="15954.d" u="1"/>
        <s v="290918 123 21" u="1"/>
        <s v="280298" u="1"/>
        <s v="20902891" u="1"/>
        <s v="15248" u="1"/>
        <s v="898965" u="1"/>
        <s v="280194" u="1"/>
        <s v="280286" u="1"/>
        <s v="280378" u="1"/>
        <s v="281298" u="1"/>
        <s v="278892" u="1"/>
        <s v="279996" u="1"/>
        <s v="280090" u="1"/>
        <s v="280274" u="1"/>
        <s v="280366" u="1"/>
        <s v="280458" u="1"/>
        <s v="281286" u="1"/>
        <s v="281378" u="1"/>
        <s v="282298" u="1"/>
        <s v="02903d" u="1"/>
        <s v="278880" u="1"/>
        <s v="278972" u="1"/>
        <s v="279892" u="1"/>
        <s v="23072021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79960" u="1"/>
        <s v="4500127200-22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100413" u="1"/>
        <s v="23 10 2022merc" u="1"/>
        <s v="JUNIO 2021 melli" u="1"/>
        <s v="281517 - jul 2022" u="1"/>
        <s v="281502" u="1"/>
        <s v="282514" u="1"/>
        <s v="282606" u="1"/>
        <s v="283250" u="1"/>
        <s v="283526" u="1"/>
        <s v="283618" u="1"/>
        <s v="2824140" u="1"/>
        <s v="290190 23" u="1"/>
        <s v="282410" u="1"/>
        <s v="282502" u="1"/>
        <s v="283514" u="1"/>
        <s v="283606" u="1"/>
        <s v="284342" u="1"/>
        <s v="277328 123" u="1"/>
        <s v="283502" u="1"/>
        <s v="284330" u="1"/>
        <s v="190290 1320223" u="1"/>
        <s v="28298 019 132 1" u="1"/>
        <s v="026539" u="1"/>
        <s v="190290 3" u="1"/>
        <s v="261120201" u="1"/>
        <s v="278588-2" u="1"/>
        <s v="28102021" u="1"/>
        <s v="28201" u="1"/>
        <s v="BMOCT22" u="1"/>
        <s v="34893 381 1" u="1"/>
        <s v="04122020" u="1"/>
        <s v="2071420" u="1"/>
        <s v="8928992" u="1"/>
        <s v="290902 12" u="1"/>
        <s v="43898293 2" u="1"/>
        <s v="207414" u="1"/>
        <s v="100232023." u="1"/>
        <s v="9090238" u="1"/>
        <s v="6082020" u="1"/>
        <s v="110922 1" u="1"/>
        <s v="15062002" u="1"/>
        <s v="12344o545" u="1"/>
        <s v="09202 012 7" u="1"/>
        <s v="34893 381 2" u="1"/>
        <s v="256983" u="1"/>
        <s v="274475 OCT" u="1"/>
        <s v="4848792 1oct lp" u="1"/>
        <s v="DICIEMBRE STRE MUNI" u="1"/>
        <s v="23248" u="1"/>
        <s v="280388" u="1"/>
        <s v="200622JujjBAN" u="1"/>
        <s v="mecanico 19 marzo" u="1"/>
        <s v="4848792 110" u="1"/>
        <s v="280192" u="1"/>
        <s v="280284" u="1"/>
        <s v="280376" u="1"/>
        <s v="280468" u="1"/>
        <s v="281388" u="1"/>
        <s v="75538" u="1"/>
        <s v="278890" u="1"/>
        <s v="279994" u="1"/>
        <s v="080422." u="1"/>
        <s v="27082021" u="1"/>
        <s v="277956 1" u="1"/>
        <s v="3849923 14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284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120422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74454 REC" u="1"/>
        <s v="08/03" u="1"/>
        <s v="101105 2" u="1"/>
        <s v="282500" u="1"/>
        <s v="283512" u="1"/>
        <s v="283604" u="1"/>
        <s v="284340" u="1"/>
        <s v="281022i" u="1"/>
        <s v="111906 d012022" u="1"/>
        <s v="5287" u="1"/>
        <s v="283500" u="1"/>
        <s v="UCA2405201" u="1"/>
        <s v="2090232 14.feb.cien.3" u="1"/>
        <s v="2911" u="1"/>
        <s v="3698" u="1"/>
        <s v="08012021" u="1"/>
        <s v="1711" u="1"/>
        <s v="5720" u="1"/>
        <s v="205320" u="1"/>
        <s v="08112021" u="1"/>
        <s v="24102021" u="1"/>
        <s v="101120201" u="1"/>
        <s v="12122020" u="1"/>
        <s v="259645Enero" u="1"/>
        <s v="29089 189 1" u="1"/>
        <s v="0521" u="1"/>
        <s v="268709" u="1"/>
        <s v="333363g1" u="1"/>
        <s v="5740" u="1"/>
        <s v="20200" u="1"/>
        <s v="010522022" u="1"/>
        <s v="279406 111" u="1"/>
        <s v="029090 2323" u="1"/>
        <s v="260421 ME" u="1"/>
        <s v="8072021" u="1"/>
        <s v="171805 3" u="1"/>
        <s v="09290 2321" u="1"/>
        <s v="23065" u="1"/>
        <s v="280398" u="1"/>
        <s v="uca oct21b31" u="1"/>
        <s v="280294" u="1"/>
        <s v="280386" u="1"/>
        <s v="280478" u="1"/>
        <s v="281398" u="1"/>
        <s v="277645 22" u="1"/>
        <s v="321298" u="1"/>
        <s v="12344ñ4" u="1"/>
        <s v="280190" u="1"/>
        <s v="280374" u="1"/>
        <s v="280466" u="1"/>
        <s v="280558" u="1"/>
        <s v="281294" u="1"/>
        <s v="281386" u="1"/>
        <s v="281478" u="1"/>
        <s v="282398" u="1"/>
        <s v="19092021" u="1"/>
        <s v="VSJ3007-19" u="1"/>
        <s v="029090 2324" u="1"/>
        <s v="16.26." u="1"/>
        <s v="279992" u="1"/>
        <s v="23082021" u="1"/>
        <s v="838738 2" u="1"/>
        <s v="3849923 13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79980" u="1"/>
        <s v="12344ñ5" u="1"/>
        <s v="281083 10" u="1"/>
        <s v="277652 SE20" u="1"/>
        <s v="06062022LGSM" u="1"/>
        <s v="MSSJ 22-25/04/2022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478" u="1"/>
        <s v="12902021" u="1"/>
        <s v="112022colsa" u="1"/>
        <s v="51371" u="1"/>
        <s v="5648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6047" u="1"/>
        <s v="160522" u="1"/>
        <s v="239092a2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0093223" u="1"/>
        <s v="281510" u="1"/>
        <s v="282522" u="1"/>
        <s v="282706" u="1"/>
        <s v="283718" u="1"/>
        <s v="15958" u="1"/>
        <s v="56324." u="1"/>
        <s v="282510" u="1"/>
        <s v="282602" u="1"/>
        <s v="283522" u="1"/>
        <s v="283614" u="1"/>
        <s v="283706" u="1"/>
        <s v="7287" u="1"/>
        <s v="283510" u="1"/>
        <s v="283602" u="1"/>
        <s v="390911enero carmen." u="1"/>
        <s v="390911marzo carmen." u="1"/>
        <s v="510" u="1"/>
        <s v="308195" u="1"/>
        <s v="326262" u="1"/>
        <s v="289823biv" u="1"/>
        <s v="2501" u="1"/>
        <s v="5698" u="1"/>
        <s v="285430" u="1"/>
        <s v="19.02.23F" u="1"/>
        <s v="290902 13" u="1"/>
        <s v="24 octubre 390902" u="1"/>
        <s v="268719" u="1"/>
        <s v="20122020" u="1"/>
        <s v="20201" u="1"/>
        <s v="0121" u="1"/>
        <s v="268707" u="1"/>
        <s v="002 20211" u="1"/>
        <s v="181121 cdJ" u="1"/>
        <s v="12344o546" u="1"/>
        <s v="02900 2332" u="1"/>
        <s v="4961" u="1"/>
        <s v="192007" u="1"/>
        <s v="BMAGO22" u="1"/>
        <s v="281089 12" u="1"/>
        <s v="17521 mayo" u="1"/>
        <s v="mar2022" u="1"/>
        <s v="0290 10 12 1" u="1"/>
        <s v="2902930 12" u="1"/>
        <s v="280292" u="1"/>
        <s v="280384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31082021" u="1"/>
        <s v="VSJ3007-18" u="1"/>
        <s v="0009" u="1"/>
        <s v="279990" u="1"/>
        <s v="162021OGA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365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.13febrero.clubcampo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0414 1" u="1"/>
        <s v="120522" u="1"/>
        <s v="300421" u="1"/>
        <s v="1254125" u="1"/>
        <s v="3892893asjd2" u="1"/>
        <s v="15 SEPTIEMBRE - AVISO 2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372" u="1"/>
        <s v="062623" u="1"/>
        <s v="281600" u="1"/>
        <s v="282704" u="1"/>
        <s v="283532" u="1"/>
        <s v="283624" u="1"/>
        <s v="283716" u="1"/>
        <s v="278827221" u="1"/>
        <s v="311222 CM2" u="1"/>
        <s v="282600" u="1"/>
        <s v="283612" u="1"/>
        <s v="283704" u="1"/>
        <s v="30141618" u="1"/>
        <s v="101012020" u="1"/>
        <s v="080323Jujj" u="1"/>
        <s v="4848793 15nov." u="1"/>
        <s v="23908234" u="1"/>
        <s v="5298" u="1"/>
        <s v="06202112" u="1"/>
        <s v="24012021" u="1"/>
        <s v="290932 12" u="1"/>
        <s v="19diciembr smg.4" u="1"/>
        <s v="268729" u="1"/>
        <s v="08122021" u="1"/>
        <s v="268717" u="1"/>
        <s v="oct221" u="1"/>
        <s v="2067 nvasmarcela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76701" u="1"/>
        <s v="26 abril 2022 canal 7 - 1" u="1"/>
        <s v="5771" u="1"/>
        <s v="280498" u="1"/>
        <s v="0562" u="1"/>
        <s v="032021 UNJU" u="1"/>
        <s v="280394" u="1"/>
        <s v="280486" u="1"/>
        <s v="280578" u="1"/>
        <s v="281498" u="1"/>
        <s v="280290" u="1"/>
        <s v="280474" u="1"/>
        <s v="280566" u="1"/>
        <s v="281394" u="1"/>
        <s v="281486" u="1"/>
        <s v="281578" u="1"/>
        <s v="282498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56324.." u="1"/>
        <s v="19 marzo albañil" u="1"/>
        <s v="5649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29002 332" u="1"/>
        <s v="221222 11" u="1"/>
        <s v="281610" u="1"/>
        <s v="282530" u="1"/>
        <s v="282714" u="1"/>
        <s v="282806" u="1"/>
        <s v="283542" u="1"/>
        <s v="283726" u="1"/>
        <s v="284370" u="1"/>
        <s v="0301093951" u="1"/>
        <s v="27 06 22 nv" u="1"/>
        <s v="18/06/21" u="1"/>
        <s v="262703" u="1"/>
        <s v="282610" u="1"/>
        <s v="282702" u="1"/>
        <s v="283530" u="1"/>
        <s v="283622" u="1"/>
        <s v="283714" u="1"/>
        <s v="sep2020" u="1"/>
        <s v="283610" u="1"/>
        <s v="283702" u="1"/>
        <s v="209023-1febr." u="1"/>
        <s v="0903" u="1"/>
        <s v="23983" u="1"/>
        <s v="28022021" u="1"/>
        <s v="190290 4" u="1"/>
        <s v="36212" u="1"/>
        <s v="266715" u="1"/>
        <s v="268739" u="1"/>
        <s v="278588-3" u="1"/>
        <s v="28122021" u="1"/>
        <s v="19042022MSSJ.." u="1"/>
        <s v="16122021" u="1"/>
        <s v="268727" u="1"/>
        <s v="20211" u="1"/>
        <s v="268715" u="1"/>
        <s v="452022 construccion" u="1"/>
        <s v="1332" u="1"/>
        <s v="250006" u="1"/>
        <s v="jun   2020" u="1"/>
        <s v="4962" u="1"/>
        <s v="029032noviem" u="1"/>
        <s v="5361" u="1"/>
        <s v="34900 3423" u="1"/>
        <s v="2562" u="1"/>
        <s v="280588" u="1"/>
        <s v="16813" u="1"/>
        <s v="3453534" u="1"/>
        <s v="280392" u="1"/>
        <s v="280484" u="1"/>
        <s v="280576" u="1"/>
        <s v="280668" u="1"/>
        <s v="281588" u="1"/>
        <s v="10807531" u="1"/>
        <s v="2582" u="1"/>
        <s v="4992" u="1"/>
        <s v="16190622cm" u="1"/>
        <s v="9228" u="1"/>
        <s v="280380" u="1"/>
        <s v="280472" u="1"/>
        <s v="280564" u="1"/>
        <s v="281392" u="1"/>
        <s v="281484" u="1"/>
        <s v="281576" u="1"/>
        <s v="281668" u="1"/>
        <s v="24.1222HS" u="1"/>
        <s v="39020dkas" u="1"/>
        <s v="190290 102" u="1"/>
        <s v="NOV 21 ECO" u="1"/>
        <s v="5229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839892 lkd" u="1"/>
        <s v="VSJ3007-16" u="1"/>
        <s v="20-11-2022m" u="1"/>
        <s v="2814640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81538 1" u="1"/>
        <s v="210921 cdJ" u="1"/>
        <s v="259646Febrero" u="1"/>
        <s v="MSSJ 28/12/2022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82909ss223" u="1"/>
        <s v="120622" u="1"/>
        <s v="140621" u="1"/>
        <s v="2814641" u="1"/>
        <s v="31122021lD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ab2020" u="1"/>
        <s v="31122021 MSP" u="1"/>
        <s v="29 SEPTIEMBRE" u="1"/>
        <s v="080321 CM" u="1"/>
        <s v="250522 may22" u="1"/>
        <s v="281700" u="1"/>
        <s v="282712" u="1"/>
        <s v="282804" u="1"/>
        <s v="283540" u="1"/>
        <s v="283632" u="1"/>
        <s v="283724" u="1"/>
        <s v="AGOSTO 2021 melli23" u="1"/>
        <s v="2814642" u="1"/>
        <s v="900322901.nov." u="1"/>
        <s v="282700" u="1"/>
        <s v="283712" u="1"/>
        <s v="161222i" u="1"/>
        <s v="5289" u="1"/>
        <s v="283700" u="1"/>
        <s v="10/22 ACERO" u="1"/>
        <s v="28122" u="1"/>
        <s v="2814643" u="1"/>
        <s v="290932 13" u="1"/>
        <s v="2789271210 12" u="1"/>
        <s v="08032021" u="1"/>
        <s v="24022021" u="1"/>
        <s v="18febrero" u="1"/>
        <s v="25052020 1" u="1"/>
        <s v="208556" u="1"/>
        <s v="268737" u="1"/>
        <s v="20212" u="1"/>
        <s v="2814644" u="1"/>
        <s v="080322 cdJ" u="1"/>
        <s v="12-2022MSP" u="1"/>
        <s v="22 octubre lbetran" u="1"/>
        <s v="250819 4" u="1"/>
        <s v="07102022LGSM" u="1"/>
        <s v="268713" u="1"/>
        <s v="289908" u="1"/>
        <s v="22MARZO 2021" u="1"/>
        <s v="2814645" u="1"/>
        <s v="10marzo 2021" u="1"/>
        <s v="75167" u="1"/>
        <s v="76703" u="1"/>
        <s v="20902 320 12" u="1"/>
        <s v="navaslkls" u="1"/>
        <s v="5772" u="1"/>
        <s v="280598" u="1"/>
        <s v="209310 1" u="1"/>
        <s v="256983 1" u="1"/>
        <s v="280494" u="1"/>
        <s v="280586" u="1"/>
        <s v="280678" u="1"/>
        <s v="281598" u="1"/>
        <s v="150123.29" u="1"/>
        <s v="6009" u="1"/>
        <s v="2909203DIIC" u="1"/>
        <s v="280390" u="1"/>
        <s v="280574" u="1"/>
        <s v="280758" u="1"/>
        <s v="281494" u="1"/>
        <s v="281586" u="1"/>
        <s v="281678" u="1"/>
        <s v="282598" u="1"/>
        <s v="8949933" u="1"/>
        <s v="19092022" u="1"/>
        <s v="15478" u="1"/>
        <s v="2909090 23" u="1"/>
        <s v="03 09 2022merc" u="1"/>
        <s v="029032.marzo. MARMOLERIA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190290 101" u="1"/>
        <s v="75575" u="1"/>
        <s v="12344o5" u="1"/>
        <s v="020.92020" u="1"/>
        <s v="190291- 2023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29090 101" u="1"/>
        <s v="VSJ3007-15" u="1"/>
        <s v="FB2023" u="1"/>
        <s v="25/09/2021" u="1"/>
        <s v="24022022 melli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281535 10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25 septiembre" u="1"/>
        <s v="123552" u="1"/>
        <s v="13 septiembre" u="1"/>
        <s v="27986" u="1"/>
        <s v="282710" u="1"/>
        <s v="282802" u="1"/>
        <s v="283630" u="1"/>
        <s v="283722" u="1"/>
        <s v="283906" u="1"/>
        <s v="285470" u="1"/>
        <s v="12345." u="1"/>
        <s v="0922 1021" u="1"/>
        <s v="2632701 1" u="1"/>
        <s v="283710" u="1"/>
        <s v="289598" u="1"/>
        <s v="12022" u="1"/>
        <s v="28032021" u="1"/>
        <s v="39020323 2" u="1"/>
        <s v="1303" u="1"/>
        <s v="022023JP" u="1"/>
        <s v="2513" u="1"/>
        <s v="268747" u="1"/>
        <s v="12ap2021" u="1"/>
        <s v="24130" u="1"/>
        <s v="16112022" u="1"/>
        <s v="29200 8912" u="1"/>
        <s v="1234ñ" u="1"/>
        <s v="56321" u="1"/>
        <s v="27 diciembre" u="1"/>
        <s v="16 noviembre" u="1"/>
        <s v="268723" u="1"/>
        <s v="4953" u="1"/>
        <s v="6552" u="1"/>
        <s v="268711" u="1"/>
        <s v="289906" u="1"/>
        <s v="5352" u="1"/>
        <s v="270001" u="1"/>
        <s v="2814625" u="1"/>
        <s v="390202DICIEMBRE 6" u="1"/>
        <s v="MSSJ 2325/01/2023" u="1"/>
        <s v="4963" u="1"/>
        <s v="27998,5" u="1"/>
        <s v="092022" u="1"/>
        <s v="2563" u="1"/>
        <s v="4162" u="1"/>
        <s v="281085 13" u="1"/>
        <s v="280688" u="1"/>
        <s v="2814626" u="1"/>
        <s v="277992 1" u="1"/>
        <s v="OCT STRE MUNIACC" u="1"/>
        <s v="280492" u="1"/>
        <s v="280584" u="1"/>
        <s v="280676" u="1"/>
        <s v="280768" u="1"/>
        <s v="281688" u="1"/>
        <s v="mar2303" u="1"/>
        <s v="4182" u="1"/>
        <s v="52912" u="1"/>
        <s v="nov20" u="1"/>
        <s v="109021 22 agosto" u="1"/>
        <s v="280480" u="1"/>
        <s v="280572" u="1"/>
        <s v="280756" u="1"/>
        <s v="281492" u="1"/>
        <s v="281584" u="1"/>
        <s v="281676" u="1"/>
        <s v="281768" u="1"/>
        <s v="282688" u="1"/>
        <s v="2814627" u="1"/>
        <s v="11 09 2022merc" u="1"/>
        <s v="nov op 02 2020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59778" u="1"/>
        <s v="90032NOV.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2814628" u="1"/>
        <s v="VSJ3007-14" u="1"/>
        <s v="17octubre 39090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280414 2" u="1"/>
        <s v="141220 BP" u="1"/>
        <s v="29090 23212" u="1"/>
        <s v="319017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2814629" u="1"/>
        <s v="121906" u="1"/>
        <s v="279001" u="1"/>
        <s v="281800" u="1"/>
        <s v="282812" u="1"/>
        <s v="282904" u="1"/>
        <s v="283640" u="1"/>
        <s v="283732" u="1"/>
        <s v="02/08/21" u="1"/>
        <s v="282800" u="1"/>
        <s v="271701 300420" u="1"/>
        <s v="0522 1021" u="1"/>
        <s v="298819 124" u="1"/>
        <s v="04/22 MPSTREAMING1" u="1"/>
        <s v="11116 7 ABRIL" u="1"/>
        <s v="5713" u="1"/>
        <s v="MSSJ 29-30/12/2022" u="1"/>
        <s v="2103" u="1"/>
        <s v="08042021" u="1"/>
        <s v="08062020" u="1"/>
        <s v="24032021" u="1"/>
        <s v="24052020" u="1"/>
        <s v="12032021" u="1"/>
        <s v="56322" u="1"/>
        <s v="268745" u="1"/>
        <s v="24112022" u="1"/>
        <s v="22febrero" u="1"/>
        <s v="26102021 cmj" u="1"/>
        <s v="240322 cdJ" u="1"/>
        <s v="268733" u="1"/>
        <s v="BM07/2020" u="1"/>
        <s v="290201 1octubre" u="1"/>
        <s v="febmar2023 melli" u="1"/>
        <s v="010822022" u="1"/>
        <s v="2090232 1mayo" u="1"/>
        <s v="6953" u="1"/>
        <s v="208632" u="1"/>
        <s v="010208" u="1"/>
        <s v="291022" u="1"/>
        <s v="9marzo 2021" u="1"/>
        <s v="111209" u="1"/>
        <s v="289904" u="1"/>
        <s v="29091 16 mayo" u="1"/>
        <s v="192021" u="1"/>
        <s v="5773" u="1"/>
        <s v="032023" u="1"/>
        <s v="052022" u="1"/>
        <s v="072021" u="1"/>
        <s v="092020" u="1"/>
        <s v="280698" u="1"/>
        <s v="mar1603" u="1"/>
        <s v="280594" u="1"/>
        <s v="280686" u="1"/>
        <s v="280778" u="1"/>
        <s v="281698" u="1"/>
        <s v="290190 19" u="1"/>
        <s v="280490" u="1"/>
        <s v="280674" u="1"/>
        <s v="280766" u="1"/>
        <s v="280858" u="1"/>
        <s v="281594" u="1"/>
        <s v="281686" u="1"/>
        <s v="281778" u="1"/>
        <s v="282698" u="1"/>
        <s v="11479" u="1"/>
        <s v="234512 5" u="1"/>
        <s v="06/062021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VSJ3007-25" u="1"/>
        <s v="28nov" u="1"/>
        <s v="282814.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805500" u="1"/>
        <s v="281535 11" u="1"/>
        <s v="280122NOV.3L2322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VSJ3007-13" u="1"/>
        <s v="3902840 1 blks" u="1"/>
        <s v="32020 5" u="1"/>
        <s v="2792200 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6/09/21" u="1"/>
        <s v="281531 10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161902" u="1"/>
        <s v="32020 6" u="1"/>
        <s v="20290 00 10 0" u="1"/>
        <s v="282810" u="1"/>
        <s v="282902" u="1"/>
        <s v="283730" u="1"/>
        <s v="1909021 12" u="1"/>
        <s v="1118 1" u="1"/>
        <s v="311222 LT" u="1"/>
        <s v="283902" u="1"/>
        <s v="029032.j" u="1"/>
        <s v="3903kgld" u="1"/>
        <s v="0122 1021" u="1"/>
        <s v="28062020" u="1"/>
        <s v="300420201" u="1"/>
        <s v="209023-1fmarzo." u="1"/>
        <s v="1304" u="1"/>
        <s v="16042021" u="1"/>
        <s v="190290 5" u="1"/>
        <s v="290189 1791" u="1"/>
        <s v="6523" u="1"/>
        <s v="04022022" u="1"/>
        <s v="04042021" u="1"/>
        <s v="20032021" u="1"/>
        <s v="24416" u="1"/>
        <s v="268743" u="1"/>
        <s v="5483982 1" u="1"/>
        <s v="209023 23" u="1"/>
        <s v="6noviembre.roca2" u="1"/>
        <s v="268731" u="1"/>
        <s v="029032.oct" u="1"/>
        <s v="24616" u="1"/>
        <s v="920092 1 091" u="1"/>
        <s v="20212223 NOV" u="1"/>
        <s v="4964" u="1"/>
        <s v="289902" u="1"/>
        <s v="281085 14" u="1"/>
        <s v="109021 15 agosto" u="1"/>
        <s v="031021" u="1"/>
        <s v="111122 7" u="1"/>
        <s v="4889 453" u="1"/>
        <s v="2564" u="1"/>
        <s v="012022" u="1"/>
        <s v="032021" u="1"/>
        <s v="052020" u="1"/>
        <s v="280788" u="1"/>
        <s v="280592" u="1"/>
        <s v="280684" u="1"/>
        <s v="280776" u="1"/>
        <s v="280868" u="1"/>
        <s v="281788" u="1"/>
        <s v="4994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232090 212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062021 325536" u="1"/>
        <s v="2762091" u="1"/>
        <s v="2806641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VSJ3007-12" u="1"/>
        <s v="300721" u="1"/>
        <s v="2772091" u="1"/>
        <s v="27989" u="1"/>
        <s v="279021" u="1"/>
        <s v="279113" u="1"/>
        <s v="279205" u="1"/>
        <s v="280900" u="1"/>
        <s v="281912" u="1"/>
        <s v="282832" u="1"/>
        <s v="282924" u="1"/>
        <s v="283660" u="1"/>
        <s v="273648 1020" u="1"/>
        <s v="181911" u="1"/>
        <s v="2806642" u="1"/>
        <s v="190422 LT" u="1"/>
        <s v="8noviembre" u="1"/>
        <s v="279101" u="1"/>
        <s v="281900" u="1"/>
        <s v="282912" u="1"/>
        <s v="283740" u="1"/>
        <s v="11feb.alto.la.viña" u="1"/>
        <s v="290932 15" u="1"/>
        <s v="29037891 21" u="1"/>
        <s v="92021" u="1"/>
        <s v="282900" u="1"/>
        <s v="390489LSLKS" u="1"/>
        <s v="2104" u="1"/>
        <s v="56324" u="1"/>
        <s v="08072020" u="1"/>
        <s v="32 131321" u="1"/>
        <s v="269857" u="1"/>
        <s v="12122022" u="1"/>
        <s v="268741" u="1"/>
        <s v="BM08/2020" u="1"/>
        <s v="5744" u="1"/>
        <s v="290122" u="1"/>
        <s v="208640" u="1"/>
        <s v="1745" u="1"/>
        <s v="290202" u="1"/>
        <s v="56632" u="1"/>
        <s v="191121" u="1"/>
        <s v="2342342 411" u="1"/>
        <s v="20532" u="1"/>
        <s v="080323 SSD" u="1"/>
        <s v="290202.nov" u="1"/>
        <s v="12 J- 2022." u="1"/>
        <s v="21 noviembre.roca" u="1"/>
        <s v="289900" u="1"/>
        <s v="272111" u="1"/>
        <s v="280798" u="1"/>
        <s v="1711020" u="1"/>
        <s v="´280276" u="1"/>
        <s v="14.feb.laura.blanco-8" u="1"/>
        <s v="0720210" u="1"/>
        <s v="276239" u="1"/>
        <s v="277067" u="1"/>
        <s v="280694" u="1"/>
        <s v="280786" u="1"/>
        <s v="280878" u="1"/>
        <s v="281798" u="1"/>
        <s v="13141516" u="1"/>
        <s v="336046" u="1"/>
        <s v="06062020ldm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´280277" u="1"/>
        <s v="112020 3012" u="1"/>
        <s v="0511021" u="1"/>
        <s v="2342342 412" u="1"/>
        <s v="4848792 27 ABRIL - 1" u="1"/>
        <s v="23589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11marzo.jumi" u="1"/>
        <s v="0910202" u="1"/>
        <s v="131022cm" u="1"/>
        <s v="281535 12" u="1"/>
        <s v="2898932LPLW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VSJ3007-23" u="1"/>
        <s v="CFA120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2762071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VSJ3007-11" u="1"/>
        <s v="2392090" u="1"/>
        <s v="190290 1039" u="1"/>
        <s v="279111" u="1"/>
        <s v="279203" u="1"/>
        <s v="281910" u="1"/>
        <s v="282830" u="1"/>
        <s v="282922" u="1"/>
        <s v="283750" u="1"/>
        <s v="92002092" u="1"/>
        <s v="92022" u="1"/>
        <s v="282910" u="1"/>
        <s v="393899 23" u="1"/>
        <s v="29093811 1209 01" u="1"/>
        <s v="24.02.23" u="1"/>
        <s v="31122021TN" u="1"/>
        <s v="uca oct21b}" u="1"/>
        <s v="060622Jujj" u="1"/>
        <s v="ene2021" u="1"/>
        <s v="20.01.23" u="1"/>
        <s v="28052021" u="1"/>
        <s v="2oct 20901" u="1"/>
        <s v="24234" u="1"/>
        <s v="0803EX" u="1"/>
        <s v="20022022" u="1"/>
        <s v="20062020" u="1"/>
        <s v="33336..41" u="1"/>
        <s v="281021 CM2022" u="1"/>
        <s v="209023 24" u="1"/>
        <s v="22270721" u="1"/>
        <s v="190223" u="1"/>
        <s v="290209 10" u="1"/>
        <s v="275169" u="1"/>
        <s v="1040521 mayo" u="1"/>
        <s v="EXPTE 317 2020" u="1"/>
        <s v="4965" u="1"/>
        <s v="289910" u="1"/>
        <s v="09.2021" u="1"/>
        <s v="2910200" u="1"/>
        <s v="311221SBT" u="1"/>
        <s v="mar21" u="1"/>
        <s v="031121" u="1"/>
        <s v="092222" u="1"/>
        <s v="312021" u="1"/>
        <s v="274317" u="1"/>
        <s v="280888" u="1"/>
        <s v="2712051" u="1"/>
        <s v="329091 10 1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2585" u="1"/>
        <s v="4500127200 AG" u="1"/>
        <s v="4848792 27 ABRIL - 3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390911 mayo carmen 2022" u="1"/>
        <s v="8910/02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09102020" u="1"/>
        <s v="12344ñ52" u="1"/>
        <s v="2511022" u="1"/>
        <s v="277305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1311022" u="1"/>
        <s v="VSJ3007-22" u="1"/>
        <s v="2762171" u="1"/>
        <s v="2817761" u="1"/>
        <s v="8910/03" u="1"/>
        <s v="277330 1102" u="1"/>
        <s v="278121" u="1"/>
        <s v="279041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2762051" u="1"/>
        <s v="279121" u="1"/>
        <s v="279213" u="1"/>
        <s v="279305" u="1"/>
        <s v="282840" u="1"/>
        <s v="282932" u="1"/>
        <s v="283760" u="1"/>
        <s v="VSJ3007-10" u="1"/>
        <s v="00019" u="1"/>
        <s v="AÑO20222W" u="1"/>
      </sharedItems>
    </cacheField>
    <cacheField name="Referencia" numFmtId="0">
      <sharedItems/>
    </cacheField>
    <cacheField name="Comentario" numFmtId="0">
      <sharedItems containsBlank="1" count="8000" longText="1">
        <s v="vendo inmueble alte brown"/>
        <s v="EDICTO DE NOTIFICACION  EL SUPER"/>
        <s v="EDICTO DE CITACION     LA COORDI"/>
        <s v="SARMIENTO SERGIO ANTONIO EXPTE C"/>
        <s v="EDICTO DE CITACION   LA COORDINA"/>
        <s v="COOPERATIVA DE VIVIENDA, CRÉDITO"/>
        <s v="COLEGIO DE GRADUADOS EN CIENCIAS"/>
        <s v="COSEJERO y HECHICERO DEL AMOR JA"/>
        <s v="MAGIA CHAMANICA - LOS APUS  MAES"/>
        <s v="PIZPIRETA  FM JUJUY ...."/>
        <s v="LA MAGIA DE LAS PALABRAS - FM SO"/>
        <s v="FM JUJUY UN DIA PERFECTO"/>
        <s v="SEX SHOP ///AVISO ARMADO////"/>
        <s v="FRIAR"/>
        <s v="COMUNICADO Sociedades Médicas Ci"/>
        <s v="LA COCHERIA SRL"/>
        <s v="TOMBOLA....  Gobierno de JUJUY a"/>
        <s v="FARMACIA YRIGOYEN"/>
        <s v="WERCHOW OBITUARIO"/>
        <s v="SERIVICIO SOCIALES FUTURO..."/>
        <s v="JUJUY MODELS (SUP ESTILOS) bonif"/>
        <s v="NEW FOX"/>
        <s v="COLEGIO DE OPTICOS ESP ESTILOS /"/>
        <s v="COMPLEJO RETRO - LA TERMINAL"/>
        <s v="I nstituto Salteño de Intercambi"/>
        <s v="VOTO RUBEN RIVAROLA - SENADOR"/>
        <s v="QUINOA - GASTRONOMICO"/>
        <s v="PANCHAMAMA..."/>
        <s v="CENTRO de ATENCION RENTAS JUJUY "/>
        <s v="TECNO EXPRESS S.R.L. Informa a s"/>
        <s v="RUBEN RIVAROLA SENADOR"/>
        <s v="Programa de mejoras de acceso y "/>
        <s v="ELECCIONES 2023 CHICA  - TELAM S"/>
        <s v="MURCIA S.R.L. INFORMA Se comunic"/>
        <s v="DERECHO CIVIL Y PROCESAL - FUNDA"/>
        <s v="BINGO LOBO...."/>
        <s v="RIZZOTTI - FIAD - HL - GM - ZIGA"/>
        <s v="GOBIERNO ISJ INTERNACIONES Y CIR"/>
        <s v="LIC. ADRIANA PATRICIA ORELLANA  "/>
        <s v="PODOLOGIA Uñas encarnadas - Mico"/>
        <s v="CONSULTORIO DE PODOLOGIA UÑAS EN"/>
        <s v="LIC. DIEGO CRUZ QUIROPRAXIA  ///"/>
        <s v="CEMER..."/>
        <s v="Dra. CABEZAS, Laura E. Especiali"/>
        <s v="JUBILACIONES, PENSIONES, REAJUST"/>
        <s v="Jubilaciones y Pensiones  Famili"/>
        <s v="-ALIMENTOS- SUCESIONES- -DIVORCI"/>
        <s v="MICHEL ESTUDIO JURIDICO AVISO AR"/>
        <s v="ESTUDIO JURÍDICO INTEGRAL  Moral"/>
        <s v="+ LIMA, Néstor (q.e.p.d.) Fallec"/>
        <s v="+ GARCIA ORLANDO DEL VALLE (LU7O"/>
        <s v="+ NELSO FAUSTINO LUNA  q.e.p.d. "/>
        <s v="RAUL LEANDRO CABANA 14/09/1956  "/>
        <s v="+ CLAUDIA APAZA DE ARRUETA 18-02"/>
        <s v="CINE ALFA..."/>
        <s v="PORKMAN - DÍA DEL GASTRONOMICO"/>
        <s v="FIAMBRERIA IRENE  ESP GASTRONOMI"/>
        <s v="IMPAR - LA RABIOLA CHOCOLATE ESP"/>
        <s v="IMPAR - LUISIÑO ESP GASTRONOMICO"/>
        <s v="FRIGORIFICO VILLALBA ESP GASTRON"/>
        <s v="CONFITERIA CRILLON ESP GASTRONOM"/>
        <s v="EL MOJON EMPANADAS"/>
        <s v="LOLA M DIA DEL GASTRONÓMICO"/>
        <s v=" SENCO - DIA DEL GASTRONÓMICO"/>
        <s v="BALDI FIAMBRERIA ESP GASTRONOMIC"/>
        <s v="PAGINA IMPAR - GUAJIRA"/>
        <s v="UTHGRA DIA DEL GASTRONOMICO"/>
        <s v="IGA - DIA DEL TRABAJADOR GASTRON"/>
        <s v="" u="1"/>
        <m u="1"/>
        <s v="A Y V SUP ESTILOS" u="1"/>
        <s v="PROMO CLASUFICADOS" u="1"/>
        <s v="FINCA DON ARMANDO ESP TALLERES" u="1"/>
        <s v="+ URBANO CIPRIANO RESTITITO  q.e" u="1"/>
        <s v="IMPORTANTE EMPRESA DEL MEDIO CON" u="1"/>
        <s v="AUTOJUJUY  2" u="1"/>
        <s v="NISSAN - tasa 0" u="1"/>
        <s v="EMPRESA DEL MEDIO PROMOTORA" u="1"/>
        <s v="+ ARIEL JULIO GASPAR Q.E.P.D. F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LA CASA DEL RIEGO ESP TALLERES" u="1"/>
        <s v="---EDICTO SUCESORIO--- El Juzgad" u="1"/>
        <s v="DUEÑO VENDE  sin comisión casa 2" u="1"/>
        <s v="BROD CAMIONES" u="1"/>
        <s v="ASOCIACION “TODOS JUNTOS”  CONVO" u="1"/>
        <s v="CARNICERIA LIZARRAGA   CELEBRACI" u="1"/>
        <s v="PIE DE PAGINA !!" u="1"/>
        <s v="PAEZ S.R.L. ESP EL CARMEN" u="1"/>
        <s v="      EDICTO SUCESORIO EL JUZGAD" u="1"/>
        <s v="EXPTE. 2024 - 135- A.D.S. 2022  " u="1"/>
        <s v="/////NAVARRO///////////_x000d__x000a__x000d__x000a_COPIAR MODELO AVISO ANTERIOR" u="1"/>
        <s v="Extintores EMSA" u="1"/>
        <s v="CITROEN C3 VTI 115 Origins, Mode" u="1"/>
        <s v="ELECTROMECANICA SANCHEZ  ANIV. S" u="1"/>
        <s v="SALES DE JUJUY - PERIODISTAS" u="1"/>
        <s v="IMPRENTA ALBERDI ESP EL CARMEN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EDICTO - - - El Juzgado de Primera Insta" u="1"/>
        <s v="INGENIO LA ESPERANZA - ESP UNION" u="1"/>
        <s v="SOCIEDAD MUTUAL CLUB ATLETICO BA" u="1"/>
        <s v="AVISO ARMADO" u="1"/>
        <s v="- EDICTOS - -   ----EN EL EXPTE." u="1"/>
        <s v="GOBIERNO DEFENSOR PENAL PUBLICO " u="1"/>
        <s v="AG AGRO GALLEGO  - ESP TRABAJADO" u="1"/>
        <s v="FERIA DE MONTERRICO - CAMBIO DE " u="1"/>
        <s v="FRAILE HOCKEY CLUB  - ASOCIACION" u="1"/>
        <s v="Poder Judicial de la Nación  EDI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ALQUILO GALPON" u="1"/>
        <s v="TRAME  SALUDO DE FIN DE  AÑO" u="1"/>
        <s v=" HOSPITAL MATERNO INFANTIL DR. H" u="1"/>
        <s v="//// con logo - word en carpeta " u="1"/>
        <s v="PESCADERIA ROCHITAS Celebrando N" u="1"/>
        <s v="COPAIPA . AMIA" u="1"/>
        <s v="    Perico  +CARMEN BURGOS DE AL" u="1"/>
        <s v="Sandra Corre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LIC.PUB. Nº 01/20210 DECRETO ..." u="1"/>
        <s v="FONDO NEGRO LETRAS BLANCAS... GRACIAS" u="1"/>
        <s v="CRUZ SUSANA ASUNCION" u="1"/>
        <s v="CAROLINA HOGAR ESP SAN CAYETANO" u="1"/>
        <s v="ASAMBLEA GENERAL ORDINARIA SINDI" u="1"/>
        <s v="SE COMUNICA A NUESTROS CLIENTES " u="1"/>
        <s v="TRES GOBIERNO  CANNAVA" u="1"/>
        <s v="CASA B° ALTE Brown, monoambiente" u="1"/>
        <s v="NUEVO PROFESIONAL ARQUITECTO LUI" u="1"/>
        <s v="FONDO AMARILLO.... LETRAS NEGRAS..." u="1"/>
        <s v="si se encuentra el logo.... en la parte de arriba por favor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+Juan José Vargas  (q.e.p.d.) Fa" u="1"/>
        <s v="EDICTOS  La Dra. Lucía Brandan V" u="1"/>
        <s v="ASOCIACION CIVIL SOCIAL CULTURAL" u="1"/>
        <s v="EDICTO   - - Cámara en lo Civil " u="1"/>
        <s v="EDICTO ---La Cámara en lo Civil 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ESTUDIO JURIDICO DR. ALEJANDRO D" u="1"/>
        <s v="LOGROS PRES. DE LA NACION  TELAM" u="1"/>
        <s v="SANATORIO LOS LAPACHOS..DIA DEL " u="1"/>
        <s v="EL MARTINAZO" u="1"/>
        <s v="+ MAMANÍ, MARCELINA Falleció el " u="1"/>
        <s v="+ MARTÍNEZ ROSENDO  Falleció el " u="1"/>
        <s v="+ MARÍA LAURA BARRÓN CORBALAN Fa" u="1"/>
        <s v="GOBIERNO TURISMO HORNACAL  (part" u="1"/>
        <s v="TRAME S.R.L.  ADHESION DIA DE LA" u="1"/>
        <s v="PRESTAMOS POR EMPEÑO (AVISO ARMADO R" u="1"/>
        <s v="+ LAURA OVIEDO DE CHOQUE Q.E.P.D" u="1"/>
        <s v="GOBIERNO  DIA GRANDE JUJUY ..." u="1"/>
        <s v="       + VILCA SATURNINA        " u="1"/>
        <s v="CAMARA MINERA - 19 DE ABRIL" u="1"/>
        <s v="CONVOCATORIA A ELECCIONES S.A. d" u="1"/>
        <s v="RTP INSUMOS (Aviso armado) carpe" u="1"/>
        <s v="                                " u="1"/>
        <s v="////LOGO////Centro de Jubilados," u="1"/>
        <s v="LA CASA DEL RIEGO EMP DEL TABACO" u="1"/>
        <s v="TUCUMÁN  CAPITAL  VENDO  DEPTO. 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OBIERNO PASE SANITARIO TRES" u="1"/>
        <s v="Mónica del Valle Luna y Pablo Al" u="1"/>
        <s v="GOBIERNO TELAM I=I" u="1"/>
        <s v="LATITUD SUR ESP MUJER" u="1"/>
        <s v="+ NESTOR JOSE  GARAY “CACHO” Q.E" u="1"/>
        <s v="CONVOCATORIA A ASAMBLEA  La Comi" u="1"/>
        <s v="EMPRESA CONSTRUCTORA BUSCA TOPOG" u="1"/>
        <s v="DOVIS DIESEL EMP. DEL TABACO" u="1"/>
        <s v="GRANDES HOMBRES CHULI  JORGE y C" u="1"/>
        <s v="FOTO ENTERA" u="1"/>
        <s v="BENJAMIN FELIZ ALVARADO" u="1"/>
        <s v="+ VILCA, Juana (q.e.p.d.) Fallec" u="1"/>
        <s v="FIAMBRERIA IRENE  ESP EMPRESARIO" u="1"/>
        <s v="FIAMBRERIA IRENE ESP. EMPRESARIO" u="1"/>
        <s v="IMPORTANTE EMPRESA COMERCIAL  BU" u="1"/>
        <s v="BIBLIOTECA POPULAR “ROSARIO TOLA" u="1"/>
        <s v="LUIS CRUZ   AVISO ARMADO" u="1"/>
        <s v="CARNE DE FEEDLOT Media res de fe" u="1"/>
        <s v="CARNES POPULAR MUNICIPALIDAD DE " u="1"/>
        <s v="CON FOTO COLOR******AGREGAR FOTO MIRTA GRICELDA MACHACA “Nena”" u="1"/>
        <s v="CLINICA SOL" u="1"/>
        <s v="LAS VERTIENTES" u="1"/>
        <s v="UNION CAÑEROS INDEPEND ESP. CIUD" u="1"/>
        <s v="                                        " u="1"/>
        <s v="PAG. 5-GOBIERNO ANUARIO ..." u="1"/>
        <s v="GOBIERNO LA MEJOR VACUNA ...." u="1"/>
        <s v="+ MORALES JORGE q.e.p.d. Falleci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SOTO CORNEJO CARLOS H. EXPTE C-0" u="1"/>
        <s v="- DPTOS ZONA PARQUE SAN MATIN  Y ZON" u="1"/>
        <s v="GOBIERNO ...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INGENIO RIO GRANDE" u="1"/>
        <s v="+ HERNAN SERRANO Q.E.P.D. 05-07-" u="1"/>
        <s v="CAFE SERV. SELECC. EMPRESA DE SE" u="1"/>
        <s v="DUEÑA VENDE VW Fox Confortline 2" u="1"/>
        <s v="GRAFFITI  ANIVERSARIO 42 EL TRIB" u="1"/>
        <s v="Alvarez y Cia.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DICTO SUCESORIO  Juzgado Multif" u="1"/>
        <s v="TUCUMÁN  SAN MIGUEL VENDO  DEPTO" u="1"/>
        <s v="BULONERA SALUZZO ESP VILLANUEVA" u="1"/>
        <s v=" EDICTO SUCESORIO   - - - - - - " u="1"/>
        <s v="BRUJO ROBERT.AZ (AVISO ARMADO CA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xpte. C-165900/20 EDICTO SUCESO" u="1"/>
        <s v="Expte. C-184559/21 EDICTO SUCESO" u="1"/>
        <s v="MARINARO  CELEBRACIÓN A LA VIRGE" u="1"/>
        <s v="CON IMAGEN DE EL GAUCHITO GIL a color" u="1"/>
        <s v="FORTÍN GAUCHO &quot;EL PALENQUE DE PA" u="1"/>
        <s v="2-TAN...GOBIERNO" u="1"/>
        <s v="OLGA MYRIAM RODRIGEUEZ" u="1"/>
        <s v="Buscamos ASESOR DE VENTAS con Ex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LBERTO JOSÉ LÓPEZ (q.e.p.d.) Fa" u="1"/>
        <s v="MARTILLERA LAURA BLANCO VENDO GA" u="1"/>
        <s v="VENDO DPTO. Premium Salta Capita" u="1"/>
        <s v="infomercial comodín" u="1"/>
        <s v="BINGO HOSPITAL  ...." u="1"/>
        <s v="Centro Empl. De Comercio" u="1"/>
        <s v=" Ref. Expte. Nº C-155106/2020 ca" u="1"/>
        <s v="1/16 PAGO SOLICITADA PUBLICADA 1" u="1"/>
        <s v="CONCEJAL DR. HUGO SOSA  ANIV. B°" u="1"/>
        <s v="CONVOCATORIA  La Comisión Direct" u="1"/>
        <s v="EMPRESA LIDER  BUSCA RESPONSABLE" u="1"/>
        <s v="LIC.PUB. NAC. Nº 1/2022 MEJORA P" u="1"/>
        <s v="SE ALQUILA DPTO.  PARA UNA PERSO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+ SEBASTIAN SILISQUE Falleció el" u="1"/>
        <s v="VETERINARIA PUSSETTO DIA DEL VET" u="1"/>
        <s v="avalos cristian 2x3   ///aviso a" u="1"/>
        <s v="CONCURSO LICIT ROPA INDUMENTARIA" u="1"/>
        <s v="EDICTOS Dra. ELBA RITA CABEZAS, 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VOLKSWAGEN GOLF" u="1"/>
        <s v="VETERINARIA HELIOS" u="1"/>
        <s v="ANTECEDENTES DE POSTULANTE LEY 6" u="1"/>
        <s v="CENTRO VECINAL BARRIO LOMA GOLF " u="1"/>
        <s v="Grupo Budeguer selecciona - JEFE" u="1"/>
        <s v="VARGAS, Silvia Adriana (q.e.p.d." u="1"/>
        <s v="VENDO KANGOO 20160, 160.000km. P" u="1"/>
        <s v="  EDICTO  =======DRA  MARISA E. " u="1"/>
        <s v="+ SIVILA, Gloria del Valle  Q.E." u="1"/>
        <s v="DIA DE LA MADRE  PANADERIA EL AB" u="1"/>
        <s v="EL MOJON EMPANADAS ESP GASTRONOM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FÁBRICA DE MUEBLES a medida en Melan" u="1"/>
        <s v="VDO. TERRENO EN &quot;NUEVO ALISOS&quot;  CIUDAD P" u="1"/>
        <s v="foto  en carpeta de la fecha" u="1"/>
        <s v="FOTOS EN CARPETA DE LA FECHA" u="1"/>
        <s v="GOBIERNO TRAMITES POLICIALES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+ ANGELA SORUCO DE ORTIZ  Q.E.P.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MUNICIPALIDAD DE PERICO - san j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ALEMAR  ANIVERSARIO CLINICA NTRA" u="1"/>
        <s v="VETERINARIA BELGRANO SUR-DIA DEL" u="1"/>
        <s v="CONVOCATORIA A ASAMBLEA  LA ASOCIACIÓN J" u="1"/>
        <s v="UNION CAÑEROS INDEPEND. ESP CAMA" u="1"/>
        <s v="SEA AUTOMOTORES" u="1"/>
        <s v="EMPRESA DEL MEDIO ING ELECTRICO" u="1"/>
        <s v="----EDICTO----                 -" u="1"/>
        <s v="/////LOGO ANUNCIO 1473606////// " u="1"/>
        <s v="CLUB AFICIONADOS BILLAR-AJEDREZ " u="1"/>
        <s v="JMS MAQUINAS AGROVIALES ESP TRAB" u="1"/>
        <s v="LA CASA DEL MATAFUEGO S.A. AHESI" u="1"/>
        <s v="NAVARRO HILARIA “LA COPLERITA DE" u="1"/>
        <s v="ANTONIA RUEDA" u="1"/>
        <s v="SE BUSCA CONTADOR" u="1"/>
        <s v="AVISO ARMADO LABARTA" u="1"/>
        <s v="EL MUNDO DEL PLOMERO ESP ARQ" u="1"/>
        <s v="6447/2021  GALEAN ESTRADA, GLORI" u="1"/>
        <s v="GOBIERNO  FIESTAS PATRONALES EL " u="1"/>
        <s v="GOBIERNO CONGRESO DE LA JUVENTUD" u="1"/>
        <s v="LA COMISION DIRECTIVA del SINDIC" u="1"/>
        <s v="BARROJOS DIA DEL GASTRONOMICO" u="1"/>
        <s v="LIBRERIA SAN PABLO - papel noa" u="1"/>
        <s v="OPTICA EL GALLO ESP 23 DE AGOSTO" u="1"/>
        <s v="HESS FAMILY" u="1"/>
        <s v="EMPRESA ENERGIA BUSCA - ANALISTA" u="1"/>
        <s v="EMPRESA GASTRONOMICA LIQUIDA • E" u="1"/>
        <s v="ENTER SERVICE S.A.  ESP EXODO JU" u="1"/>
        <s v="Los Naranjos (aviso armado)" u="1"/>
        <s v="+ACHO, PEDRO        Q.E.P.D  Fal" u="1"/>
        <s v="ASOCIACIÓN CIVIL CLUB ATLÉTICO J" u="1"/>
        <s v="CARRIZO, ALEJANDRO FIDEL     (q." u="1"/>
        <s v="CHACHITO LOPEZ q.e.p.d Falleció " u="1"/>
        <s v="jujuy florece  con nota  aviso a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UTHGRA - DIA DE LA MUJER" u="1"/>
        <s v="CON FOTO COLOR CARP 17-03" u="1"/>
        <s v="CARUSO SEGUROS ESP TRABAJADOR" u="1"/>
        <s v="CONVOCATORIA A ASAMB." u="1"/>
        <s v="Comparsa La Unión de la Ciudad d" u="1"/>
        <s v="EDICTO SUCESORIO   - - - El Juzg" u="1"/>
        <s v="LÓPEZ INMOBILIARIA  COMPRAS-VENT" u="1"/>
        <s v="TASACIONES CASAS- TERRENOS- FINCAS. " u="1"/>
        <s v="foto en carpeta de la fecha 17/07 LUIS ALBERTO MAMANI nuevo profesional" u="1"/>
        <s v="EVEX" u="1"/>
        <s v="estudio juridico  aviso armado" u="1"/>
        <s v="DUEÑA VENDE   Toyota Etios GLS (" u="1"/>
        <s v="GOBIERNO VACUNACION ANTIGRIPAL.." u="1"/>
        <s v="+ TAPIA, Gabriela (q.e.p.d.)  Fa" u="1"/>
        <s v="DUEÑO VENDE TERRENO NUEVO ALISOS" u="1"/>
        <s v="PAMPA BLANCA  VENDO  4 HAS. CEL." u="1"/>
        <s v="VINERIA SAN JUAN  Empleados de C" u="1"/>
        <s v="va con fotos este aviso GUARDADAS EN CARPETA DIA 9 DE MARZO" u="1"/>
        <s v="CLUB ATLETICO LEDESMA  ASAMBLEA" u="1"/>
        <s v="IMPORTANTE  TERRENO *ESQUINA* 1.400 m2 d" u="1"/>
        <s v="INTIWATANA ESP MOJON" u="1"/>
        <s v="+ RETAMOZO, Zenón Roberto “Reta”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JOSE MARHE JURE" u="1"/>
        <s v="EJESA  CORTE ...." u="1"/>
        <s v="COLEGIO DE PSICOLOGOS" u="1"/>
        <s v="+  MARCELO OSCAR SANTOS         " u="1"/>
        <s v="FIESTA DEL REENCUENTRO - CANJE P" u="1"/>
        <s v="DIA 05 LEYENDA MAÑANA _x000d__x000a_DIA 06 LEYENDA HOY" u="1"/>
        <s v="GOBIERNO DISTANIATE ..." u="1"/>
        <s v="ADICEM PAG. ESP. (DIAGRAM 5X3MOD" u="1"/>
        <s v="CONSEJO DE FARMACEUTICOS ESP TRA" u="1"/>
        <s v="GOBIERNO  DIA DE SAN ISIDRO LABR" u="1"/>
        <s v="LIMACHE, Eugenio (q.e.p.d.) Se d" u="1"/>
        <s v="MAYSSA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+ ALEJANDRO OMAR GUTIERREZ (Q.E." u="1"/>
        <s v="ASOCIACION “TODOS JUNTOS” CONVOC" u="1"/>
        <s v="BELLIDO FREDI JUAN (q.e.p.d.) Fa" u="1"/>
        <s v="CON FOTOO!" u="1"/>
        <s v="GLADYS ROSA ALONSO" u="1"/>
        <s v="ALQUILA: MESAS &amp; SILLAS Manteles" u="1"/>
        <s v="ANTONIO RODAMIENTOS ESP REPUESTE" u="1"/>
        <s v="GAUCHITO GIL Gracias por los fav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CHEVROLET SPIN 7 asientos Mod&quot;20" u="1"/>
        <s v="SIN BASE: UN AUTOMOVIL MARCA PEU" u="1"/>
        <s v="HUGO TOMAS AÑASGO" u="1"/>
        <s v="ADICEM (aviso 5x3)" u="1"/>
        <s v="COLEGIO DE BIOQUIMICOS" u="1"/>
        <s v="PERESSIN DIA DE LA MADRE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CENTRO VECINAL  CAMPO VERDE CONV" u="1"/>
        <s v="/// CON LOGO///_x000d__x000a__x000d__x000a_LA PIEDAD _x000d__x000a__x000d__x000a_ANIVERSARIO DIARIO EL TRIBUNO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ELECTROMAT ESP TRABAJADOR" u="1"/>
        <s v="CONVOCATORIA ”Organizacion Comun" u="1"/>
        <s v="ESTUDIO CARRERAS - ESP GRADUADOS" u="1"/>
        <s v="DIAGRAMACION SR. DIEGO" u="1"/>
        <s v="GRUPO LEDESMA BUSQUEDA JOVENES" u="1"/>
        <s v="CLUB ATLETICO VILLA  BELGRANO  L" u="1"/>
        <s v="COL. FARMACEUTICOS ... DIA DEL M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ÓN CIVIL Y CULTURAL DE L" u="1"/>
        <s v="GOBIERNO DIS   TAN    CIA    TE " u="1"/>
        <s v="Sucesores de Fleming Fina Santa " u="1"/>
        <s v="PERICO: VENDO  LOTES para CONSTRUCCION  " u="1"/>
        <s v="CORRALON EL MERCADO ESP CONST." u="1"/>
        <s v="ASOCIACION COOPERADORA FACULTAD " u="1"/>
        <s v="COLEGIO DE BIOQUIMICOS ESP BIOQ." u="1"/>
        <s v="E   D   I   C   T   O  JUZGADO D" u="1"/>
        <s v="JUMI SRL  NECESITA INCORPORAR  J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RULIPAN  AVISO ARMADO" u="1"/>
        <s v="- - EDICTO   SUCESORIO - - -   -" u="1"/>
        <s v="ANIVERSARIO EL PUNTO JUSTO   AGR" u="1"/>
        <s v="CARLOS MIGUEL OLVERA PASTOR  MAR" u="1"/>
        <s v="CRYSTHAL EMPRESA DE VIAJES Y TUR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ALQUILO LOCALES Y OFICINAS EN PE" u="1"/>
        <s v="NUEVO PROFESIONAL  CPN Llanes, F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LA CASA DEL RIEGO  ESP NAVIDAD" u="1"/>
        <s v="DEL RIO AUTOMOTORES ESP. VIEJA V" u="1"/>
        <s v="EDICTOS.- --- TRIBUNAL DE TRAJO " u="1"/>
        <s v="iglesia evangelica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VDO. TERRENO  B° “ALTO COMEDERO”" u="1"/>
        <s v="FONDO AZUL LETRAS BLANCAS" u="1"/>
        <s v="CENTRO EMP DE COMERCIO ESP LEALT" u="1"/>
        <s v="ROBERTO ROMITTI DIA DEL PELUQUER" u="1"/>
        <s v="Zalazar Andrés  (q.e.p.d.) Se du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MEGAFERIA DE AUTOS SEMINUEVOS  D" u="1"/>
        <s v="APACHETA - la mansion" u="1"/>
        <s v=" Ref. Expte. N° C-180399/2021 ca" u="1"/>
        <s v="SIND. DE LUZ Y FUERZA ESP. MUJER" u="1"/>
        <s v="ANTONIO JAVIER ROMERO" u="1"/>
        <s v="edicto Todos unidos por palpalá" u="1"/>
        <s v="-EDICTO SUCESORIO  - - - JUZGADO" u="1"/>
        <s v="COLEGIO MEDICO - DÍA PANAMERICAN" u="1"/>
        <s v="UNO EJESA CORTE...." u="1"/>
        <s v="color con foto para 05-03" u="1"/>
        <s v="WERCHOW PATRONAL DE PERICO" u="1"/>
        <s v="FARMACIA GRAL. BELGRANO ANUARIO" u="1"/>
        <s v="5/16 PAGO SOLICITADA PUBLICADA 1" u="1"/>
        <s v="LA MANSION NECESITA AYUDANTE COC" u="1"/>
        <s v="FOTO GUARDAD EN LA CARPEAT DE LA FECHA DE AT. AL CLIENTE_x000d__x000a__x000d__x000a_CON FLORES DE MUCHOS COLORES" u="1"/>
        <s v="DERGAM ESP ING" u="1"/>
        <s v="MARIA JOSEFA MARTINEZ" u="1"/>
        <s v="PAEZ S.R.L. DIA DEL TRABAJADOR" u="1"/>
        <s v="INSTITUTO BALCARCE PAGINA ESPECI" u="1"/>
        <s v="MUNIC. S.S. DE JUJUY - AUTONOMIA" u="1"/>
        <s v="REMAX  ADHESION A VIEJA VIOLETA" u="1"/>
        <s v="+ MEYER, Jorge Tito (q.e.p.d.) F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ELECTROSTAR ESP EMP DE COM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GIMENEZ, ISABEL REINA    AVISO A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AGUAS PERICO PATRONAL PERICO" u="1"/>
        <s v=" + JOSE LUIS MAMANI (Q.E.P.D.) S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+ ALBARRACIN, Jacoba  (q.e.p.d.)" u="1"/>
        <s v="+ ALFREDO FARFAN ALFA (q.e.p.d.)" u="1"/>
        <s v="-  E D I C T O  -  -   -  -  - D" u="1"/>
        <s v="Hector gallardo   César Morales " u="1"/>
        <s v="“CLUB SOCIAL CULTURAL Y DEPORTIV" u="1"/>
        <s v="+ PEREZ, Hemeterio  (q.e.p.d.) F" u="1"/>
        <s v="OBRAS GENERICAS- MINISTERIO DE O" u="1"/>
        <s v="VENDO  Departamento U$S 25.000 2" u="1"/>
        <s v="sin foto blanco y negro" u="1"/>
        <s v="BUSCAMOS MEDICOS/AS NUTRIC." u="1"/>
        <s v="CONVOCATORIA A ASAMBLEA EXTRAORD" u="1"/>
        <s v="CABALLERO ALQUILA DPTOS" u="1"/>
        <s v="FONDO ROJO LETRAS NEGRAS" u="1"/>
        <s v="ATENCIÓN VENDO  *BOLSAS de 50 Kg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  ASOCIACIÓN CIVIL CORAZONES SOL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COLEGIO DE KINESIOLOGOS ESP FISI" u="1"/>
        <s v="DUEÑO VENDE Dpto. Córdoba  Centr" u="1"/>
        <s v="SE NECESITA oficiales armadores " u="1"/>
        <s v="COLOR CON FOTO 04-03" u="1"/>
        <s v="LOGO GOBIERNO FNE ..." u="1"/>
        <s v="EDICTO  DRA. ALEJANDRA DANIELA T" u="1"/>
        <s v="con foto  Chapur Oscar a color enviado al correo de onituarios (visible)" u="1"/>
        <s v="LUIS MALLAGRAY" u="1"/>
        <s v="IMAGEN CARP. 27-11" u="1"/>
        <s v="TEMAS MEDICOS  SHALOM" u="1"/>
        <s v="FABIAN JORGE TERAN EXPTE C084231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VENTA DE LOTES económicos a part" u="1"/>
        <s v="CRISTINA DEL VALLE SOSA 13-02-19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GARELY SACI ESP ANUARIO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OBIERNO ENERGIA RENOVABLES..." u="1"/>
        <s v="LA NONA PAGINA ESPECIAL (AVISO 5" u="1"/>
        <s v="MUNIC. S.S. DE JUJUY - SOBERANIA" u="1"/>
        <s v="SE BUSCA ANALISTA  PROGRAMADOR U" u="1"/>
        <s v="GOBIERNO AGUA POTABLE ...." u="1"/>
        <s v="         E  D  I  C  T  O  S  - " u="1"/>
        <s v="E  D  I  C  T  O:   = = = DRA.SE" u="1"/>
        <s v="MUNICIPALIDAD DE SAN PEDRO - tra" u="1"/>
        <s v="OBITUARIO CON FOTO DISEÑO ENVIADO AL CORREO DE OBITURIO (3x3) color" u="1"/>
        <s v="CAMARA DE TABACO - ESP. HUEDA" u="1"/>
        <s v="CREDITOS CASA PROPIA TELAM..." u="1"/>
        <s v="MUNIC. S.S. DE JUJUY - LIC PUBLI" u="1"/>
        <s v="+ MIGUELINA MONTAÑO 02/11/1937 -" u="1"/>
        <s v="EDICTO ---Dr. Tomas Méndez Curut" u="1"/>
        <s v="DUEÑO VENDE TOYOTA HILUX SRV cuero, " u="1"/>
        <s v="con imagen carpeta 7 de marzo_x000d__x000a__x000d__x000a__x000d__x000a_POR FAVOR TAMBIEN TEXTO MODIFICADO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COMODIN - ALICOR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UNIV. SIGLO 21 - abogacia" u="1"/>
        <s v="                          EDICTO" u="1"/>
        <s v="+ ESTELA MARINA ARANIBAR  Q.E.P." u="1"/>
        <s v="REPITE ANUNCIO" u="1"/>
        <s v="EDICTO SUCESORIO  EL EXPTE. N° C" u="1"/>
        <s v="GOBIERNO MINISTERIO DE HACIENDA " u="1"/>
        <s v="HORIZONTE ESP SUP. COMPLEJO MINI" u="1"/>
        <s v="OPTICA SKOREPA  CELEBRACIÓN A LA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VALVERDI PROPIEDADES  VENTA - ALQUIL" u="1"/>
        <s v="repite del ultimo aviso" u="1"/>
        <s v="&quot;BIBLIOTECA POPULAR BARTOLOMÉ MI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MARATON  30 -09  AL 14-10cCHANGO" u="1"/>
        <s v="MEXICANA PAGINA ESPECIAL" u="1"/>
        <s v=" -----------------------------E " u="1"/>
        <s v="+ GUZMAN, Horacio Martin  Q.E.P." u="1"/>
        <s v="ASOCIACIÓN COOPERADORA DE LA FAC" u="1"/>
        <s v="BUSCO LICENCIA TAXI AMARILLO, P/" u="1"/>
        <s v="EDICTOS   - DRA. ELBA RITA CABEZ" u="1"/>
        <s v="EDICTOS  - -Dra. ELBA RITA CABEZ" u="1"/>
        <s v="Samuel J. Cruz -Joel Hermes Cruz  AB" u="1"/>
        <s v="aviso para renovar idem anuncio 1497402" u="1"/>
        <s v="CENTRO VECINAL B4 - B° AEROPARQU" u="1"/>
        <s v="CLUB PESCADORES LA CIENAGA  La C" u="1"/>
        <s v="OPORTUNIDAD BANDA DE YALA  parce" u="1"/>
        <s v="PERICO DUEÑO VENDE CASA Bº BELG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E D I C T O U C E S O R I 0.  Ju" u="1"/>
        <s v="EDICTO  EL EL EXPTE. N° D-036277" u="1"/>
        <s v="DOVIS DIESEL ESP. SAN PEDRO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MATAFUEGOS JUJUY ...." u="1"/>
        <s v="GOBIERNO DIA DEL ESCRIBANO" u="1"/>
        <s v="TELECOM CONVERGENTE 1 OFERTA" u="1"/>
        <s v="ASOCIACION ODONTOLOGICA LEDESMEN" u="1"/>
        <s v="AGATA VETERINARIA" u="1"/>
        <s v="fondo rojo letras azules" u="1"/>
        <s v="werchow   + luis ismael lopez" u="1"/>
        <s v="LA CASA DEL RIEGO  ESP ANUARIO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CACHORROS MINI SCHNAUZER 3884686" u="1"/>
        <s v="CAMARA DE TABACO PATRONAL DE PER" u="1"/>
        <s v="GOBIERNO DE JUJUY  VIOLENCIA DE " u="1"/>
        <s v="MUNIC. S.S. DE JUJUY -  ANIV GIM" u="1"/>
        <s v="FARMACIA YRIGOYEN ESP ANUARIO" u="1"/>
        <s v="- - - - - - - - - - - - - - - --" u="1"/>
        <s v="MUNIC. S.S. DE JUJUY - dia de la" u="1"/>
        <s v="ESPECTACULO INFANTIL" u="1"/>
        <s v="EMP DEL MEDIO .- PROMOTORAS" u="1"/>
        <s v="COBPROBI CON LOGO  ///WORD EN CA" u="1"/>
        <s v="DON AMARANTO  ////AVISO ARMADO//" u="1"/>
        <s v="DISTRIBUIDORA BALBI ESP PANADERO" u="1"/>
        <s v="GOBIERNO DE JUJUY  DIA DE LA SOB" u="1"/>
        <s v="OPORTUNIDAD LABORAL  CHOFER / DE" u="1"/>
        <s v="+ APARICIO, Rene Asunción  Falle" u="1"/>
        <s v="+ DENETT CARLOS 1X3 CARGAR CUENT" u="1"/>
        <s v="GRACIAS SAN SEFERINO Y SAN CAYET" u="1"/>
        <s v="NUEVA DIRECCION - (logo GABIOTA " u="1"/>
        <s v="a color Pag. Esp ADHESIÓN FIESTA PATRONAL SAN JOSE MISMO MODELO Y COLOR (LILA) PREVIA VISTA DE ORIGINALES_x000d__x000a_Modif.  NUEVO SALUDO A SAN JOSE" u="1"/>
        <s v="GRACIELA VIVIANA ALARCON" u="1"/>
        <s v="EDICTO SUCESORIO .-.-.-.- El Juzgado" u="1"/>
        <s v="---E D I C T O S--  Ref. Expte. " u="1"/>
        <s v="BARCENA PROP. VENTA DE CASAS Y D" u="1"/>
        <s v="DA. LYNN E. CRUZ (especialista e" u="1"/>
        <s v="SE NECESITA CARNICERO para zona " u="1"/>
        <s v="ERNESTO ROJAS" u="1"/>
        <s v="FM SOL - FUTBOL GIMNASIA" u="1"/>
        <s v=" EDICTO DE NOTIFICACION  ===CAMA" u="1"/>
        <s v="EMPRESA CON 35 AÑOS..." u="1"/>
        <s v="GRAN MONARCA ESP ANUARIO" u="1"/>
        <s v="LA BULONERA EXODO JUJEÑO" u="1"/>
        <s v="EXAR - DIA DE LA INDUSTRIA" u="1"/>
        <s v="COLEGIO JEAN piaget - TORNEO" u="1"/>
        <s v="GREDI INDUMENTARIA - ANUARIO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A CASA DEL RIEGO ESP ZAFRA LIBE" u="1"/>
        <s v="Ledesma SAAI - DIA DEL PERIODIST" u="1"/>
        <s v="RECONOCIDA CONSULTORA SELECCIONA" u="1"/>
        <s v="SE INFORMA Por razones de fuerza" u="1"/>
        <s v="SE NECESITA RECTISTA Y OVERLOQUI" u="1"/>
        <s v="anuncio para renonar con logo idem aviso 1462009 a color" u="1"/>
        <s v="CELESTINO VELAZQUEZ" u="1"/>
        <s v="AVISO ENVIA POR MAIL" u="1"/>
        <s v="AVISO LLEGA POR MAIL" u="1"/>
        <s v="PRECIOS JUSTOS FEBRERO - TELAM." u="1"/>
        <s v="9/16 PAGO SOLICITADA PUBLICADA 1" u="1"/>
        <s v="+ VICTOR ANTONIO CALDERON q.e.p." u="1"/>
        <s v="SALMA HAIDAR  21/08/21 Al cumpli" u="1"/>
        <s v="UNIV. SIGLO 21 - INICIA EN AGOST" u="1"/>
        <s v="EL TRABAJADOR ES ESPERANZA, EL T" u="1"/>
        <s v="FINCA CHAGUARAL A.ZAFRA" u="1"/>
        <s v="+ CLAUDIO GONZALO FLORES  (Q.E.P" u="1"/>
        <s v="IMPORTANTE FABRICA DE BEBIDAS DE" u="1"/>
        <s v="LA COMISION DIRECTIVA DEL  CENTR" u="1"/>
        <s v="Vendo Pala cagardora Cat 930 En " u="1"/>
        <s v="con color" u="1"/>
        <s v="ELECTROSTAR ESP EMP. DE COMERCIO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FOTO 1 + REYES, Walter Rubén (q." u="1"/>
        <s v="IMPRENTA ALBERDI DIA TRABAJ. GRA" u="1"/>
        <s v="CAMARA DE TABACO (TAPA)" u="1"/>
        <s v="CON IMAGEN SAN EXPEDITO color" u="1"/>
        <s v="+ ZELAYA HORACIO ANTONIO        " u="1"/>
        <s v="AGOSTINI DES. INMOBIL ESP ANUARI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FESTIVAL PUEBLO ATACAMA" u="1"/>
        <s v="GOBIERNO DECRETO..." u="1"/>
        <s v="CONSEJO DE FONOAUDIOLOGOS CONVOC" u="1"/>
        <s v="Vendo Camioneta Amarok V6 4x4  H" u="1"/>
        <s v="CLUB ATLETICO GORRITTI...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PROYAJO S.A. ESP EXODO JUJEÑO" u="1"/>
        <s v="Convocatoria El Consejo de Admin" u="1"/>
        <s v="EDICTOS  Ref. Expte. N° D-036585" u="1"/>
        <s v="FARMACIA YRIGOYEN ESP TRABAJADOR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EDICTO  = = = Dr. ENRIQUE R. MATEO, JUEZ" u="1"/>
        <s v="MUTUAL.. DEL CIRC. DE OFICIALES " u="1"/>
        <s v="GERARDO RUBELT" u="1"/>
        <s v="CORRALON EL AMIGO" u="1"/>
        <s v="TROPICO .... ADHESION" u="1"/>
        <s v="MARIELA GALLARDO TAPIA" u="1"/>
        <s v=" PODOLOGIA A DOMICILIO Uñas enca" u="1"/>
        <s v="ALEJANDRO ZABALA. GRACIAS SAN EX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OLEGIO DE OPTICOS (BONIF PLAN 3" u="1"/>
        <s v="ESCUELA AGROT. ING R HUEDA ING A" u="1"/>
        <s v="FRAILE HOCKEY CLUB ASOCIACION CI" u="1"/>
        <s v="IMPORTANTE EMPRESA DEL MEDIO NEC" u="1"/>
        <s v="SUBTE - san salvador" u="1"/>
        <s v="ISJ  TALLERES VIRTUALES ..." u="1"/>
        <s v="-EDICTO DE NOTIFICACION---------" u="1"/>
        <s v="AIDE MARCELA ROCHA MARTILLERO JU" u="1"/>
        <s v="DALE LA VUELTA A JUJUY" u="1"/>
        <s v=" E    D    I    C    T    O    S" u="1"/>
        <s v="MUTUAL SAN VALENTIN CONVOCATORIA" u="1"/>
        <s v="VENDO TOYOTA Land Cruiser Prado " u="1"/>
        <s v="Ledesma SAAI" u="1"/>
        <s v="SALUDO COMODIN" u="1"/>
        <s v="FIAMBRERIA GRAN MONARCA ALVEAR" u="1"/>
        <s v="EMPRESA NECESITA  TECNICO ELECTR" u="1"/>
        <s v="Gracias Santa Rita por los favor" u="1"/>
        <s v="////aviso armado en carpeta de l" u="1"/>
        <s v="FM LEDESMA" u="1"/>
        <s v="CONVOCATORIA A ELECCIONES ADEP" u="1"/>
        <s v="Valdiviezo, Teresa Avelina (q.e.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DIQUE LA CIÉNAGA  V     E     N " u="1"/>
        <s v="BUSQUEDA CLINICA" u="1"/>
        <s v="GRAN MONARCA SUP. ESPECIAL" u="1"/>
        <s v="LA CASA DEL PEUGEOT ESP GYE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OLEGIO DE KINESIOLOGOS ESP KINE" u="1"/>
        <s v="CREDIS CRECER  Solicita vendedor" u="1"/>
        <s v="SEOM  8 ANIVERASRIO FALLECIMEINT" u="1"/>
        <s v="RIVERA, José Ceferino (q.e.p.d.) Fal" u="1"/>
        <s v="EL DIA 10 DE DICIEMBRE CON LA LEYENDA &quot;HOY&quot; EN LA PARTE DE ARRIBA" u="1"/>
        <s v="GUARDADO EN CARPETA DE LA FECHA, SI PUEDE QUEDAR A COLOR MEJOR!!!" u="1"/>
        <s v="DIEZMADOS PAGINA ESPECIAL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tratapa" u="1"/>
        <s v="EL  CARMEN MINI ESTACION ...." u="1"/>
        <s v="Cooperadora INTA IPAF NOA  CONVO" u="1"/>
        <s v="GOBIERNO  27 DE ABRIL DIA GRANDE" u="1"/>
        <s v="EDICTO  -   -   -  JUZGADO DE PRIMERA IN" u="1"/>
        <s v="resaltar jubilacion-pension con fondo negro y nombre del profesional y numero de telefono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BURGOS VIDRIOS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MENÉNDEZ, MAXIMINO RAÚL Q.E.P." u="1"/>
        <s v="BOSIO PROPIEDADES ESP MARTILLERO" u="1"/>
        <s v="CAMARA DE EDUCADORES DE INSTITUC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                           Feder" u="1"/>
        <s v="-----------------------E D I C T" u="1"/>
        <s v="con logo enviado al correo de clasificado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EDICTO ---Dra.NORMA BEATRIZ ISSA" u="1"/>
        <s v="FARMACIA SAN MARTIN ESP CAMARA T" u="1"/>
        <s v="BOLLINI ESP TRABAJADOR" u="1"/>
        <s v="TU ESPACIO  SUP. ESTILOS" u="1"/>
        <s v="ACTA N° 4 MESA PROMOTORA / / / /" u="1"/>
        <s v="aviso armado  ADELANTO EN EFECTI" u="1"/>
        <s v="ACUERDO ESCOLAR - COVID LAVADO D" u="1"/>
        <s v="COLEGIO DE ARQUITECTOS ESP SAN J" u="1"/>
        <s v="FM JUJUY QUE NADA NOS DETENGA...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---EDICTO......     JUZGADO MULT" u="1"/>
        <s v="FESTIVAL DEL ACERO" u="1"/>
        <s v="DOVIS DIESEL ESP TRABAJADOR" u="1"/>
        <s v="I C E   DE  3    LITROS....." u="1"/>
        <s v=" ASOCIACION CIVIL CLUB ATLETICO " u="1"/>
        <s v="ASOCIAC. DE SANMARINENS SAN ISID" u="1"/>
        <s v="LUCIANO PEREYR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EL MARTINAZO _x000d__x000a_MARILYN" u="1"/>
        <s v="LATITUD SUR  ESP ANURIO" u="1"/>
        <s v="DUEÑOS VENDEN 3 DEPARTAMENTOS Y " u="1"/>
        <s v="COSEJERO y HECHICERO JAIRO  numero d" u="1"/>
        <s v="GREDI INDUMENTARIA  ANIVERSARIO " u="1"/>
        <s v="TODOJUY -CHEVROJUY" u="1"/>
        <s v="COPPROBI  CON LOGO   WORD EN CAR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AGUADO INMOBILIARIA (aviso armad" u="1"/>
        <s v="RUBEN RIVAROLA - ESP EL CARMEN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+ LAURA ISABEL RODRIGUEZ 1X3" u="1"/>
        <s v="BORA 2.0 TRENDLINE 2010, Nafta, " u="1"/>
        <s v="E D I C T O  EL JUZGADO DE PRIME" u="1"/>
        <s v="VENDO ROLLO DE ALFA O PERMUTO PO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COLEGIO MEDICO día del abogado" u="1"/>
        <s v="Bº GORRITI DUEÑO VENDE  casa 3 d" u="1"/>
        <s v="E    D    I    C    T    O  JUZG" u="1"/>
        <s v="La Rotonda Lacteos - San jose pa" u="1"/>
        <s v="MARIA BESTANI   AVISO ARMADO" u="1"/>
        <s v="RUBEN RIVAROLA ESP PERIODISTAS" u="1"/>
        <s v="DOVIS DIESEL  ESP. CAMAR DEL TAB" u="1"/>
        <s v="COMODIN - SOFTYS" u="1"/>
        <s v="CARNICERIA CONSTITUCION DIA DE L" u="1"/>
        <s v="NECESITO PARA HOSTERIA  en Tilca" u="1"/>
        <s v="San Pedro de Jujuy, 24 de mayo d" u="1"/>
        <s v="TAPA - GOBIERNO DIA DE LA VIRGEN" u="1"/>
        <s v="+ MACINA MARINO (Q.E.P.D.)  Fall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PARICIO CLAUDIO LEONARDO EXPTE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BUSQUEDA LABORAL SUPERVISOR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texto enviado al correo de clasificados" u="1"/>
        <s v="SUCREDITO" u="1"/>
        <s v="TAVERNITI  ESP ANUARIO" u="1"/>
        <s v="/// logo quenanias ////  El Dire" u="1"/>
        <s v="ASOCIACION DEPORTIVA Y CULTURAL " u="1"/>
        <s v="Asociación Deportiva y Cultural " u="1"/>
        <s v="brizuela" u="1"/>
        <s v="JOSE LEON ZALAZAR" u="1"/>
        <s v="                       +  MARTIN" u="1"/>
        <s v="CENTRO VECINAL CONSTITUCIÓN DE P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JMS MAQUINAS AGROVIALES DIA DEL " u="1"/>
        <s v="RIVAROLA" u="1"/>
        <s v=" EDICTO SUCESORIO  Juzgado de Pr" u="1"/>
        <s v="idem aviso 1465189" u="1"/>
        <s v="EDUCACION PUBLICA Y DE CALIDAD" u="1"/>
        <s v=".                               " u="1"/>
        <s v="EDICTO SUCESORIO .-.-.-.- JUZGAD" u="1"/>
        <s v="LOS TILIANES - DIA DEL OBRERO MINERO" u="1"/>
        <s v="SEMETRA" u="1"/>
        <s v="Colegio de Opticos" u="1"/>
        <s v="CARNICERIA CONSTITUCION,  DIA DE" u="1"/>
        <s v="CONVOCATORIA     La Dirección de" u="1"/>
        <s v="CONVOCATORIA  ASAMBLEA EXTRAORDI" u="1"/>
        <s v="GOBIERNO  INCENDIOS FOP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BAJO LA VIÑA vendo terrenos, div" u="1"/>
        <s v="EMPRESA CONSTRUCTORA BUSCA URGEN" u="1"/>
        <s v="TASADOR PROFESIONAL CRISTIAN L. " u="1"/>
        <s v="NGA" u="1"/>
        <s v="EDICTOS ---- Dra. MARIA ULIA GAR" u="1"/>
        <s v="VILLANUEVA - ANUARIO" u="1"/>
        <s v="GOBIERNO JUJUY HABITAT" u="1"/>
        <s v="LIGA DE VETERANOS DE FUTBOL DE J" u="1"/>
        <s v="TRANSMISIÓN POR STREAMING X CANA" u="1"/>
        <s v="WIDEX LO AYUDA A RECUIPERAR LA A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CAMARA JUJEÑA DE LA CONSTRUCCIÓN" u="1"/>
        <s v="PEUGEOT PATAGONICA  FULL-2016- G" u="1"/>
        <s v="COOP DE TABACALEROS" u="1"/>
        <s v="+ EUDOCIA ANTONINA LIQUIN  Se du" u="1"/>
        <s v="LUCIA MAMANÍ “Tuzy” Se durmió en" u="1"/>
        <s v="SUSPENSIÓN DE CONVOCATORIA A ELE" u="1"/>
        <s v="FAMILIA FACHINI" u="1"/>
        <s v="REINAUGURACION PARRILLADA EL PAL" u="1"/>
        <s v="SIMECOM SRL ESP APPACE" u="1"/>
        <s v="E   D   I   C   T   O   S - - - " u="1"/>
        <s v="AVISO CARGADO EN PROMOCIONALES PRO ORDEN DE LA SRA. ADMINISTRADORA JACQUELINE MENDEZ MEALLA." u="1"/>
        <s v="Farmacia Carrizo - Arrieta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///LOGO/// VENTA * Vendo Lote en" u="1"/>
        <s v="BUSCO PREVENTISTA con  experienc" u="1"/>
        <s v="COMODIN" u="1"/>
        <s v="/// AVISO ARMADO /// + JURADO MA" u="1"/>
        <s v="CONSEJO DE CIENCIAS ECONOMICAS -" u="1"/>
        <s v="CONVOCATORIA La Comisión del Cen" u="1"/>
        <s v="con foto francisca zamboni" u="1"/>
        <s v="CENTRO VECINAL BARRIO ALTO PÁLPA" u="1"/>
        <s v="PROYAJO S.A. ESP TALLERES DE PER" u="1"/>
        <s v="SIND. DE LUZ Y FUERZA LEALTAD PE" u="1"/>
        <s v="SMATA JUJUY DIA DEL MECANICO" u="1"/>
        <s v="+ EDUARDO NALLAR Q.E.P.D. Fallec" u="1"/>
        <s v="GARNICA GISELA NOEMI EXP 617316/" u="1"/>
        <s v="¿TENES UN  VEHÍCULO  UTILITARIO " u="1"/>
        <s v="BUSCO CONTRATISTA DE OBRA" u="1"/>
        <s v="VERDE COLOR DE FONDO PÒR FA !" u="1"/>
        <s v="EMP DEL MEDIO INCORPORA PROMOT" u="1"/>
        <s v="CONVOCATORIA           La Comisi" u="1"/>
        <s v="EMPRESA LIMSA - DI DEL TRABAJADO" u="1"/>
        <s v="YOLY POLLERIA - ESP CAMARA TABAC" u="1"/>
        <s v="INMOB CONST NECESITA VEND INMOB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GOBIERNO  DE JUJUY   25 DE MAYO " u="1"/>
        <s v="J.CH. GRACIAS SAN EXPEDITO POR L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EXTINTORES Y SERV. EMSA" u="1"/>
        <s v="LUISIÑO - ESP LENARDUZZI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ANUARIO EL TRIBUNO" u="1"/>
        <s v="AGROQUIMICA SAN JOSE" u="1"/>
        <s v="GARELY SACI ESP PERIODIST." u="1"/>
        <s v="ISJ GOBIERNO DIA DLE NIÑO...." u="1"/>
        <s v="LAS CAPILLAS  JUJUY          + H" u="1"/>
        <s v="CONSEJO DE MEDICOS  ADHESION DIA" u="1"/>
        <s v="MUNDO MAGICO  ANIVERSARIO  SAN C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CAMARA DE TABACO - EMPLEADO DEL " u="1"/>
        <s v="EMPRESA CONSTRUCTORA Steel Frami" u="1"/>
        <s v="LA ESTACION RESTO BAR ESP GASTRO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GOBIERNO DE JUJUY ANIVERSARIO TE" u="1"/>
        <s v="OPORTUNIDAD IGUAL A 0km Ford Fie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KARINA PAGINA ESPECIAL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HUMAHUACA JUEVES DE COMADRES" u="1"/>
        <s v="LA CASA DEL RIEGO ESP SAN PEDRO" u="1"/>
        <s v="+ OSCAR DOMINGO VALDIVIEZO  q.e." u="1"/>
        <s v="//logo/// LOS CERROS PROPIEDADES" u="1"/>
        <s v="CENTRO RESIDENTES DE RINCONADA  " u="1"/>
        <s v="EDICTO DE CITACION      LA COORD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SATSAID - DIA DE LA MEMORIA" u="1"/>
        <s v="BUSQUEDA LABORAL  ARQUITECTO" u="1"/>
        <s v=" + MAZA, JOSE RAUL             Q" u="1"/>
        <s v="+ ENRIQUE OMAR MARAÑON          " u="1"/>
        <s v="Comisario General (R) JUAN PEDRO" u="1"/>
        <s v="aviso en carpeta de notables de la fecha" u="1"/>
        <s v="BRIOMODO .- TORRE MURGUI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COCA MARTA AUGUSTA ARMADO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AGRICOLA FERMI SRL SAN ISIDRO LA" u="1"/>
        <s v="ORTIZ MADERAS  INCORPORATE A NTR" u="1"/>
        <s v="SRES. INGENIEROS, ARQUITECTOS  g" u="1"/>
        <s v="BOTICA - anuario" u="1"/>
        <s v="ANDREA ROMERO ZAMPINI" u="1"/>
        <s v="ESTELA DEL VALLE VALDEZ" u="1"/>
        <s v="LA NOCHE VOS Y YO FM JUJUY" u="1"/>
        <s v="COOPERATIVA DE TRABAJO PLINIO ZA" u="1"/>
        <s v="PRECIOS JUSTOS  MINISTERIO DE EC" u="1"/>
        <s v="SYLVIA CRESPE   MOD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NORTEC- ESPECIAL DIA DE LA POLIC" u="1"/>
        <s v="ALICIA MABEL BORJA" u="1"/>
        <s v="CONSEJO DE FARMAC. CONVOCATORIA" u="1"/>
        <s v="EDICTO  DR. JOSE ALEJANDRO LOPEZ" u="1"/>
        <s v="EDICTO FDO: DRA. MARISA RONDÓN -" u="1"/>
        <s v="GOBIERNO ....  FELIZ  NAVIDAD .." u="1"/>
        <s v="PROMOCION 1957-COLEGIO DEL SALVA" u="1"/>
        <s v="PROMOCIÓN 1957-COLEGIO DEL SALVA" u="1"/>
        <s v="AVISO ARMADO EN CARPETA DE LA FECHA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LA CASA DE JEREMIAS - GASTRONÓMI" u="1"/>
        <s v="ENTER SERVICE S.A. ANUARIO" u="1"/>
        <s v="ASOCIAC. DE SANMARINENS DIA DEL " u="1"/>
        <s v="BANCO CENTRAL DE R.A. AVISO LEGA" u="1"/>
        <s v="CONVOCATORIA COLEGIO RPOF. DE PS" u="1"/>
        <s v="GUEDILLA, RODRIGO R. CONTADOR  P" u="1"/>
        <s v="MIGUEL DE LOS SANTOS HERRERA" u="1"/>
        <s v="EDICTO &quot;La Dra , Lis Valdecantos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fondo  rojo letras blancas" u="1"/>
        <s v="fondo negro letras blancas" u="1"/>
        <s v="fondo ROJO  letras blancas" u="1"/>
        <s v="fondo verde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sin marco.._x000d__x000a_color verde" u="1"/>
        <s v="GOBIERNO DOS" u="1"/>
        <s v="+ ESTANISLAO LIQUITAY Falleció e" u="1"/>
        <s v="///LOGO/// C O N V O C A T O R I" u="1"/>
        <s v="CENTRO VECINAL B° 23 DE AGOSTO -" u="1"/>
        <s v="SECRETARIA DE JUSTICIA ... PODER" u="1"/>
        <s v="SITARSKI RICARDO ALBERTO Papá:  " u="1"/>
        <s v="Unión Vecinal Teniente 1ro Rober" u="1"/>
        <s v="UTEDYC DIA DE LA MUJER" u="1"/>
        <s v="+ DANTE FEDERICO PALACIO    (q.e" u="1"/>
        <s v="CONCEJAL FABIAN RODRIGUEZ  ANIVE" u="1"/>
        <s v="ENTER SERVICE S.A.  EXODO JUJEÑO" u="1"/>
        <s v="TRAME S.R.L.  ANIV. CLINICA NTRA" u="1"/>
        <s v="Geólogo Gabriel Gustavo Blasco  " u="1"/>
        <s v="Duty Center" u="1"/>
        <s v="IGNACIO ARAMAYO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VENDO O PERMUTO TERRENO EN BARRI" u="1"/>
        <s v="REPITE AVISO" u="1"/>
        <s v="///con logo en carpeta ///" u="1"/>
        <s v="+ ZIGARAN, Elda Yolanda (q.e.p.d" u="1"/>
        <s v="DERGAM ESP 23 DE AGOSTO" u="1"/>
        <s v="ENTRETENIMIENTOS EL TRIBUNO" u="1"/>
        <s v="+ Ramón Eliseo Dorado  + Máximo " u="1"/>
        <s v="CORRALON EL PROGRESO  I - II  CE" u="1"/>
        <s v="ESCUELA PROFECIONAL N° 13 “DAMAS" u="1"/>
        <s v="TODO GOMA DIA DEL MECANICO" u="1"/>
        <s v="Centro Gaucho Antonino Peloc de " u="1"/>
        <s v="GRACIAS SAN EXPEDITO POR TODO LO" u="1"/>
        <s v="LA COOPERATIVA DE TRABAJO MANOS " u="1"/>
        <s v="AVISO COMPLETO GUARDADO CON LOGO EN CARPETA DIA 14 DE DICIEMBRE ATENCION AL PUBLICO" u="1"/>
        <s v="ELECTROMAT ANUARIO" u="1"/>
        <s v="COLEGIO DE ABOGADOS ESP URBANISM" u="1"/>
        <s v="LA RABIOLA - CHOCOLATTE ESP GAST" u="1"/>
        <s v="ARNEDO VENDE  - Duplex en Los Pe" u="1"/>
        <s v="SE CONVOCA A LA PRESENTACIÓN DE " u="1"/>
        <s v="CANDIDATOS DIPUTADOS" u="1"/>
        <s v="HECTOR CLAUDIO BRU  (q.e.p.d.)  " u="1"/>
        <s v="LOS POSTES AGROINSUMOS" u="1"/>
        <s v="CONFEDERACIÓN GAUCHA ARGENTINA" u="1"/>
        <s v="ESTUDIO ZAMPINI - RICCI ESP ESCR" u="1"/>
        <s v="IMPORTANTE EMPRESA METALÚRGICA S" u="1"/>
        <s v="OPORTUNIDAD !!!! Vendo Departame" u="1"/>
        <s v="CON FOTO , DIA 27 DE SEPTIEMBRE" u="1"/>
        <s v="CONCEJAL FABIAN RODRIGUEZ  DÍA D" u="1"/>
        <s v=" CLINICA AVENIDA S.R.L.   CONVOCATORIA S" u="1"/>
        <s v="IITA" u="1"/>
        <s v="+ MARIA LUISA SOLIS Q.E.P.D. Se " u="1"/>
        <s v="+ MAYO BRUNO EMILIO Q.E.P.D. Se " u="1"/>
        <s v="CHANGOMAS  EXPECTATIVA OFERTAZO " u="1"/>
        <s v="GIGANTO GRAFICA  ANUARIO" u="1"/>
        <s v="DUEÑO ALQUILA amplio local comer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+ FRUCTUOSO GORENA  (Q.E.P.D.) 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BALBI DISTRIBUIDORA" u="1"/>
        <s v="+ IGINIA MATIASA AVENDAÑO &quot;Maura" u="1"/>
        <s v="EDICTO DE MINAS PUBLICACION DE A" u="1"/>
        <s v="ELSA BEATRIZ GALIAN DE SILISQUE " u="1"/>
        <s v="PAMPA BLANCA  VENDO  15 HAS. CEL" u="1"/>
        <s v="EL DÍA 21 AGREGAR LEYENDA _x000d__x000a__x000d__x000a_&quot;HOY&quot;" u="1"/>
        <s v="GOBIERNO  XUMA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MERCEDES ACCELO (AVISO PUBLICADO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+ FAUSTA ELENA CORTES  Q.E.P.D. " u="1"/>
        <s v="AVISO AUTORIZADO POR  SR. RUBEN RIVAROLA SIN CARGO...." u="1"/>
        <s v="UCSE ING. INFORM." u="1"/>
        <s v="VACUNACION CARNAVAL" u="1"/>
        <s v="TRANSPORTE EVELIA EXPRESS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GOMEZ ROCO PUBLINOTA 40 AñOS...." u="1"/>
        <s v="LENARDUZZI AUTOMOTORES - vieja v" u="1"/>
        <s v="PLOMERO INSTALACIONES  Reparacio" u="1"/>
        <s v="SELECTIVO PROVINCIAL JUJUY   AVI" u="1"/>
        <s v="NOS ENCONTRAMOS EN LA BUSQUEDA" u="1"/>
        <s v="                   E D I C T O  " u="1"/>
        <s v="EDICTO  En el EXPTE. C-165640/20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VENDO NUECES PELADAS  CRIOLLA DE" u="1"/>
        <s v="COMPAÑIA IND CERVECERA" u="1"/>
        <s v="EL TRIBUNO  INFORMA..." u="1"/>
        <s v="MARMOLERIA RUMI QUILLA" u="1"/>
        <s v="CONVOCATORIA (FE DE ERRATAS) El " u="1"/>
        <s v="SE NECESITA CARNICERO para Alto " u="1"/>
        <s v="Farmacia Carrizo" u="1"/>
        <s v="SEPARATA 16 PAGINAS" u="1"/>
        <s v="DOS   RADIO UNIVERSIDAD ...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OFERTAZO DORINKA CHANGOMAS..." u="1"/>
        <s v="-EDICTOS ---- EN EL EXPTE. N° D-" u="1"/>
        <s v="BIBLIOTECA POPULAR ROSARIO TOLAB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SE SOLICITA PERSONAL ADM PARA EM" u="1"/>
        <s v="COLEGIO MEDICO" u="1"/>
        <s v="GOBIERNO SAME ...." u="1"/>
        <s v="LOS PASTELES VERDES" u="1"/>
        <s v="AERO CLUB JUJUY CONVOCA Asamblea" u="1"/>
        <s v="COLEGIO DE BIOQUIMICOS ESP FISIO" u="1"/>
        <s v="CONSORCIO DE RIEGO DIA DEL TRABA" u="1"/>
        <s v="EDICTO DE CITACION   LA DIRECCIO" u="1"/>
        <s v="EDICTO DE CITACION --LA DIRECCIO" u="1"/>
        <s v="EDICTO DE CITACIÓN   LA DIRECCIO" u="1"/>
        <s v="EDICTOS DE CITACION  LA DIRECCIO" u="1"/>
        <s v="NECESITO PERSONAL. c/experiencia" u="1"/>
        <s v="MARGARITA GUTIERREZ" u="1"/>
        <s v="BLANCO LETRAS NEGRAS" u="1"/>
        <s v="OSDE ANIV. CAMARA DE TABACO" u="1"/>
        <s v="+ MAMANI, Gallego      q.e.p.d. " u="1"/>
        <s v="+ MARIA LUISA VAZQUEZ  q.e.p.d. " u="1"/>
        <s v="+ MARIO ERNESTO RICCI  Q.E.P.D. " u="1"/>
        <s v="GARELY SACI ESP ING. AGRON" u="1"/>
        <s v="VENDEDOR IMPORTANTE EMPRESA DEL " u="1"/>
        <s v="CABALLERO ALQUILA CASAS" u="1"/>
        <s v="ADELANTO EN EFECTIVO...." u="1"/>
        <s v="GOBIERNO PAG.4 CONTRATAPA..." u="1"/>
        <s v="+ Viviana AGUILERA (q.e.p.d.)  0" u="1"/>
        <s v="La SECRETARIA DE BIODIVERSIDAD Y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ELECCION DE TRES DELEGADOS DEL P" u="1"/>
        <s v="SIN FOTO CON RECUADRO SUAVE SIN FLORES" u="1"/>
        <s v="OSPIDA ESP. PERON" u="1"/>
        <s v="TAVERNITI ESP TRABAJADOR" u="1"/>
        <s v="IMP EMP DEL MEDIO ASESORES" u="1"/>
        <s v="WIDEX MOMENT ...LIC.COLINA" u="1"/>
        <s v="IMPAR  - TODO IKA ESP ANUARIO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ELECTROMAT DIA DEL TRABAJADOR" u="1"/>
        <s v="+ TAPIA GARZON, FEDERICO Q.E.P.D" u="1"/>
        <s v="ESTUDIO CONTABLE CPN VALERIA GOM" u="1"/>
        <s v="OPORTUNIDAD UNICA A PRECIO DE RE" u="1"/>
        <s v="TRANSPORTE ALIANZA" u="1"/>
        <s v="CARUSO SEGUROS ...." u="1"/>
        <s v="Bertotto Boglione S.A." u="1"/>
        <s v="asamblea general ordinaria" u="1"/>
        <s v="CENTRO EMP. DE COMERCIO ESP TRAB" u="1"/>
        <s v="CENTRO GAUCHO CORONEL MANUEL ALV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GRUPO VIENTO NORTE" u="1"/>
        <s v="MADERAS DENIS  ESP. ARQ." u="1"/>
        <s v="MAURICIO SOTO AVISO ARMADO" u="1"/>
        <s v="TILQUIZA VDO O PERMUTO Terreno 3" u="1"/>
        <s v="AVISO ARMADO CARP. 03-06" u="1"/>
        <s v="CRUZ, Juan Oscar “Tarrito” (q.e." u="1"/>
        <s v="MARCELO ROBERTO DIAZ QEPD QEPD 0" u="1"/>
        <s v="El dia jueves 10 con la leyenda &quot;&quot;HOY&quot;&quot;" u="1"/>
        <s v="CON FOTO EN CARPETA DE LA FECHA_x000d__x000a_fondo cielo" u="1"/>
        <s v="SEÑOR GOBERNADOR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Edictos El Juzgado de Primera In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fondo blanco letras celeste (fuerte) borde celeste" u="1"/>
        <s v="fondo blanco  vendo y alquilo (solo difrente color y resto letras negras)_x000d__x000a_EDIFICIO APACHETA (UNA SOLA LINEA" u="1"/>
        <s v="PROMO MACRO 23-12-2021" u="1"/>
        <s v="MUNI JUJUY- DIA DEL RECOLECTOR D" u="1"/>
        <s v="+ JORGE SAAVEDRA                " u="1"/>
        <s v="ESCRIBNA TORRES... DIA DEL ESCRI" u="1"/>
        <s v="Ferreteria Alvarez y Cia." u="1"/>
        <s v="+ FRANCO EMANUEL TORRES  Se durm" u="1"/>
        <s v="/// con imagen /// VENDO DURMIEN" u="1"/>
        <s v="ASOCIACION CIVIL “TODOS JUNTOS” " u="1"/>
        <s v="JMS MAQUINAS AGROVIALES - TALLER" u="1"/>
        <s v="PROGRAMA A TODO O NADA. MES: OCT" u="1"/>
        <s v="JUBILACIONES, PENSIONES, REAJUSTE D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EX SOLDADOS CLASE 50 “CIA SERVIC" u="1"/>
        <s v="PENAL, CIVIL, COMERCIAL, LABORAL" u="1"/>
        <s v="---EDICTO SUCESORIO--  ---JUZGAD" u="1"/>
        <s v="HAFID DIA DEL MECANICO" u="1"/>
        <s v="VDO. TERRENO EN &quot;LOTEO SANTA EMI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FIAMBRERIA IRENE  ANUARIO" u="1"/>
        <s v="JUJUY ES PRODUCCION  FM JUJUY" u="1"/>
        <s v="14/16 PAGO SOLICITADA PUBLICADA " u="1"/>
        <s v="AGRUPACIÓN TRADICIONALISTA TACIT" u="1"/>
        <s v="DESEO ALQUILAR CASA 2 DORM. LIV." u="1"/>
        <s v="ESTUDIO CONTABLE CM (logo carp. " u="1"/>
        <s v="PROYAJO S.A.  PATRONAL DE PERICO" u="1"/>
        <s v="NORTEC-  PAPEL NOA" u="1"/>
        <s v="AVISO ARMADO  FUNES FRANCISCA No" u="1"/>
        <s v="CENTRO VECINAL 20 DE JUNIO Calle" u="1"/>
        <s v="DIA DE LA MADRE  BUFALO ///AVISO" u="1"/>
        <s v="AVISO PUBLICADO EL 7-8-2021_x000d__x000a__x000d__x000a_FALTABA FACTURAR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CENTRO EMPLEADOS DE FARMACIA DIA" u="1"/>
        <s v="gimnasio juan aguirre - COLONIA 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MARTILLERA LAURA BLANCO LOCALES " u="1"/>
        <s v="DRA ADERA   ARMAR AVISO" u="1"/>
        <s v="“San José Patrono de ciudad Peri" u="1"/>
        <s v="Centro Vecinal Villa Santa Rosa " u="1"/>
        <s v="E D I C T O   EN EL EXPTE. N° C-" u="1"/>
        <s v="GOBIERNO ISJ  NUEVO  SERVICIO AT" u="1"/>
        <s v="LATITUD SUR ESP. PATR. EL CARMEN" u="1"/>
        <s v="OPTICO/A P/SS DE JUJUY" u="1"/>
        <s v="UNJU DIA DEL PERIODISTA" u="1"/>
        <s v="AGRO RURAL ESP AGRICULTOR" u="1"/>
        <s v=" AGRO SERVICIOS BIANCHI (Ver mod" u="1"/>
        <s v="B.N.A. CUIDARSE .... TELAM PRESI" u="1"/>
        <s v="CENTRO VETERANOS DE GUERRA DE MA" u="1"/>
        <s v="con foto en carpeta de la fecha 13/05/02021 gonzalez alicia maria color" u="1"/>
        <s v="IITA - PROPUESTA EDUCATIVA" u="1"/>
        <s v="M &amp; M PRODUCTOR DE SEGUROS  ANIV" u="1"/>
        <s v="FOTO GUARDAD EN LA CARPETA DE LA FECHA DE AT. AL CLIENTE_x000d__x000a__x000d__x000a_CON EL MARCO DEL RECUADRO CON UN DETALLE LINDO A COLOR" u="1"/>
        <s v="MARIA EVA MALDONADO" u="1"/>
        <s v="PARRILLADA LAS YUNGAS" u="1"/>
        <s v="GOBIERNO  EXODO JUJEÑO ....110 A" u="1"/>
        <s v="///LOGO/// COLEGIO DE TECNICOS J" u="1"/>
        <s v="FACULTA EN CIENCIA ECONOMICAS MA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con foto carp. 27-02" u="1"/>
        <s v="DOVIS DIESEL  ESP PERIODISTAS" u="1"/>
        <s v="+ SERGIO RODLFO DOMINGUEZ “MINGO" u="1"/>
        <s v="EDICTO SUCESORIO - - - - - - - J" u="1"/>
        <s v="a color aviso para renonar (3x5) idem 1503361" u="1"/>
        <s v="LAS MININAS" u="1"/>
        <s v="+WUALVER HECTOR QUISPE+ q.e.p.d " u="1"/>
        <s v="AVISO ARMADO  EMPRESA COSTRUCTOR" u="1"/>
        <s v="VENDO F100 MODELO 94  CAJA DE 5T" u="1"/>
        <s v="FIESTA RETRO 80Y90" u="1"/>
        <s v="MUNIC. S.S. DE JUJUY - HORNITOS" u="1"/>
        <s v="+MAMANÍ, Silvia Beatriz (q.e.p.d" u="1"/>
        <s v="CONSEJO VECINAL CONVOCATORIA Se " u="1"/>
        <s v="ASOC. DE ENF,. CONVOCATORIA G. O" u="1"/>
        <s v="EDICTO DR. JUAN PABLO CALDERON -" u="1"/>
        <s v="+ Beatriz de los Ángeles Sly q.e" u="1"/>
        <s v="CENTRO POLICIAL DE RET. JUB. Y P" u="1"/>
        <s v="CONVOC. ASAMB. GRAL. ORDINARIA C" u="1"/>
        <s v="DUEÑO VENDE  2 Lotes contiguos e" u="1"/>
        <s v="EDICTO Juzgado de lra. Instancia" u="1"/>
        <s v="Fabián Moisés López Falleció el " u="1"/>
        <s v="IVUJ  DIA DE LA CONSTRUCCCION .." u="1"/>
        <s v="COLOR AMARILLO LETRA NEGRA" u="1"/>
        <s v="VIRACOCHA  ESP GASTRONOMICOS" u="1"/>
        <s v="AGOSTINI INMOBILIARIO ESP. EMP D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GOBIERNO SOLICITADA..." u="1"/>
        <s v="ELECTROMAT ESP CS ECON.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+ RICARDO ALBERTO SITARSKI (avis" u="1"/>
        <s v="COMUNIDADES PIRQUITAS" u="1"/>
        <s v="NESCAR - DIA DEL MECANICO" u="1"/>
        <s v="+ MACINA MARIANO (Q.E.P.D.)  Fal" u="1"/>
        <s v="Salutém" u="1"/>
        <s v="+ JIMENEZ, Lorenza Justina (q.e." u="1"/>
        <s v="GOBIERNO CONVOCATORIA PARA PARTI" u="1"/>
        <s v="UOM EMPLEADOS DE COMERCIO" u="1"/>
        <s v="FUNDACIÓN CERRO AZUL PERSONERIA " u="1"/>
        <s v="MIRTA EMILIA ROSANA BEJARANO CAR" u="1"/>
        <s v="cambia imangen. guardada en carpeta de la fecha 25/05" u="1"/>
        <s v="LA BULONERA DIA DEL TRABAJADOR" u="1"/>
        <s v="RUBEN ARMANDO RIVAROLA ADHESION." u="1"/>
        <s v="COMPLEJO RETRO - PATIO VIP" u="1"/>
        <s v="AGOSTINI DES. INMOBILIARIA SUP E" u="1"/>
        <s v="PAEZ S.R.L.  ESP. CAMAR DEL TABA" u="1"/>
        <s v="PAEZ S.R.L. ESP TALLERES" u="1"/>
        <s v="AGATA VETERINARIA DIA DEL ANIMAL" u="1"/>
        <s v="HIPERPLACA ESP. CONSULTORIOS BRI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IMPO EMPR DE SERV COBRADOR" u="1"/>
        <s v="CAMARA DE TABACO infomercial" u="1"/>
        <s v="+ FANNY SORIA            + ZULMA" u="1"/>
        <s v="+ JORGE WASHINGTON FIGUEROA q.e." u="1"/>
        <s v="CENTRO VOLKSWAGEN-SUP. AUTOMOTOR" u="1"/>
        <s v="UPA  MERCADITO Y PAÑALERA   CELE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MED CARE SRL ESP INST. DE RADIOL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FMSOL - NUNCA MAS" u="1"/>
        <s v="APACHETA - NINO FUENTES" u="1"/>
        <s v="LA MANSION - ZORBA DIA EMPRES." u="1"/>
        <s v="= E D I C T O =    = = = El Dr. " u="1"/>
        <s v="+ ERASMO CANCIO CEDRO Q.E.P.D. F" u="1"/>
        <s v="FANNY VILLENA q.e.p.d. Falleció " u="1"/>
        <s v="QUIERO JUSTICIA" u="1"/>
        <s v="SUETRA ESP TRABAJADOR" u="1"/>
        <s v="+ ROSA PRIMITIVA RODRIGUEZ (Q.E." u="1"/>
        <s v="===EDICTO== JUZGADO DE PRIMERA I" u="1"/>
        <s v="EFECTIVO CON TARJETA DE CREDITO " u="1"/>
        <s v="MARTILLERA LAURA BLANCO  VENTAS " u="1"/>
        <s v="SONIA FLORES MARTILLERA ALQUILA " u="1"/>
        <s v="poner alguna imagen de parapsicologia por favor" u="1"/>
        <s v=" EL CENTRO DE JUBILADOS Y PENSIO" u="1"/>
        <s v=" VENDO VW VENTO TCI Mod 2013, 2." u="1"/>
        <s v="+ MERCEDES MARIA BERARDI q.e.p.d" u="1"/>
        <s v="INGENIO RIO GRANDE  SACAAEL  SEL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SE  BUSCA MEDICO/A de guardia pa" u="1"/>
        <s v="VENDO ECOSPORT TITANIUM 2017-67." u="1"/>
        <s v="armado" u="1"/>
        <s v="CEFERINO FLORES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EMPRESA CONST. BUSCA" u="1"/>
        <s v="GMG LUBRICENTRO - ESP GIMNASIA" u="1"/>
        <s v="EL INSTITUTO UNIVERSITARIO PROVI" u="1"/>
        <s v="+ SORIA, Jesús (q.e.p.d.) Fallec" u="1"/>
        <s v=". LOGO Cámara de Expendedores de" u="1"/>
        <s v="MUNICIPALIDAD DE TILCARA. LICITA" u="1"/>
        <s v="JORGE ALBERTO COLQUE" u="1"/>
        <s v="--EDICTO SUCESORIO---- ---JUZGAD" u="1"/>
        <s v="ESCUELA E.E.T. N° 1 &quot;ESCOLASTICO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J.R.A.C. GRACIAS GLORIOSA Y BIEN" u="1"/>
        <s v="LUCHIN MATERIALES   SALUDO FIN D" u="1"/>
        <s v="COMIENZA SIEMPRE ALGO MAS. FM JU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EMP DEL MEDIO REQUIERE CAJEROS" u="1"/>
        <s v="+ MIRTA &quot; NENA&quot; MACHACA  Q.E.P.D" u="1"/>
        <s v="INAUGURACION PANADERIA MURILLO  " u="1"/>
        <s v="MARCA PAIS ARGENTINA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AGROFER... (intercalar 2 avisos)" u="1"/>
        <s v="LA CASA DEL RIEGO VIRGEN DEL ROS" u="1"/>
        <s v="“CONVOCATORIA”                  " u="1"/>
        <s v="Agregar logo a color de la Union Cañeros Independientes" u="1"/>
        <s v="“San Isidro Labrador Bendice el " u="1"/>
        <s v="PRESTAMOS A COMERCIANTES UNICAMENTE What" u="1"/>
        <s v="O.F.G. GRACIAS SAGRADO CORAZON D" u="1"/>
        <s v="+ SILVIA MONICA ARMONIA  Q.E.P.D" u="1"/>
        <s v="+ SIXTO ROBERTO BATALLA  Q.E.P.D" u="1"/>
        <s v="GOBIERNO DIA DE LA ENFERMERIA..." u="1"/>
        <s v="UNION CAÑEROS INDEPEND ESP ING A" u="1"/>
        <s v="EJESA CORTE....." u="1"/>
        <s v="VICTORIO BINDA" u="1"/>
        <s v="UNJU ANIVERSARIO ESC. MINAS" u="1"/>
        <s v="EMP DEL MEDIO - PREVENTISTAS" u="1"/>
        <s v="+ FIGUEROA MIRTA NOEMI     Q.E.P" u="1"/>
        <s v="FE DE ERRATAS  Club Amigos del T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EDICTO DE CITACION     LA DIRECC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EDICTO SUCESORIO  ---DR. DIEGO A" u="1"/>
        <s v="COLEGIO DE ABOGADOS" u="1"/>
        <s v="                     MONICA COLQ" u="1"/>
        <s v="Bº MARIANO MORENO VENDO CASA , C" u="1"/>
        <s v="CAZON SERVICIOS OFTALMOLOGICO AN" u="1"/>
        <s v="NORMA CRISTINA PELUQUERIA" u="1"/>
        <s v="GARELY SACI ESP. ING AGRON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UNION CAÑEROS INDEPEND. ESP. GRA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repite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+ LUIS ADRIAN VILLEGA Falleció e" u="1"/>
        <s v="+ LUIS BEJAR Q.E.P.D. Falleció e" u="1"/>
        <s v="+AVILA DE MURILLO, María Felisa " u="1"/>
        <s v="NECESITO 10 PERSONAS  PARA DISTR" u="1"/>
        <s v="dorado norte serv soc" u="1"/>
        <s v="LA MANSION NECESITA MOZO" u="1"/>
        <s v="MAQUINAS RODRIGO VENDO Generador" u="1"/>
        <s v="A.D.E.P. CONVOCATORIA ..." u="1"/>
        <s v="1/16PAGO SOLICITADA  PUBLICADA E" u="1"/>
        <s v="ASISTENTE DE CONTROL  Nos encont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aviso para reno var idem 1478931" u="1"/>
        <s v="PERICO-PERICO VENDO CASAS: *CLUB" u="1"/>
        <s v="SHELL PERESSIN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+ ANTONIO ABUNDIO ALARCON q.e.p." u="1"/>
        <s v="GRACIAS  SEÑOR JESUCRISTO POR L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Mirta Gricelda Machaca &quot;Nena&quot;  Q" u="1"/>
        <s v="CAMARA DE EMPRESAS DE SALUD COMU" u="1"/>
        <s v="Centro Vecinal 790 Vivienda del " u="1"/>
        <s v="EDICTO  La Comisión Directiva de" u="1"/>
        <s v="GUADALUPE ISABEL MARTINEZ VDA. D" u="1"/>
        <s v="BINGO HOSPITAL ..." u="1"/>
        <s v="RUBEN RIVAROLA - CANDELARI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SITRAVIP CONVOCATORIA" u="1"/>
        <s v=" Sindicato de Taximetristas Quia" u="1"/>
        <s v="GOBIERNO  DIA INTERNACIONAL DE L" u="1"/>
        <s v="CEMEDE" u="1"/>
        <s v="DIA DEL JOYERO  JOYERIA D  “3 de" u="1"/>
        <s v="BSD BUSCA SOLDADORES" u="1"/>
        <s v="Asamblea General Ordinaria Notif" u="1"/>
        <s v="AVISO PAGINA 2 - 104 º ANIVERSAR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UNION CAÑEROS INDEPEND. ESP ING 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Bº CDAD DE NIEVA  VENDO CASA  Ca" u="1"/>
        <s v="GOBIERNO LA CULTURAL" u="1"/>
        <s v="///// LOGO///// &quot;Feliz día del T" u="1"/>
        <s v="EMPRESA CONSTRUCTORA NECESITA AR" u="1"/>
        <s v="San martín 978_x000a_Entre balcarce y lamadrid.._x000a_Horario 9 a 13 y 17 a 21 hs..sábado 10 a 14 y 17y30 a 21_x000a_Inst @apapachos.jujuy_x000a_Face : Apapachos" u="1"/>
        <s v="GORRITI HOGAR" u="1"/>
        <s v="             SINDICATO DE OBRERO" u="1"/>
        <s v="DUEÑO VENDE  MERCEDES 1735 Mod/2" u="1"/>
        <s v="TRAME dia de la mujer" u="1"/>
        <s v="IMP EMP DEL MEDIO INC. PROMOT" u="1"/>
        <s v="RAF CONSTRUIR   ....." u="1"/>
        <s v="AGREGAR _x000d__x000a__x000d__x000a__x000d__x000a_&quot;ESQUINA&quot;" u="1"/>
        <s v="QUE SEA LA IMAGEN A COLOR" u="1"/>
        <s v="4 PAGINAS INSERT    PLAN FEDERAL" u="1"/>
        <s v="4 PAGINAS INSERT 6  PLAN FEDERAL" u="1"/>
        <s v="EMPRESA DE CRÉDITOS  INCORPORA 2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JUAN JESUS AYALA" u="1"/>
        <s v="ASAMB. GENERAL ORDINARIA" u="1"/>
        <s v="con foto sr. Aparcio René" u="1"/>
        <s v="ELECTROSTAR ANUARIO" u="1"/>
        <s v="ISJ ATENCION DOMICILAIRIA..." u="1"/>
        <s v="+MIGUEL CARLOS       Q.E.P.D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EDISON LEONARDO FARFAN Q.E.P.D" u="1"/>
        <s v="+ GUADALAJARA FUENTES ANTONIO  F" u="1"/>
        <s v="VENDO TOYOTA 2008, 4x4 TDI SR 3." u="1"/>
        <s v="AMELIA AZUCENA GONZALEZ" u="1"/>
        <s v="JUAN ESTEBAN   1X3" u="1"/>
        <s v="+ DOMINGUEZ, Juana (q.e.p.d.) Fa" u="1"/>
        <s v="ALQUILO MAQUINA  RETROPALA RANDO" u="1"/>
        <s v="Convocatoria Convocase a todos l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SAMBLEA ORDINARIA  CONVOCATORIA" u="1"/>
        <s v="MARTILLERA PÚBLICA JUDICIAL MAT." u="1"/>
        <s v="se modifica !!!" u="1"/>
        <s v="+ RUBEN FERNANDO MACIAS  1X3" u="1"/>
        <s v="CAMARA MINERA - dia de la indust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LECTROMAT DIA DE LA MINERIA" u="1"/>
        <s v="VALERZA - CONSULTORIOS BRISA" u="1"/>
        <s v=" + BRAULIO JUAN RIVERO Q.E.P.D. " u="1"/>
        <s v="+ SANTOS “TUCO” PEÑARRIETA      " u="1"/>
        <s v="FOTOCOPIADORA Facultad Ciencias " u="1"/>
        <s v="HERMANO FRANCICO  TU AMOR - TE P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(PAGINA IMPAR) FIAMBRERIA IRENE " u="1"/>
        <s v="Aviso para Renovar a color fondo blanco letras rojas" u="1"/>
        <s v="CARNAVAL JUJEÑO VOLCAN" u="1"/>
        <s v="GOBIERNO REGRESO SEGURO" u="1"/>
        <s v="AVISO ARMADO  GASTRONOMICO" u="1"/>
        <s v="GNC SIGMA ESP SERV. PENIT." u="1"/>
        <s v="VALERZA..   ADHESION.. ...." u="1"/>
        <s v="UOCRA" u="1"/>
        <s v="SORTEO DÍA DE LA MADRE" u="1"/>
        <s v="BACHILLERATO PROVINCIAL N°6   2 " u="1"/>
        <s v="CARNICERIA CONSTITUCION - ANUARI" u="1"/>
        <s v="SERVICIO MEDICO VITAL S.R.L. INF" u="1"/>
        <s v="TAVERNITI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AVISO ARMADO ANTERIORMENTE" u="1"/>
        <s v="CARUSO SEGUROS ESP SAN SALVADOR" u="1"/>
        <s v="EDICTO DE NOTIFICACION DRA. MARI" u="1"/>
        <s v="HUMANIDADES" u="1"/>
        <s v="CABALLERO VENDE CASAS" u="1"/>
        <s v="ELECTROSTAR  ESP ANUARIO" u="1"/>
        <s v="GOBIERNO DALE LA VUELTA..." u="1"/>
        <s v="CLINICA VETERINARIA MEDI VET PAT" u="1"/>
        <s v="EDICTOS  Ref. Expte. Nº D-034815" u="1"/>
        <s v="SE SOLICITA CAJERA con experienc" u="1"/>
        <s v="TELAM - CIENCIA" u="1"/>
        <s v="a color aviso para renovar" u="1"/>
        <s v="=EDICTO=  EN EL. Expte Nº D-0355" u="1"/>
        <s v="TRAME S.R.L.  ANIVERSARIO DIARIO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PINTURERIA EXODO - ULI ....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Médico Veterinario  + CRUZ, Fern" u="1"/>
        <s v="VENDEDOR DE SALON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EDICTO SUCESORIO   - -El SR. JUE" u="1"/>
        <s v="PROFE DE CIENCIAS POLITICAS prep" u="1"/>
        <s v="FIESTA PATRONAL SAN JOSE_x000d__x000a__x000d__x000a_Iogo enviadao correo de Sonia Huanuco" u="1"/>
        <s v="GRAN MONARCA DIA DEL TRABAJADOR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EDICTO SUCESORIO = = = = = = = =" u="1"/>
        <s v="GOBIERNO TOLERANCIA CERO-  PIROT" u="1"/>
        <s v="NORTRADING SRL DIA DEL TRABAJADO" u="1"/>
        <s v="OPTICA ARENA" u="1"/>
        <s v="ASOCIAC. DE SANMARINENS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EL MATUTINO" u="1"/>
        <s v="MUNIC. S.S. DE JUJUY - cultura" u="1"/>
        <s v="A SM  GRACIAS Carlos Ignacio S." u="1"/>
        <s v="agregar corredores publicos inmbiliarios" u="1"/>
        <s v="OPTICA OFILENT" u="1"/>
        <s v="¿Sabes cuánto vale tu propiedad?" u="1"/>
        <s v="DOVIS DIESEL ESP TALLERES" u="1"/>
        <s v="EDIFICIO HUASI 1  -  BELGRANO N°" u="1"/>
        <s v="SERVICIOS INTEGRALES  PARA EL H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mpar - SHELL PERESSIN ESP MUJER" u="1"/>
        <s v="ROLANDO ABEL SOLIS" u="1"/>
        <s v="REPITE AVISO DE OP 279304" u="1"/>
        <s v="               ASOCIACION PAN DE" u="1"/>
        <s v="+ CANDELARIO OVANDO Q.E.P.D. Fal" u="1"/>
        <s v="+ CARLOS I. RIVERO  Q.E.P.D. Fal" u="1"/>
        <s v="CARUSO SEGUROS DIA DEL TRABAJA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EMPRESA COMERCIAL BUSCA . CAJERA" u="1"/>
        <s v="LATITUD SUR ESP. CAMAR DEL TABAC" u="1"/>
        <s v="LUISIÑO" u="1"/>
        <s v="HORMIGONERA  JUJUY S.R.L. VENTA DE A" u="1"/>
        <s v="PANIFICADORA REYES" u="1"/>
        <s v="5039/2022 - ALFARO CHURQUINA, RI" u="1"/>
        <s v="ALQUILO DPTO  TEMPORAL AMOBLADO " u="1"/>
        <s v="RUBEN RIVAROLA" u="1"/>
        <s v="CAMION SCANIA 111 MOD/1981-BUEN 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RUBEN RIVAROLA .... MALVINAS" u="1"/>
        <s v="FARMACIA GUEMES UNO  CELEBRACIÓN" u="1"/>
        <s v="P.4- ZAMBONI -POSADAS ..ADHESION" u="1"/>
        <s v="SANDERO 2015, 5 ptas, impecable " u="1"/>
        <s v="UNION CIVICA RADICAL COMITÉ PROV" u="1"/>
        <s v="MATAFUEGOS JUJUY" u="1"/>
        <s v="RENE LEAÑO _x000d__x000a__x000d__x000a_AVISO ARMADO" u="1"/>
        <s v="CONTRATAPA WERCHOW ESP POLICIA" u="1"/>
        <s v="Asociación de Kick Boxing “ Gust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      EDICTO SUCESORIO:  -- -JUZ" u="1"/>
        <s v="LOS TILIANES - DIA DE  LA MINERI" u="1"/>
        <s v="MUNICIPALIDAD DE SAN PEDRO DIA D" u="1"/>
        <s v="MUTUALIDAD DEL CIRCULO DE OFICIA" u="1"/>
        <s v="SERAFINA RAMIREZ" u="1"/>
        <s v="DERGAM SUP ESP. INDUSTRIA" u="1"/>
        <s v="SE NECESITA LAVACOPAS. Enviar CV" u="1"/>
        <s v="RICARDO MANUEL DIAZ" u="1"/>
        <s v="RUBEN RIVAROLA  DIP. PROV. PJ" u="1"/>
        <s v="+ ARIEL JULIO GASPAR  Q.E.P.D El" u="1"/>
        <s v="=========================EDICTO=" u="1"/>
        <s v="GAUCHITO GIL Agradecimiento por " u="1"/>
        <s v="CONTRATAPA - WERCHOW ESP POLICIA" u="1"/>
        <s v="DUEÑO ALQUILA DPTO. 1 Dor. baño," u="1"/>
        <s v="EDICTO - - - - DRA MARIA JULIA G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Stella Maris Ayala Kineseologa" u="1"/>
        <s v="+ FRANCISCA NÉLYDA ZAMBONI Se du" u="1"/>
        <s v="NUEVO PROFESIONAL DR. LEONARDO R" u="1"/>
        <s v="OBRA SOCIAL NACIONAL  IOSFA Inco" u="1"/>
        <s v="PAG. IMPAR - CAMARA DE TABACO ES" u="1"/>
        <s v="SANTERIA Y REGALERI “SAN ESXPEDI" u="1"/>
        <s v="MARIO ENRIQUE CASTILLO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EMPRESA DEL MEDIO solicita perso" u="1"/>
        <s v="NATALIA C. PEREZLINDO  //// LOGO" u="1"/>
        <s v="quieren un cm menos !!! del mismo aviso  Y SACAR EL NUMERO 388 6863097" u="1"/>
        <s v="UNJU - CS ECONOMICAS" u="1"/>
        <s v="aviso para repetir idem 1503952" u="1"/>
        <s v="+ JOSEFA JESÚS RAMOS &quot;PEPA&quot; Fall" u="1"/>
        <s v="+ MARTINEZ, Eduvic  q.e.p.d. Fal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Se busca MAESTRO MAYOR DE OBRA C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FRATELLI BRANCA" u="1"/>
        <s v="CENTRO EMP. DE COMERCIO" u="1"/>
        <s v="ASOC. BANCARIA LA BANCARIA" u="1"/>
        <s v="COLEGIO DEL SALVADOR “TERCERA PR" u="1"/>
        <s v="SALUDOS VARIOS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PAG. IMPAR LA NUEVA CIUDAD ESP P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EGIN SRL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PRODUGAS GNC NAFTA ESP SAN ISIDR" u="1"/>
        <s v="EJESA CORTE." u="1"/>
        <s v="TODO IKA ESP POLICIA" u="1"/>
        <s v="MUNI JUJUYHOMENAJE A SAN MARTIN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PROYAJO S.A.  ANUARIO" u="1"/>
        <s v="MUNIC. LICITACION N° 07/2021" u="1"/>
        <s v="        EDICTO DE CITACION  LA C" u="1"/>
        <s v="EDICTOS  ---------- El DR. ESTEB" u="1"/>
        <s v="sin foto" u="1"/>
        <s v="SUBTE - DIA DE La Madre" u="1"/>
        <s v="+ GUZMAN HORACIO MARTIN q.e.p.d." u="1"/>
        <s v="el dia 11 poner la leyenda &quot;HOY&quot;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SE BUSCA PROF UNIV. DE CS ECONOM" u="1"/>
        <s v="ANTONIO NORMANDO ARIAS" u="1"/>
        <s v=" + LUIS CHAMBI ALVARADO (q.e.p.d" u="1"/>
        <s v="La Junta Electoral del movimient" u="1"/>
        <s v="+ CARMEN BEATRIZ MARTINEZ  q.e.p" u="1"/>
        <s v="+ JULIA RAMOS DE APAZA  Q.E.P.D." u="1"/>
        <s v="+ JULIAN “TUCHO” FLORES q.e.p.d." u="1"/>
        <s v="CONVOCATORIA La Comisión Normali" u="1"/>
        <s v="HORIZONTE S,R,L, DIA DEL SANITRI" u="1"/>
        <s v="CONICET El &quot;Centro Interdiscipli" u="1"/>
        <s v="EDICTO  La Dra. MARIA VALERIA ZA" u="1"/>
        <s v="Hernán Francisco &quot;Yupinco&quot; Caban" u="1"/>
        <s v="EMPRESA DEL MEDIO PROMOTORAS" u="1"/>
        <s v="+ MERCEDES VELIZ Q.E.P.D. Se dur" u="1"/>
        <s v="EDICTO DE CITACIÓN  LA DIRECCIÓN" u="1"/>
        <s v="GOBIERNO COMPLEJO MINISTERIAL .." u="1"/>
        <s v="COMODIN - PEÑA FLOR" u="1"/>
        <s v="FESTIVAL DE LA TRADICIÓN" u="1"/>
        <s v="- - - - - - - - - - - - - - - - " u="1"/>
        <s v="ASOCIACION CIVIL CLUB REAL CASPA" u="1"/>
        <s v="DUEÑO VENDE DPTO 3 dorm, 2 baños" u="1"/>
        <s v="OFERTA DE EMPLEO IMPORTANTE EMPR" u="1"/>
        <s v="A COLOR FONDO AMARRILLO  LETRAS  NEGRITA" u="1"/>
        <s v="PRIMERO JUJUY" u="1"/>
        <s v="SAVISO CON FOTO DIA 22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UTHGRA SALUDO FIN DE AÑO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CON ALGUN DETALLE A COLOR PERO DIFERENTE AL ANTERIOR. GRACIAS" u="1"/>
        <s v="ABOGADA   (fondo rojo letra negr" u="1"/>
        <s v="INCRIPCIONES 2021 VACANTES PARA " u="1"/>
        <s v="VENDO VW GOL 3 ptas, Mod 97, pap" u="1"/>
        <s v="UNJU - EXODO JUJEÑO" u="1"/>
        <s v="     RECONOCIDA CONSULTORA SELEC" u="1"/>
        <s v="AGOSTINI DES. INMOBIL ESP URBANI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Municipalidad de Calilegua" u="1"/>
        <s v="SE ALQUILAN LOCALES, OFICINAS" u="1"/>
        <s v="+ DOLORES CALIZAYA  Q.E.P.D. 16/" u="1"/>
        <s v="+ NIEVA de Grimaldo, Berta (q.e." u="1"/>
        <s v="Buscamos Maestras de Nivel Inici" u="1"/>
        <s v="HORMIGONERA -VENTA DE HORMIGON E" u="1"/>
        <s v="SE CORRIGIO EL NUMERO DE INSTITUCION ES 88  Y PALABRA CIUDAD" u="1"/>
        <s v="UNJU 2 DE ABRIL" u="1"/>
        <s v="EDICTO DE CITACION  ----------LA" u="1"/>
        <s v="EDICTO DE CITACION -----------LA" u="1"/>
        <s v="SECRETARIA ADMINISTRATIVA medio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+ ALICIA MARÍA GONZÁLES  Q.E.P.D" u="1"/>
        <s v="+ ALICIA MARÍA GONZÁLEZ  q.e.p.d" u="1"/>
        <s v="+ DESIDERIA ESTER SOSAYA “POROTA" u="1"/>
        <s v="BUSCAMOS INCORPORAR A NUESTRO..." u="1"/>
        <s v="EL CARMEN  GLADIS YOLANDA CABRAL" u="1"/>
        <s v="ESTRADA, Soledad Melina (q.e.p.d" u="1"/>
        <s v="SOTO Mauricio  Falleció el 16 de" u="1"/>
        <s v="repite (MES DE DICIEMBRE)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EMPRESA DE TRANSPORTE   ///AVISO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XTREME NEUMATICOS PATRONAL DE PE" u="1"/>
        <s v="EMPRESA CONSTRUCTORA Busca Maest" u="1"/>
        <s v="LA RABIOLA ESP SINDIC. PASTELERO" u="1"/>
        <s v="SE NECESITA EMPLEADA  QUE SEPA C" u="1"/>
        <s v="CON FOTO CARPETA DIA 5 DE NOVIEMBRE" u="1"/>
        <s v="CARMOTO ESP GYE" u="1"/>
        <s v="MODESTA OFELIA COLQUI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CUATRO GOBIERNO  CANNAVA" u="1"/>
        <s v="(PAGINA IMPAR) SUPERMERCADOS DIA" u="1"/>
        <s v="+ Elias, Herman Silvano  q.e.p.d" u="1"/>
        <s v="EDICTO SUCESORIO          EL JUZ" u="1"/>
        <s v="INDUSTRIA CONSTRUCTORA MINING  T" u="1"/>
        <s v="SEPELIOS SAN JOSE SRL SERVICIOS " u="1"/>
        <s v="TASADORA MATRICULADA MP 304 Peri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BARCELO" u="1"/>
        <s v="JUJUY MODELS (bonif plan 5x2)" u="1"/>
        <s v="+ LIQUIN REGINO  Q.E.P.D. Fallec" u="1"/>
        <s v="INST. SECUNDARIO CANONIGO GORRIT" u="1"/>
        <s v="LA CASA DEL RIEGO ESP AGRICULTOR" u="1"/>
        <s v="+ Prof. En Letras Carmen Teófila" u="1"/>
        <s v="CLUB  ATLETICO  VILLA  BELGRANO " u="1"/>
        <s v="EDICTOS La Dra. Lucía Brandan Va" u="1"/>
        <s v="LA PARRILLA DE ZOE FRANCO BARRIO" u="1"/>
        <s v="VENDO O PERMUTO (preferentemente" u="1"/>
        <s v="Convocatoria (separdo)" u="1"/>
        <s v="BINGO HOSPITAL GNADORE S..." u="1"/>
        <s v="AVSIO ARMADO  SALUD Y REHABILITA" u="1"/>
        <s v="Convocatoria a  Asamblea General" u="1"/>
        <s v="EGRESADOS COMERCIAL 1" u="1"/>
        <s v="GOMEZ ROCO COMUNICADO....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CONVOCATORIA A ASAMBLEA  GENERAL" u="1"/>
        <s v="LOS PERALES 44 viviendas contado" u="1"/>
        <s v="MANUEL EMILIO FARFAN  AVISO ARMA" u="1"/>
        <s v="PANADERIA TRIGO LIMPIO" u="1"/>
        <s v="virenes 27 leyenda   &quot;HOY&quot;&quot;" u="1"/>
        <s v="VENDO GALPON 16x40mt. zona San P" u="1"/>
        <s v="VENDO TERRENO C/GALPON" u="1"/>
        <s v="PAGINA IMPAR - GUAJIRA TUCUMAN" u="1"/>
        <s v="+ RUBEN DANIEL MAMANI SANCHEZ “P" u="1"/>
        <s v="COLEGIO DE MAGISTRADOS ESP JUDIC" u="1"/>
        <s v="GONZALVEZ, IGNACIA “Ina” (q.e.p." u="1"/>
        <s v="GRACIAS SAN EXPEDITO POR LOS FAVORES REC" u="1"/>
        <s v="AXION PAGINA ESPECIAL" u="1"/>
        <s v="BINGO LOBO  CONTRATAPA-...." u="1"/>
        <s v="IMP EMP DE SERV BUSCA COBRADOR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+ SONA, MARIO ENRIQUE  Falleció " u="1"/>
        <s v="MIGUEL ANGEL LIMACHE" u="1"/>
        <s v=" EDICTO  --- Dr.  JORGE DANIEL A" u="1"/>
        <s v="+ MIRTA GRICELDA MACHACA &quot;NENA&quot; " u="1"/>
        <s v="AV Párroco Marshke Frente cancha" u="1"/>
        <s v="ESTUDIO CONTABLE  Asesoramiento Integral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ELECTROMAT ESP CONSTRUCCION" u="1"/>
        <s v="+ RICARDO ROSSA  q.e.p.d. Fallec" u="1"/>
        <s v="PAG IMPAR - ACOSTA MUEBLES ANUAR" u="1"/>
        <s v="VETERINARIA SAN SALVADOR ESP VET" u="1"/>
        <s v="CRAJUY-DIA DEL REPUESTER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 UNO EJESA CORTE..." u="1"/>
        <s v="+ LUCCIONI HUGO OSCAR q.e.p.d. F" u="1"/>
        <s v="//logo/// LOS CERROS PROPIEDADES Adm" u="1"/>
        <s v="PASEO LA RIVERA" u="1"/>
        <s v="CLINICA FATIMA ESP OBSTETRICIA" u="1"/>
        <s v="CORREDORES VIALES - HACEMOS BUEN" u="1"/>
        <s v="LA JUNTA ELECTORAL/COMISIÓN DIRE" u="1"/>
        <s v="LA TERMINAL BAILABLE" u="1"/>
        <s v="TODO GOMA ..." u="1"/>
        <s v="GOMEZ ROCO...." u="1"/>
        <s v="ASOCIACION DE GUIAS DE TURISMO D" u="1"/>
        <s v="CLUB ATLETICO PARQUE ROCA Patric" u="1"/>
        <s v="DUEÑO VENDE  PROPIEDAD EN  CUYAY" u="1"/>
        <s v="Ing. GUSTAVO PEUSER Q.E.P.D. Fal" u="1"/>
        <s v="CAMBIAR AVISO A COLOR" u="1"/>
        <s v="CON ALGUN  DETALLE EN EL BORDE DEL MARCO" u="1"/>
        <s v="MUNIC. S.S. DE JUJUY - EXTRA" u="1"/>
        <s v="BUSCO CAMIONES, SEMIACOPLADOS-CA" u="1"/>
        <s v="Centro de Veteranos de Guerra de" u="1"/>
        <s v="jorge suarez" u="1"/>
        <s v="GOBIERNO  MONOXIDO DE CARBONO ES" u="1"/>
        <s v="SEPELIOS SAN JOSE S.R.L. SERVICIOS SOCIA" u="1"/>
        <s v="IDECAR" u="1"/>
        <s v="7 LEYENDA HOY !!" u="1"/>
        <s v="+ MAYO JORGE LUIS  Q.E.P.D. Fall" u="1"/>
        <s v="AS SOLUCIONES INMOBILIARIA  SE R" u="1"/>
        <s v="Toyojuy-Chevrojuy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MUNI JUJUY - SEGURIDAD VIAL" u="1"/>
        <s v="CAMARA DE TABACO ESP SAN ISIDRO" u="1"/>
        <s v="KINEOS - LIC. ARIEL JARAMILLO  C" u="1"/>
        <s v="LOGO COLOR ROJO Y DONDE DICE VARIEDAD EN AUDIFONO FONDO ROJO" u="1"/>
        <s v="CRILLON ESP GASTRONOMICOS" u="1"/>
        <s v="COOPERATIVA DE TRABAJO MINERO JA" u="1"/>
        <s v="ZAPIRA S.A. ADHESION DIA DEL SAN" u="1"/>
        <s v="“Asociación Civil de Productores" u="1"/>
        <s v="ROUTE 66" u="1"/>
        <s v="MAURICIO QUISPE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GOBIERNO - JUJUY UN DESTINO DE P" u="1"/>
        <s v="JL PRODUCCIONES  Grupo Luciérnag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VENDO NISSAN FRONTIER SE, Mod 20" u="1"/>
        <s v="             SINDICATO DE OBREROS Y EMPL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CASA LIMPIA ESP ABOGADOS" u="1"/>
        <s v="Familia Fachini ADHESION" u="1"/>
        <s v="CAMARA MINERA - dia de la mineri" u="1"/>
        <s v="CONVOCATORIA SOEAIL  LIBERTADOR " u="1"/>
        <s v="EMP CONST SELECC COMPRADOR" u="1"/>
        <s v="+GOMEZ, Gustavo Nahaliel Constan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/// con logo en carpeta de la fe" u="1"/>
        <s v="EDICTO  EN EL EXPTE. N° D-036117" u="1"/>
        <s v="SIND. DE LUZ Y FUERZA ESP PERIOD" u="1"/>
        <s v="ELECTROMAT TRABAJADOR DE LA ELEC" u="1"/>
        <s v="GRACIA GLORIOSA Y BIENAVENTURADA" u="1"/>
        <s v="/////////////////JESUS TAROT////////" u="1"/>
        <s v="LO MAS REMARCADO QUE SE PUEDA EL TITULO. POR FAVOR" u="1"/>
        <s v="MUNIC. S.S. DE JUJUY - FIESTA PO" u="1"/>
        <s v="VENDO 2 TERRENOS  en Loteo Nuevo" u="1"/>
        <s v=" ÁLVARO  GONZALO FUNES (q.e.p.d." u="1"/>
        <s v="+ ORTEGA, Simón Walter (q.e.p.d." u="1"/>
        <s v="E D I C T O  ==== El Juzgado de " u="1"/>
        <s v="E D I C T O S.-  ----JUZGADO DE " u="1"/>
        <s v="TELAM - 4 PAGINAS INSERT -FULL C" u="1"/>
        <s v="UNJU - TEATRO MITRE" u="1"/>
        <s v="JORGE ARTURO MONTIEL" u="1"/>
        <s v="envio foto por correo" u="1"/>
        <s v="SOCIEDAD ITALIANA CONVOCATORIA" u="1"/>
        <s v="CAMARA DE TABACO ESP SAN SALVADO" u="1"/>
        <s v="CONCEJO DELIBERANTE  - autonomia" u="1"/>
        <s v="NESTOR LLANOS SEGOVIA (Q.E.P.D.)" u="1"/>
        <s v="VENDO TERRENOS  Monterrico Secto" u="1"/>
        <s v="FOTO GUARDAD EN LA CARPETA DE LA FECHA DE AT. AL CLIENTE._x000d__x000a__x000d__x000a_CON EL MARCO DEL RECUADRO A COLOR CON FLORES!!" u="1"/>
        <s v="CHANDON" u="1"/>
        <s v="AGRUPACION GAUCHA SAN JOSE DE CH" u="1"/>
        <s v="EDICTOS El Juzgado de Primera 1r" u="1"/>
        <s v="DUEÑO VENDE CASA en B° San Marti" u="1"/>
        <s v="DIA DEL ABOGADO" u="1"/>
        <s v="PRODUCTORES ASESORES DE SEG." u="1"/>
        <s v="AGRADECIMINETO La familia Menénd" u="1"/>
        <s v="EDICTO  EN EL EXPTE. N° D-037433" u="1"/>
        <s v="Kepianco NOTA EN CARPETA DE LA FECHA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a color idem anuncio 1489324_x000d__x000a_en lo posible *la quinta del carmen no separar" u="1"/>
        <s v="LA FIAMMA SICILIANA" u="1"/>
        <s v="HORIZONTE ESP SUP. VILLANUEVA" u="1"/>
        <s v="ABENOR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LA CASA DEL RIEGO  ESP VIRGEN DE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S.P.E.R. CONVOCATORIA  AS.P.E.R" u="1"/>
        <s v="EDICTO EN EL EXPTE Nº A - 021733" u="1"/>
        <s v="ROJAS YOLANDA PETRONA  Falleció " u="1"/>
        <s v="SE  BUSCA MEDICO/A para cubrir turno" u="1"/>
        <s v="ESTUDIO CONTABLE MONICA" u="1"/>
        <s v="ROSA OLINDA DELIA QUISPE  1X3" u="1"/>
        <s v="+ JORGE LINO AUCAPIÑA         Q.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UNJU DIA DEL INGENIERO" u="1"/>
        <s v="ISJ  VACUNACION COVID 19 ...." u="1"/>
        <s v="CONCEJO DELIBERANTE  AUTONOMIA P" u="1"/>
        <s v="FOTO EN CARPETA DE LA FECHA 21/12 MINING INNOVAR_x000d__x000a_SI PUEDE SALIR A COLOR POR FAVOR" u="1"/>
        <s v="LA SASTRERIA - DÍA DE LA SEGURID" u="1"/>
        <s v="PEUGEOT 408  FULL-4 PTAS- MOD/2015 Impec" u="1"/>
        <s v="MODIFICA AVISO _x000d__x000a__x000d__x000a_ARCHIVO NUEVO EN CARPETA DEL 21 DE NOVIEMBRE" u="1"/>
        <s v="ALCALA RESTO BAR" u="1"/>
        <s v="+ MENDIETA, Felipe Cesilio Q.E.P" u="1"/>
        <s v="-----------------------------E D" u="1"/>
        <s v="PANIFICADORA ALAMEDA ESPECIAL MO" u="1"/>
        <s v="“Cooperativa de Viviendas y Serv" u="1"/>
        <s v="GUERRERO NEUMATICOS SRL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ASOCIAICON CIVIL  COOPERADORA ES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CENTRO VECINAL DEL BARRIO SAN BE" u="1"/>
        <s v="EDICTO Dra Mirta del V. Vega, Ju" u="1"/>
        <s v="G.N.M. GRACIAS GAUCHITO GIL POR " u="1"/>
        <s v="LIC.PUB. NAC. 01-020-032021 AGUA" u="1"/>
        <s v="+ SEBASTIAN AGUILERA SOSA   (q.e" u="1"/>
        <s v="HUMAHUACA Vecinas y vecinos del " u="1"/>
        <s v="MOLINA CESAR  AVISO ARMADO" u="1"/>
        <s v="COLEGIO MÉDICO - ODONTOLOGOS" u="1"/>
        <s v="CAJUTAC  ADHESION DIA DEL CAMION" u="1"/>
        <s v="MUNICIPALIDAD SAN ISIDRO LABRADO" u="1"/>
        <s v="PROGRAMA A TODO O NADA. MES: AGO" u="1"/>
        <s v="SIND. DE LUZ Y FUERZA DIA DEL TR" u="1"/>
        <s v="+ PALACIO DANTE FEDERICO  (QEPD)" u="1"/>
        <s v="EL CARMEN + MAIZARES, Luis Feder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AGOSTINI DES. INMOBIL ESP SAN SA" u="1"/>
        <s v="aviso renovado a partir de dia 25/11/22  con los dos numeros color idem." u="1"/>
        <s v="SPRINTER ROLCAR" u="1"/>
        <s v="MUNIC. S.S. DE JUJUY -BELGRANO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TARJETA NOA - TRABAJADOR" u="1"/>
        <s v="AVISO ARMADO  MINING INNOVAR" u="1"/>
        <s v="+JUAN CARLOS CRUZ  1X3" u="1"/>
        <s v="DENTAL RED ESP SERV PENIT." u="1"/>
        <s v="GRACIAS SEÑOR DE LA DIVINA MISER" u="1"/>
        <s v="Adep" u="1"/>
        <s v="GOBIERNO  DISTANCIATE ..." u="1"/>
        <s v="VENDO TERRENO 15x40, DIQUE La Ci" u="1"/>
        <s v="EDICTO --- El Tribunal Electoral" u="1"/>
        <s v="MUTUAL DE EX. EMPLEA. DE AGUA Y " u="1"/>
        <s v="DUEÑO DIRECTO_x000d__x000a_//// FONDO ROJO////" u="1"/>
        <s v="CLUB SAN JORGE S.A" u="1"/>
        <s v="EXTRAVIO  AVISO ARMADO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GOBIERNO ... FELIZ AÑO 2023 .  F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+ GUERRERO FELIX  q.e.p.d. Falle" u="1"/>
        <s v="Asociación Civil &quot;Comparsa Los C" u="1"/>
        <s v="EXTINTORES Y SERV. EMSA  ESP ANU" u="1"/>
        <s v="MARKAS AUTOMOTORES" u="1"/>
        <s v="San Salvador de Jujuy, 27 de feb" u="1"/>
        <s v="SAGRADO JOSE VARGAS _x000d__x000a__x000d__x000a_AVISO ARMADO" u="1"/>
        <s v="RAMON ANTONIO FRIAS" u="1"/>
        <s v="MISMO MODULO CON IMAGEN !" u="1"/>
        <s v="Expte.   C 091655/17  Caratulado" u="1"/>
        <s v="Expte. Nº C-173199/21 caratulado" u="1"/>
        <s v="Expte. Nº C-177961/21 caratulado" u="1"/>
        <s v="FRANCISCO LUIS MENDEZ" u="1"/>
        <s v="GONZALO EMANUEL DAVILA" u="1"/>
        <s v="EFECTIVO EN EL ACTO SOLO CON TU " u="1"/>
        <s v="ELIAS DEPORTES - Día del Periodi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GOBIERNO ANIVERSARIO FUNDACION D" u="1"/>
        <s v="COVID DISTANCIAMIENTO SOCIAL" u="1"/>
        <s v="+ ANA NOEMI DE VALLE MARAÑON  q." u="1"/>
        <s v="+ JUSTINA TOLABA  q.e.p.d. Falle" u="1"/>
        <s v="VENDO  RENAULT STEP WEY  modelo 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MUNI JUJUY - DÍA DE LA MEMORIA" u="1"/>
        <s v="+ GUADALUPE ISABEL MARTINEZ Mamá" u="1"/>
        <s v="+ IBARRA ANASTASIA Q.E.P.D. Fall" u="1"/>
        <s v="ESTUDIO JURIDICO LOPEZ SALGADO  " u="1"/>
        <s v="DERGAM ESP INGENIERO" u="1"/>
        <s v="OFERTAZOSO DEL 9 AL 20 DE JUNIO 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con foto enviado a correo de obituarios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+ TOLABA, Miryan Evelia (q.e.p.d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RIICA ...PIE DE RUBRO" u="1"/>
        <s v="SE AGREGO NUMERO DE TELEFONO" u="1"/>
        <s v="+ FRANCISCA NÉLYDA ZAMBONI  q.e." u="1"/>
        <s v="CONCEJO DELIBERANTE  - DIA DE LA" u="1"/>
        <s v="Alquilo depto.calle Sarmiento Cultur" u="1"/>
        <s v="Finca Chaguaral" u="1"/>
        <s v="+ ROMULO YEBARA Falleció el día " u="1"/>
        <s v="IMP EMP DE SERVICIOS BUSCA AUXIL" u="1"/>
        <s v="COMODIN mayorista" u="1"/>
        <s v="BINGO HOSPITAL....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FIAMBRERIA GRAN MONARCA ...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ATENCION (rojo) fondo morado_x000d__x000a_DUEÑO VENDE _x000d__x000a_LOCAL COMERCIAL_x000d__x000a_EN Alvear – Otero_x000d__x000a_Cel. 388-4092354 (rojo fondo blanco)" u="1"/>
        <s v="CAMARA DE TABACO ESP C.C. EXT." u="1"/>
        <s v=" E D I C T O -  -----JUZGADO DE " u="1"/>
        <s v="NUEVA PROFESIONAL CPN María Ceci" u="1"/>
        <s v="¡¡¡FELIZ DÍA AL COLECTIVO PROFES" u="1"/>
        <s v="UNJU - PACHAMAMA" u="1"/>
        <s v="+ GEOL. GABRIEL GUSTAVO BLASCO q" u="1"/>
        <s v="EDICTO -- DRA. ALEJANDRA DANIELA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        + EFRAÍN JUAN ANTONIO SU" u="1"/>
        <s v="BODAS DE ORO  50 AÑOS DE LA ESCU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CARGAR CUENTA DE WERCHOW MOD 1X3" u="1"/>
        <s v="CENTRO RESIDENTES DE CASABINDO  " u="1"/>
        <s v="ROGAD A DIOS POR EL ALMA DE: ART" u="1"/>
        <s v="“ASOCIACION COOPERADORA ING. MAR" u="1"/>
        <s v="CONVOCATORIA Reunidos en comisió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¡ 28 AÑOS JUNTO A USTEDES! Condu" u="1"/>
        <s v="EDICTO  SUCESORIO   .-.-.-. JUZGADO " u="1"/>
        <s v="+ ESTANISLAO ALBERTO LIQUITAY  q" u="1"/>
        <s v="+ SUSANA DEL CARMEN MIRANDA Q.E." u="1"/>
        <s v="CRONOGRAMA ELECTORAL BARRIO CAMP" u="1"/>
        <s v="MARCO BIEN REMARCADO EN AZUL.......FONDO IMAGEN DE CIELO......FOTO CARPETA DIA 05 DE JUNIO ATENCION AL CLIENTE." u="1"/>
        <s v="COLEGIO DE MAGISTRADOS EMP JUDIC" u="1"/>
        <s v="EDICTO EXPTE. C- 175414/2021... " u="1"/>
        <s v="EJESA ADHESION  SINDICATO LUZ Y " u="1"/>
        <s v="San Salvador de Jujuy, 29 de ago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DÑA. VDE. TERRENO PALPALÁ. B° La" u="1"/>
        <s v="CAMBIO DE RUBRO RIVAS VILA" u="1"/>
        <s v="GRACIAS SAN EXPEDITO-SAN JUDAS." u="1"/>
        <s v="CARGAR CUENTA DE WERCHOW MOD 2X3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LA BULONERA ESP AGRICULTOR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RODRIGO TAPARI PAG ESP (BONIF 3X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MARINARO  DÍA DE LA INDUSTRIA" u="1"/>
        <s v="EDICTO ==== DR. DIEGO ARMANDO PU" u="1"/>
        <s v="VENDEDOR/A DE SALON S.S. DE JUJU" u="1"/>
        <s v="DUEÑO VENDE DPTO" u="1"/>
        <s v="VENDO CASA EN Palpalá, B° Sta. B" u="1"/>
        <s v=" CLUB ATLÉTICO BELGRANO CONVOCAT" u="1"/>
        <s v="+ APAZA, Héctor Alfredo (q.e.p.d" u="1"/>
        <s v="EMPRESA BUSCA CARPINTERO/A Para " u="1"/>
        <s v="FERNANDO OCHA VENDE PURMAMARCA T" u="1"/>
        <s v="SE BUSCA SEÑORITA ADMINISTRATIVA" u="1"/>
        <s v="PAULINO VEDIA IRUPA Se durmió en" u="1"/>
        <s v="SABRINA PEREZ" u="1"/>
        <s v="CAMARA DE TABACO ESP SAN MARINO" u="1"/>
        <s v=" EDICTO SUCESORIO  --- El JUZGAD" u="1"/>
        <s v="ALQUILO CASA EN LIBERTADOR  TRES" u="1"/>
        <s v="TASACIONES CASAS- TERRENOS- FINCAS. Mart" u="1"/>
        <s v="FELISA OLIVERA  1X3" u="1"/>
        <s v="LD  LIBRERIA  DIA DEL TRABAJADOR" u="1"/>
        <s v="EDICTO SUCESORIO   ---------------------" u="1"/>
        <s v="AVISO ENVIADO" u="1"/>
        <s v="LOTE FACIL AGOSTINI DES. INMOB." u="1"/>
        <s v="JUJUY HIERROS... ESP DIA DEL CAM" u="1"/>
        <s v="MUni jujuy dia del periodista" u="1"/>
        <s v="LA COMISION REORGIZADORA DE LA C" u="1"/>
        <s v="NECESITO OFICIAL Y AYUDANTE ALB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SIND. DE LUZ Y FUERZA...." u="1"/>
        <s v="ESTEBAN LOPEZ   AVISO ARMADO" u="1"/>
        <s v="   CENTRO VECINAL B° ALTO PALPAL" u="1"/>
        <s v="JUAN CARLOS REYNALDES SARA ROJAS" u="1"/>
        <s v="VETERINARIA IBERA --- DIA DEL VE" u="1"/>
        <s v="AGRADECIMIENTO  + CRUZ VDA. DE N" u="1"/>
        <s v="MARTILLERA LAURA BLANCO CASA EN " u="1"/>
        <s v="SAN PABLO DE REYES VDO. TERRENO esqu" u="1"/>
        <s v="UTEDY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FASTA    CELEBRACIÓN VIRGEN DEL " u="1"/>
        <s v="NECESITO TRACTORISTA  CON EXPERI" u="1"/>
        <s v="ATENCION EL DIA 03-12 QUE DIGA LA LEYENDA_x000d__x000a_ ******************HOY******************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GLADI MARI ZELAYA DE CAMPOS  q" u="1"/>
        <s v="COLEGIO  FARMACEUTICO DE JUJUY -" u="1"/>
        <s v="COLEGIO DE INGENIEROS DE JUJUY -" u="1"/>
        <s v="CHILCAN" u="1"/>
        <s v="DERGAM ESP. CARENA" u="1"/>
        <s v="--  EDICTO  -- ---JUZGADO DE PRI" u="1"/>
        <s v="CAMARA DE TABACO ESP PERIODISTAS" u="1"/>
        <s v="SEBASTIAN LUCERO  ESP C.C. EXT." u="1"/>
        <s v="= = = = = = = = =  EDICTO SUCESO" u="1"/>
        <s v="EFECTIVO EN EL ACTO, solo tarjeta de cré" u="1"/>
        <s v="JUZGADO DE PRIMERA INSTANCIA EN LO CIVIL" u="1"/>
        <s v="BUSCAMOS MEDICOS PEDIATRAS" u="1"/>
        <s v="ACADEMIA DE DANZAS ARABES AAMAL " u="1"/>
        <s v="+ PEUSER, Gustavo Alberto   Q.E." u="1"/>
        <s v="PROSPERO MORALES....  WERCHOW" u="1"/>
        <s v="+ ING. ZOOTECNISTA JULIO HORACIO" u="1"/>
        <s v="COMPRO DPTO 2 dorm, compro casa " u="1"/>
        <s v="NECESITO JOVEN PARA MANTENIMIENT" u="1"/>
        <s v="SIN. DE LUZ Y FUERZA CONVOCATORI" u="1"/>
        <s v="GOBIERNO UNO" u="1"/>
        <s v="GENARO SALVATIERRA MOD 1X3" u="1"/>
        <s v="ASOCIACIÓN PROVINCIAL DE AGENTES" u="1"/>
        <s v="EJESA  ADHESION CLUB GIMNASIA Y " u="1"/>
        <s v="LIC.PUB. 02/2021 MINI. DE INFRA." u="1"/>
        <s v="SE SOLICITA ALQUILER  Mensual de" u="1"/>
        <s v="PJ JUJUY - RIVAROLA" u="1"/>
        <s v="CIRCULO MEDICO VETERINARIO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AVISO DE VANESA GERRY_x000d__x000a_AUTORIZA JAQUELINE MENDEZ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  LA JUNTA ELECTORAL/COMISIÓN DI" u="1"/>
        <s v="+ FERNANDEZ, Antonio “Galleguito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J.E.M.S.E. Llamado a Licitación " u="1"/>
        <s v="foto en carpeta de la fecha AVILA DE MURILLO, María Felisa" u="1"/>
        <s v="LA BANCARIA DIA DEL PADRE" u="1"/>
        <s v="AGRADECIMIENTO DOMINGO ALESIO ME" u="1"/>
        <s v="TE QUEDASTE SIN EFECTIVO ? (avis" u="1"/>
        <s v="CONVOCATORIA  LA ASOCIACION BOMB" u="1"/>
        <s v="SE NECESITA SECRETARIA para coor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fany saravia werchow  1x3" u="1"/>
        <s v="adem color anuncio 1489324)" u="1"/>
        <s v=" ////logo////  CARICERIA ALEM CO" u="1"/>
        <s v="GOBIERNO CONSEJO D EL  MUJER...." u="1"/>
        <s v="La Comisión del CENTRO VECINAL  " u="1"/>
        <s v="SERVIGRUAS  CELEBRACIÓN A LA VIR" u="1"/>
        <s v="LOGO ( A COLOR) RENOVACIÓN" u="1"/>
        <s v="CON LOGO Y FOTOS EN CARPETA" u="1"/>
        <s v="AGRO RURAL ESP. CAMAR DEL TABACO" u="1"/>
        <s v="ASOCIACION CIVIL TUPAK KATARI   " u="1"/>
        <s v="CABALLERO VENDE LOTES BAJO LA V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SANATORIO LOS LAPACHOS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YOELI CALZADOS  SALUDO DE FIN DE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AVISO SIN FOTO_x000d__x000a__x000d__x000a_CON FLORES DE COLORES EN EL MARCO DEL RECUADRO" u="1"/>
        <s v="TAVERNITI  ESP TALLERES" u="1"/>
        <s v="+ JULIA ANTONIA COLQUI          " u="1"/>
        <s v="CARMOTO FERRETERIA INDUSTRIAL..." u="1"/>
        <s v="CENTRO VECINAL GRAL. BELGRANO PA" u="1"/>
        <s v="FUND. PRO JUJUY AGROPECUAR. ESP " u="1"/>
        <s v="aviso para renovar idem anuncio 1495407" u="1"/>
        <s v="AGENCIA OFICIAL JUJUY REQUIERE" u="1"/>
        <s v="Expte. Nº C  051312/15, caratulado: Desp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DERGAM ESP MECANICOS" u="1"/>
        <s v="ASAMBLEA BARRIO LOS PERALES" u="1"/>
        <s v="CENTRO VECINAL BARRIO AEROPARQUE" u="1"/>
        <s v="Empresa gastronómica ofrece empl" u="1"/>
        <s v="con foto en carpeta de la fecha 1 de junio" u="1"/>
        <s v="DIA DE LA INDUSTRIA - LEDESMA" u="1"/>
        <s v="+ LUCIA CLARA CRUZ  Q.E.P.D Se d" u="1"/>
        <s v="EL MUNDO DEL PLOMERO ESP INGENIE" u="1"/>
        <s v="DOVIS DIESEL ANUARIO" u="1"/>
        <s v="AS CONTROL DE PLAGAS-ANIV. APPAC" u="1"/>
        <s v="BELLOMO VENDE  LOTEO VALLE VERDE" u="1"/>
        <s v="PELUQUERIA ADAN- DIA DEL PELUQUE" u="1"/>
        <s v="EJESA CORTE DOS..." u="1"/>
        <s v="  EDICTO DE CITACION  ----------" u="1"/>
        <s v="+ SALVADOR FERNÁNDEZ  q.e.p.d.  " u="1"/>
        <s v="CAMARA JUJEÑA DE LA CONSTRUCCION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Cooperativa Telefónica par" u="1"/>
        <s v="CAMARA DE TABACO DIA EMP TABACO" u="1"/>
        <s v="ASOCIACION CIVIL EDUCADORA, CAPA" u="1"/>
        <s v="aviso en carpeta de notables de la fecha_x000d__x000a__x000d__x000a_(con logo)" u="1"/>
        <s v="FONDO CIELO" u="1"/>
        <s v="BUSQUEDA DE MECANICO" u="1"/>
        <s v="GRAN MONARCA ANUARIO" u="1"/>
        <s v="Asociación civil 1º de mayo Conv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IA DEL SEGURO" u="1"/>
        <s v="///CON IMAGEN///  Sr. De la Divi" u="1"/>
        <s v="FINCA CHAGUARAL A. AHEISON ZAFRA" u="1"/>
        <s v="PANADERIA MURILLO   DIA DE LA MA" u="1"/>
        <s v="a color ( aviso para renovación )_x000d__x000a_Idem aviso 1465571" u="1"/>
        <s v="JORGE RODRIGUES.... web dia -DIA" u="1"/>
        <s v="MENENDEZ Maximino Raúl (q.e.p.d." u="1"/>
        <s v="FARMAR" u="1"/>
        <s v="ZENTIDOS  AVISO ARMADO" u="1"/>
        <s v="EDICTO  Dr. Matías Leonardo Niet" u="1"/>
        <s v="Melby Claros - INSTRUMENTACION Q" u="1"/>
        <s v="SOCIEDAD ARGENTINA DE PEDIATRIA." u="1"/>
        <s v=" VENDO TERRENOS    “LA ARBOLADA”" u="1"/>
        <s v="VENDO SANDERO STEPWAY II Privile" u="1"/>
        <s v="CAJERO" u="1"/>
        <s v="DOS GOBIERNO  CANNAVA" u="1"/>
        <s v="AMPERPAG saludo para las Mutuale" u="1"/>
        <s v="bonif plan 3x1" u="1"/>
        <s v="con imagen (a color)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CARMOTO  FERRETERIA INDUSTRIAL ." u="1"/>
        <s v="CONVOCATORIA La comparsa “Los Al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+ FRANCISCO SOLANO RIVERO     (q" u="1"/>
        <s v="DINERO EFECTIVO EN EL ACTO ¡!!!!" u="1"/>
        <s v="DR. ALEJANDRO DURÁN BOGADO ESTUD" u="1"/>
        <s v="MAF ESP MOJON" u="1"/>
        <s v="GIGANTO GRAFICA ESP AGROTECNICA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PERICO  VENDO  LOTE (ESQ.) Bº J." u="1"/>
        <s v="CABALLERO PROPIEDADES" u="1"/>
        <s v="CARLOS ALBERTO ORTEGA" u="1"/>
        <s v="CORREGIR_x000d__x000a__x000d__x000a_ARQUITECTO / A" u="1"/>
        <s v="pag. IMPAR - ESTUDIO LASQUERA" u="1"/>
        <s v="AYALA, Enrique Martin 14-02-67  " u="1"/>
        <s v="JOSE MADDALLENO      Martillero " u="1"/>
        <s v="GOBIERNO - PREVENCION DE INCENDI" u="1"/>
        <s v="+ JOSE LUIS ANTONIO PEREYRA 1X3" u="1"/>
        <s v="SE NECESITA OPTICO preferentemen" u="1"/>
        <s v="TARJETA SOL - pauta 2022" u="1"/>
        <s v="LA CASA DEL RIEGO PATRONAL DE PE" u="1"/>
        <s v="EDICTO SUCESORIO   El Juzgado de primera" u="1"/>
        <s v="///WORD GUARDADO EN CARPETA DE L" u="1"/>
        <s v="PERICO-PERICO  VENDO IMPORTANTE " u="1"/>
        <s v="TASACIONES A VALOR DE MERCADO PA" u="1"/>
        <s v="GOBIERNO CENSO 2022" u="1"/>
        <s v="ONDA ESTUDIANTIL RECORRIDA" u="1"/>
        <s v="A COLOR IDEM. ANUNCIO 1484472" u="1"/>
        <s v="CAMARA DE TABACO ESP AGROTECNICA" u="1"/>
        <s v="MONTOYA DI LEO, María Agustina (" u="1"/>
        <s v="RIO BLANCO - 07 DE OCTUBRE DE 20" u="1"/>
        <s v="aviso para renovar" u="1"/>
        <s v="GOBIERNO GIRSU ...." u="1"/>
        <s v=" ve  cosmiatria  AHORA EN JUJUY " u="1"/>
        <s v="5564/2021 - GONZALEZ TORREALBA, " u="1"/>
        <s v="CRISTINA RAMONA DEL MILAGRO ROZA" u="1"/>
        <s v="NELDA MARIA PUENTE (Q.E.P.D.) 06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a color fondo amarrillo y letras negrita" u="1"/>
        <s v="vendo suzuki fun" u="1"/>
        <s v="DIA DEL EMPLEADO MUNICIPAL 2" u="1"/>
        <s v="Expte NºB-125109/18, CARATULADO:" u="1"/>
        <s v="Expte NºC-145363/19, CARATULADO:" u="1"/>
        <s v="ITALO SALVADOR CUVA Martillero P" u="1"/>
        <s v="FONDO NEGRO EL TITULO DEL AVISO_x000d__x000a_Y BIEN REMARCADO EL CONTACTO" u="1"/>
        <s v="TARJETA NARANJA ESP PERIODISTAS" u="1"/>
        <s v="ACADEMIA PRE MILITAR (PROP EDUC)" u="1"/>
        <s v="ATENCION CAPITAL INCORPORO: Oper" u="1"/>
        <s v="OPTICA SKOREPA  SALUDO FIN DE AÑ" u="1"/>
        <s v="publicado el 4/11/22 APACHETA NI" u="1"/>
        <s v="CLUB ATLETICO SOCIAL Y CULTURAL " u="1"/>
        <s v="IMP EMP INC. SECRETARIA" u="1"/>
        <s v="= =  =  =  =  =  =  =  EDICTOS S" u="1"/>
        <s v="ASOCIACION CIVIL DE ENDOCRINOLOG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GARCIA, GUSTAVO ALEJANDRO “PULGA" u="1"/>
        <s v="JUJUY MATERIALES DIA DEL INGENIE" u="1"/>
        <s v="LA CASA DEL JUBILADO ... DIA DEL" u="1"/>
        <s v="FELIX RODOLFO ROMAN" u="1"/>
        <s v="LOGO AVISO PARA RENOVAR" u="1"/>
        <s v="CENSO 2022  PRESIDENCI D ELA NAC" u="1"/>
        <s v="aviso enviado por stella richard" u="1"/>
        <s v="MORALES, Bernabé Gregorio (q.e.p" u="1"/>
        <s v="PERDIDA ZONA Los Perales, Av Ill" u="1"/>
        <s v=" ANGEL MODESTO GUTIERREZ (Chacho" u="1"/>
        <s v="APUNJU  CONVOCATORIA A ASAMBLEA " u="1"/>
        <s v="BUSCO ALQUILER DE CASA zona Cent" u="1"/>
        <s v="COLEGIO MÉDICO - DIA DEL KINESIO" u="1"/>
        <s v="logo SR. Claudio _x000d__x000a_a color _x000d__x000a_1/2 Pag." u="1"/>
        <s v="+ BONIFACIO SILVESTRE CHUNGARA M" u="1"/>
        <s v="JUBILACIONES - PENSION por falle" u="1"/>
        <s v="SUMATE A NUESTRO EQUIPO  INCORPO" u="1"/>
        <s v="VINERIA VARIETALES  DEGUSTACION 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GARELY SACI SAN ISIDRO LABRADOR" u="1"/>
        <s v="NGA - OFERTAS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VENDO O PERMUTO  por vehículo me" u="1"/>
        <s v="CON FOTO CARP. 17-10_x000d__x000a_SRA. MARIA ELENA VALDEZ" u="1"/>
        <s v="52° Aniversario de Egreso de la " u="1"/>
        <s v="ASOCIACIÓN GAUCHA JUJEÑA “ÉXODO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VENDO DEPTO    PLANTA BAJA CON P" u="1"/>
        <s v="MERCERIA NOTTARIS" u="1"/>
        <s v="BUSCAR AVISO ANTERIOR" u="1"/>
        <s v="dia vierne leyenda &quot;hoy&quot;" u="1"/>
        <s v="+GUDELIA MARTINEZ MARTINEZ" u="1"/>
        <s v="VELARDE, Gabriela (q.e.p.d.) Fal" u="1"/>
        <s v="AMPERPAG DIA DE LA MADRE" u="1"/>
        <s v="SORTEO NAVIDAD EL TRIBUNO" u="1"/>
        <s v="ANIVERSARIO CLINICA DEL NIÑO REC" u="1"/>
        <s v="EDUARDO CONTRERAS  ANIVERSARIO T" u="1"/>
        <s v="VENDO DPTO. SAN SALVADOR DE JUJU" u="1"/>
        <s v="VENDO HOTEL  TRANSITORIO B° CHIJ" u="1"/>
        <s v="con foto en carpeta de la fecha bianco lucio 2x3 color" u="1"/>
        <s v="marco azul y rojo" u="1"/>
        <s v="VENDO Toyota Hilux SRX 4x4 AT 20" u="1"/>
        <s v="LA CASA DEL RIEGO ESP HUEDA" u="1"/>
        <s v="CENTRO VECINAL B° SAN IGNACIO DE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LEDESMA INFORM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AGREGAR &quot;R&quot; DE MARCA REGISTRADA" u="1"/>
        <s v="+ HINOJOSA, Néstor Ramón (q.re.p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“EL AMOR NO CONOCE LIMITES VOS S" u="1"/>
        <s v="aviso para repetir idem 1502893" u="1"/>
        <s v="LA BRUJA TOLOZA Y LOS DEL NORTE" u="1"/>
        <s v="///LOGO//      ASOCIACIÓN DE BAS" u="1"/>
        <s v="FOTO GUARDAD EN LA CARPETA DE AT. AL CLIENTE_x000d__x000a__x000d__x000a_CON EL MARCO DEL RECUADRO A COLOR Y CON FLORES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ASESORAMIENTO CONTABLE E IMPOSITIVO " u="1"/>
        <s v="GREGORIA MONTOYA" u="1"/>
        <s v="COLSA BUSQUEDA CAJERO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 PODOLOGIA A DOMICILIO Uñas encarnad" u="1"/>
        <s v="LA MUSA COVER BAND /bonif plan 3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CENTRO GAUCHO 8 DE SEPTIEMBRE DE" u="1"/>
        <s v="GOBIERNO  ISJ  REEMPADRONAMIENTO" u="1"/>
        <s v="IMPORTANTE EMPRESA DE DISTRIBUCI" u="1"/>
        <s v="PORKMAN ANUARIO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+ SORUCO, Manuel Héctor  Q.E.P.D" u="1"/>
        <s v="NUEVA PROFESIONAL Lic. en Cienci" u="1"/>
        <s v="CONVOCATORIA La Comisión Coopera" u="1"/>
        <s v="GENESIS SEGURIDAD ESP INST. RADI" u="1"/>
        <s v="a color fondo amarrillo y letras negrita idem aviso 1494625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BELARMINO GERMAN ARJONA" u="1"/>
        <s v="con color idem aviso 1482635" u="1"/>
        <s v="EDICTO DE CITACIÓN LA DIRECCIÓN " u="1"/>
        <s v="EDICTO-- --------EN EL EXPTE. N°" u="1"/>
        <s v="ENTER SERVICE S.A. ASAMBLEA GENE" u="1"/>
        <s v="DERGAM ANIVERSARIO" u="1"/>
        <s v="MARIA CINTIA ROJAS" u="1"/>
        <s v="en las posibilidades pag. jujuy" u="1"/>
        <s v="SIN DE LUZ Y FUERZA DIA DE LA BA" u="1"/>
        <s v="Anuncio vinculado con: 1503195 2 ." u="1"/>
        <s v="CULTIVO LAS PETUÑAS ...." u="1"/>
        <s v="FERIA COMUNITARIA &quot;EL MILAGRO&quot; C" u="1"/>
        <s v="LA MANSION - ZORBA ESP RIO BLANC" u="1"/>
        <s v="EDICTOS  = = = DR. JORGE DANIEL " u="1"/>
        <s v="ERNESTO ALFREDO REYES Q.E.P.D. F" u="1"/>
        <s v="TORNEO FINAL 21" u="1"/>
        <s v="CUADRO TARIFARIO EJESA..." u="1"/>
        <s v="AUTOFARO JUJUY- ESP REPUESTEROS" u="1"/>
        <s v="AVISO CON RECUADRO COLOR FUCSIA" u="1"/>
        <s v="                  ASAMBLEA GENER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MUEBLES CHAÑAR" u="1"/>
        <s v="71º ASAMBLEA GRAL CONVOCATORIA" u="1"/>
        <s v="DUEÑO VENDE O PERMUTA  DUSTER 2." u="1"/>
        <s v="UNA SEMANA NADA MAS" u="1"/>
        <s v="       ASOCIACION CIVIL ESPACIO " u="1"/>
        <s v="CAMARA MINERA - DIA DEL MEDIO AM" u="1"/>
        <s v="CENTRO VECINAL DEL BARRIO CENTRO" u="1"/>
        <s v="CONSTRUIMOS PILETAS, CASAS, QUIN" u="1"/>
        <s v="JUAN YUCA  MOD 1X3 BYN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FOTO GUARDADA EN LA CARPETA DE LA FECHA DE AT. AL CLIENTE_x000d__x000a__x000d__x000a_CON EL MARCO DEL RECUADRO A COLOR Y CON UN LIN LINDO DETALLE... GRACIAS" u="1"/>
        <s v="COLEGIO MEDICO - kinesiologos" u="1"/>
        <s v=" + DR. FABIÁN ROSSO q.e.p.d. Fal" u="1"/>
        <s v="NESTOR VILTE" u="1"/>
        <s v="DANIEL ABEL LOPEZ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ainstituto colbert" u="1"/>
        <s v="GARELY SACI  ESP SAN MARINO" u="1"/>
        <s v="0800 DENUNCIAR IRREGULARIDADES" u="1"/>
        <s v="AGRO EL CARMEN  ESP AGRICULTOR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GOBIERNO" u="1"/>
        <s v="MUNDO ANIMAL" u="1"/>
        <s v="GOBIERNO DIA DEL ESTUDIANTE..." u="1"/>
        <s v="CONTENEDORES   EL HORNERO CAMION" u="1"/>
        <s v="SOCIEDAD ITALIANA DE JUJUY DIA D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ORA TORRRES VDA. DE CRUZ (Q.E.P" u="1"/>
        <s v="EDICTO ---EN EL EXPEDIENTE N°: D" u="1"/>
        <s v="En vez de ese martillo percutor iría está amoladora" u="1"/>
        <s v="FOTO GUARDAD EN LA CARPEAT DE LA FECHA DE ATL. CLIENTE_x000d__x000a__x000d__x000a_CON EL MARCO DEL RECUADRO CON FLORES DE COLORES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ALQUILO MAQUINA RETROPALA -Nivel" u="1"/>
        <s v="CONVOCATORIA La Comisión Reorgan" u="1"/>
        <s v="SINDICATO DE CAMIONEROS .......E" u="1"/>
        <s v="“EL LLAMADO FINAL DE DIOS PARA T" u="1"/>
        <s v="LOLA M - gastronomic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AGATA VETERINARIA DIA VET" u="1"/>
        <s v="+ LILIANA DEL ROSARIO VARELA  q." u="1"/>
        <s v="+ SAJAMA DE DIAZ, Gladis Yolanda" u="1"/>
        <s v="COOPERATIVA DE TABACALEROS EMPLE" u="1"/>
        <s v="SE  BUSCA MEDICO /A para turno d" u="1"/>
        <s v="LUBRISPORT" u="1"/>
        <s v="AGRIMENSOR SANCHEZ..." u="1"/>
        <s v="Gobierno de JUJUY CENTRO DE  DIV" u="1"/>
        <s v="GOBIERNO   CENSO 2022..." u="1"/>
        <s v="+ DR. CRUZ ANTUNEZ, Héctor Danie" u="1"/>
        <s v="AVISO ARMADO INDUSTRIA CONSTRUCT" u="1"/>
        <s v="CONSEJO DE FARMAC. CONVOCATORIA " u="1"/>
        <s v="CONSORCIO DE RIEGO CONVOCATORIA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CLUB ATLETICO CULTURAL Y DEPORTI" u="1"/>
        <s v="EL MUNDO DEL PLOMERO ANIV CLUB G" u="1"/>
        <s v="fondo amarrillo letras negras  l y cel. numero mas notable" u="1"/>
        <s v=" +MORALES TERESA  q.e.p.d.  Fall" u="1"/>
        <s v="COLEGIO DE INGENIEROS DE JUJUY ." u="1"/>
        <s v="EDICTOS JUDICIALES ---DRA. NORMA" u="1"/>
        <s v="CON FOTO EN CARPETA DE LA FECHA LABARTA GABRIELA COLOR 2X4" u="1"/>
        <s v="FONDO Y MARCO CELESTE" u="1"/>
        <s v="BUSCAMOS INCORPORAR Ingeniero Ag" u="1"/>
        <s v="COLEGIO MODELO PALPALÁ  FLAP HOU" u="1"/>
        <s v="FUND. PROJUJUY AGROP ESP COOP. D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MARIO FEDERICO NUÑEZ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GOBIERNO PAGINA 3 ..." u="1"/>
        <s v="+ BERTA CAUSARANO  q.e.p.d. Fall" u="1"/>
        <s v="EXTINTORES Y SERV. EMSA ESP. PAT" u="1"/>
        <s v="NORTE SERVICIOS SOCIALES - DIA D" u="1"/>
        <s v="NUEVO PROFESIONAL GABRIEL ALEJAN" u="1"/>
        <s v="REPRESENTANTE COMERCIAL, EMPRESA" u="1"/>
        <s v="+VICENTA SANTA FABREGO 1X3" u="1"/>
        <s v="CONVOCATORIA CONSORCIO RUTA 66" u="1"/>
        <s v="+ MARIA ELENA GUTIERREZ 21-12-19" u="1"/>
        <s v="ASOCIACIÓN RESIDENTES DE MINA AG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BUSCAMOS PERSONAL PARA RELACIONE" u="1"/>
        <s v="DISTRIBUIDORA TIRAXI - ESPECIAL 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 EDICTO SUSESORIO: En el Juzgado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MARIDAJE CULTURA EN CARNAVAL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AGROQUIMICA SAN JOSE ESP CAMARA " u="1"/>
        <s v="ANGEL RAUL ARIAS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TORNEO PCIAL. DEL INTERIOR 2022 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LEGIO JEAN piaget" u="1"/>
        <s v="ASOCIACION SAMPEDREÑA DE BASQUET" u="1"/>
        <s v="TOMBOSUERTE..." u="1"/>
        <s v="VENDO AMAROK TRENDLINE" u="1"/>
        <s v="+ PRESENTANCION MAMANI  (Q.E.P.D" u="1"/>
        <s v="SE NECESITA COCINERO/A CON EXPER" u="1"/>
        <s v="EPIFANIO APAZA" u="1"/>
        <s v="ING. RAMON RUSSO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DIA DE LA MADRE  CARNICERIA CONS" u="1"/>
        <s v="Ref. Expte. N° C-169699/2020 car" u="1"/>
        <s v="Ref. Expte. Nº C-171244/2020 car" u="1"/>
        <s v="Ref. Expte. Nº D-033421/2020 car" u="1"/>
        <s v="Ref. Expte. Nº D-034024/2020 car" u="1"/>
        <s v="SOCIEDAD RURAL DIA DEL TRABAJADO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CABALLERO ALQUILA CASA CENTRICA" u="1"/>
        <s v="CAFE SERV. SELECC. EMPRESA GASTR" u="1"/>
        <s v="FESTIPEÑA EN PALPALA - PAGINA ES" u="1"/>
        <s v="EMPRESA CON 35 ..." u="1"/>
        <s v="C.G.T ESP TRABAJADOR" u="1"/>
        <s v="MATE COCIDO JUJUY FM" u="1"/>
        <s v="PH GESTIÓN INMOBILIARIA" u="1"/>
        <s v="PABLO LESCANO X CANJE ENTRADAS" u="1"/>
        <s v="CABALLERO ALQUILA CASA CENTRICA " u="1"/>
        <s v="AVISO ARMADO ESTELA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SERVI FIAT" u="1"/>
        <s v="SE SOLICITO AYUDANTE  DE PASTELE" u="1"/>
        <s v="DIESEL JUJUY ESP GORRITI" u="1"/>
        <s v="+ NAVARRO de De La Cruz Sara Iné" u="1"/>
        <s v="ARGENCROPS S.A.  En conformidad " u="1"/>
        <s v="GOBIERNO  ANIVERSARIO RICARDO HU" u="1"/>
        <s v="JUJUY ES PRODUCCION - FM JUJUY" u="1"/>
        <s v="BLACK FRIDAY 03 AL 17 DEL 11-202" u="1"/>
        <s v="CENTRO DE JUBILADOS “CLUB AMIGAS" u="1"/>
        <s v="EDICTO  JUZGADO DE PRIMERA INSTA" u="1"/>
        <s v="EDICTOS Juzgado de Primera Insta" u="1"/>
        <s v="EL MUNDO DEL PLOMERO DIA DE LA M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MARCELO RAUL ZERPA            q." u="1"/>
        <s v="YOELI CALZADOS  ANIV. B° 9 DE JU" u="1"/>
        <s v="GOBIERNO VIALIDAD  ..." u="1"/>
        <s v="MARIO “TITO” ALCÁZAR 10/03/1955 " u="1"/>
        <s v="“CENTRO VECINAL VILLA BELGRANO” " u="1"/>
        <s v="GOBIERNO -...." u="1"/>
        <s v="PROYAJO S.A. ESP TRABAJADOR" u="1"/>
        <s v="INFOMERCIAL UCSE - ¿Qué es el Mo" u="1"/>
        <s v="SOCIEDAD ITALIANA D EJUJUY ... S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UNA PAGINA (17/07) Y MEDIA (18/0" u="1"/>
        <s v="CONVOCATORIA LOTES" u="1"/>
        <s v="DISTRIBUIDORA MALU  INMACULADA C" u="1"/>
        <s v="EDICTO SUCESORIO   - - - - - - -" u="1"/>
        <s v="LA JUSTICIA  ME SOBRESEYO TOTAL " u="1"/>
        <s v="SALON SAN JOSÉ" u="1"/>
        <s v="DOVIS DIESEL ESP. HUEDA" u="1"/>
        <s v="DOVIS DIESEL ESP SAN ISIDRO" u="1"/>
        <s v="COSEJERO y HECHICERO JAIRO  Nuev" u="1"/>
        <s v="FINCA EL INFANTE ALCONOR - UNION" u="1"/>
        <s v="AÑOS LUZ ESP ING." u="1"/>
        <s v="   CAMARA EN LO CIVIL Y COMERCIA" u="1"/>
        <s v="CENTRO VECINAL  SAN BENITO DE PA" u="1"/>
        <s v="DISTINGUIDO DEL AÑO 2021 EMPRESA" u="1"/>
        <s v="union caÑeros de jujuy y salta.." u="1"/>
        <s v="ULISES BUENO" u="1"/>
        <s v="COBRADOR Y PROM TILCARA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MAMANÍ SÁNCHEZ, Rubén Daniel  (q" u="1"/>
        <s v="SELECCIONA MEDICOS" u="1"/>
        <s v="STRAVAGANZA GANADORES" u="1"/>
        <s v=" CENTRO VECINAL DEL B° 281 VIVIE" u="1"/>
        <s v="11/16 PAGO SOLICITADA PUBLICADA " u="1"/>
        <s v="Salta Capital. Vdo Monoambiente " u="1"/>
        <s v="AGOSTINI DES. INMOBILIARIA" u="1"/>
        <s v="-   EDICTO    -   ------ Ref. EX" u="1"/>
        <s v="CARUSO SEGUROS  ESP EXODO JUJEÑO" u="1"/>
        <s v="aviso para renovar idem anuncio 1500011" u="1"/>
        <s v="AMPERPAG" u="1"/>
        <s v="INGENIO RIO GRANDE INVITA ..." u="1"/>
        <s v="Gracias Padre Pio por los favore" u="1"/>
        <s v="GRACIAS SAN ROQUE Por los Favore" u="1"/>
        <s v="LUBRINOR- DIA DEL TAXISTA" u="1"/>
        <s v="FERIA  MAYORISTA Y MINORISTA  DE" u="1"/>
        <s v="PODER JUDICIAL LLAMA A INSCRICPI" u="1"/>
        <s v="YOLY POLLERIA SAN ISIDRO LABRADO" u="1"/>
        <s v="                   EDICTO   ----" u="1"/>
        <s v="IMP EMP. SELECC. OPERARIO DE DEP" u="1"/>
        <s v="MOVIMIENTO SOCIALISTA DE LOS TRA" u="1"/>
        <s v="VENDO  2- CORTADORAS  1-HELAD. B" u="1"/>
        <s v="a color ( aviso para renovación )_x000d__x000a_Idem aviso 1465571 _x000d__x000a_CAMBIO DE CEL. 388-4613315" u="1"/>
        <s v="                ACEROS ZAPLA S.A" u="1"/>
        <s v="ASOCIACION CIVIL SAN CAYETANO  C" u="1"/>
        <s v="MARÍA LUISA TOCONAS 31/12/1937  " u="1"/>
        <s v="ACOSTA MUEBLES ESP TRABAJADOR" u="1"/>
        <s v="ELECTROSTAR DIA DEL TRABAJADOR" u="1"/>
        <s v="CONVOCATORIA La Comisión del CLU" u="1"/>
        <s v="el primer profesional mas grande el nombre que el segundo" u="1"/>
        <s v="GRAN MONARCA - ALVEAR ESP FNE" u="1"/>
        <s v="FRIAR BUSCA CARNICERO" u="1"/>
        <s v="JMS MAQUINAS AGROVIAL" u="1"/>
        <s v="GOBIERNO VACUNATE  TELEFILMINT" u="1"/>
        <s v="con nuevo logo del Sindicato de obreros del Tabaco" u="1"/>
        <s v="UCASAL JUJUY OFERTA EDUCATIVA" u="1"/>
        <s v=" +JOSE MANUEL AVILA     (q.e.p.d" u="1"/>
        <s v="---------------- EDICTO SUCESORI" u="1"/>
        <s v="COMUNICADO  = = =: El Consejo Di" u="1"/>
        <s v="Empresa Constructora  vende camp" u="1"/>
        <s v="PARQUE SAN MARTIN vendo dpto. gr" u="1"/>
        <s v="UNION CAÑEROS INDEPEND ESP EXODO" u="1"/>
        <s v="MUNIC. S.S. DE JUJUY - fun fest" u="1"/>
        <s v="+ MAMANI, Gavino Q.E.P.D. 19-02-" u="1"/>
        <s v="GARELY SACI ESP LDOR GRAL SAN MA" u="1"/>
        <s v="Gobierno de JUJUY  -21 DIA DEL E" u="1"/>
        <s v="ZENTIDOS  AVISO ARMADO (aviso fa" u="1"/>
        <s v="HAMBURGO - NAVIDAD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SABADO  20 DE AGOSTO PALITO ORTE" u="1"/>
        <s v="AHORA EN JUJUY Y SALTA" u="1"/>
        <s v="PJ JUJUY - RIVAROLA- fernandez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IMPORTANTE EMPRESA  EJECUTIVO DE" u="1"/>
        <s v="PAG IMPAR - SANATORIO NUESTRA SR" u="1"/>
        <s v="SATSAID - SALUDA EN EL DÍA DE LA" u="1"/>
        <s v="SIND. DE LUZ Y FUERZA EXODO JUJE" u="1"/>
        <s v="ACADEMIA DE DANZAS ARABES AAMAL" u="1"/>
        <s v="ALQUILO DPTO SEMIPISO.  Apto con" u="1"/>
        <s v="Centro Vecinal de Cochinoca Conv" u="1"/>
        <s v="COLEGIO DE ARQUITECTOS ESP ODONT" u="1"/>
        <s v="COLEGIO DE ODONTOLOGOS ESP ODONT" u="1"/>
        <s v="ESTUDIO CONTABLE  Asesoramiento " u="1"/>
        <s v="TARJETA NO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+ GUSTAVO ALFREDO JORGE Falleció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ASOCIACIÓN CLUB AMIGOS DEL TANGO" u="1"/>
        <s v="FARMACIA SAN FRANCISCO ADHESION." u="1"/>
        <s v="LA COMISION DIRECTIVA DE LA ASOC" u="1"/>
        <s v="La Comisión Directiva de la ASOC" u="1"/>
        <s v="MUNICIPALIDAD DE PALPALÁ  EXODO " u="1"/>
        <s v="+ FRANCISCO CARLOS GRIMALDO  AVI" u="1"/>
        <s v="-------EDICTO SUCESORIO-- ---JUZ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CARLOS HUGO TAPIA" u="1"/>
        <s v="LOGROS CAFÉ ESP GRAN MONARCA" u="1"/>
        <s v="INSTITUTO DELTA PREPARAMOS TU IN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+ MARIA CLELIA RAMIREZ 14 -05 - " u="1"/>
        <s v="ESTUDIO UNO ADHESION DIA DEL SAN" u="1"/>
        <s v="JUNTA ELECTORAL A.P.U.N.Ju. La J" u="1"/>
        <s v="URGENTE VENDO PARCELA 15X50 $ 3." u="1"/>
        <s v="ESTER AURORA AYALA" u="1"/>
        <s v="LA BIELA REPUESTOS" u="1"/>
        <s v="GOBIERNO PIROTECNIA CERO...." u="1"/>
        <s v="+ GUSTAVO OLIVERA RODRIGUEZ Q.E." u="1"/>
        <s v="CONVOCATORIA  Club Social y Depo" u="1"/>
        <s v="Municipalidad de Libertador Gene" u="1"/>
        <s v="9 DE AREA" u="1"/>
        <s v="EUGENIA ROSALIA BARRIOS" u="1"/>
        <s v="+ RODRIGUEZ de Zuleta, Norma (q." u="1"/>
        <s v="APACHEta Los Izquierdos de la Cu" u="1"/>
        <s v="Re/max Noa II vende  importante " u="1"/>
        <s v="con foto en carpeta de la fecha 27/04 + TEVES ARMANDO GUILLERMO" u="1"/>
        <s v="aviso llega por mailAnuncio vinculado con: 1493986 3 ." u="1"/>
        <s v="VIERNES 16  LEYENDA HOY !!" u="1"/>
        <s v="+ ALEJANDRO GONZALEZ MUÑOZ    Q." u="1"/>
        <s v="+ DOMINGUEZ, Tomasa Demetria “To" u="1"/>
        <s v="ESTUDIE PROFESORADO DE PORTUGUES" u="1"/>
        <s v="gobierno continuamos con los ras" u="1"/>
        <s v="PROPIETARIO ALQUILA IMPORTANTE P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EDICTO --JUZGADO MULTIFUERO DE P" u="1"/>
        <s v="ATSA  EVA PERON...." u="1"/>
        <s v="+ CARMEN MERCEDES VEGA DE GASPAR" u="1"/>
        <s v="BANCO DE LA NACION ARGENTINA  TI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ATSA ....ESP LEALTAD" u="1"/>
        <s v="EDICTO CITATORIO   === En el Exp" u="1"/>
        <s v="GOBIERNO  DPV. LIOCITACION PUBLI" u="1"/>
        <s v="GOBIERNO pagina 3 DIA DE LA BAND" u="1"/>
        <s v="CON FOTO 04-03" u="1"/>
        <s v="UTEDYC ESP TRABAJADOR" u="1"/>
        <s v="DOVIS DIESEL ESP SAN MARINO" u="1"/>
        <s v="+ MARIO ALEXIS VALERIANO  q.e.p." u="1"/>
        <s v="+ NELIDA CECILIA VALDIVIEZO Q.E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JORGE OCTAVIO RIVAS EXPTE C15406" u="1"/>
        <s v="MC. LANDY´S PES - 17 DE AGOSTO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UNJU - gral Arias" u="1"/>
        <s v="DIA DEL EDUCADOR PARA LA SALUD" u="1"/>
        <s v="COLEGIO MÉDICO - 30 años ucasal" u="1"/>
        <s v="DRA LUCIA ADERA _x000d__x000a__x000d__x000a_ARMAR AVISO" u="1"/>
        <s v="MARIA LUISA VELAZQUEZ MOD 1X3 BY" u="1"/>
        <s v="REMATO TERRENOS. EN LOTEO NUEVO " u="1"/>
        <s v="buscar aviso 3 diciembre de 2019 y modificar texto" u="1"/>
        <s v="ISJ  MAS BENEFICIOS PARA NUESTRO" u="1"/>
        <s v="WERCHOW INCORPORA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PERICO ALQUILO INMUEBLES  *OFICI" u="1"/>
        <s v="+ ZOILA “YOLI” ACHO Falleció el " u="1"/>
        <s v="IMPORTANTE EMPRESA ONSTRUCTORA  " u="1"/>
        <s v="Anuncio vinculado con: 1492499 2 ." u="1"/>
        <s v="LOS NARANJOS DIA DEL PADRE" u="1"/>
        <s v="FIXION" u="1"/>
        <s v="AGOSTINI DES. INMOBILIARIA PATRO" u="1"/>
        <s v="CONSEJO DE BIOQUIMICOS - ESP 19 " u="1"/>
        <s v="TELECOM ANUARIO - PAG3" u="1"/>
        <s v=" EUSEBIO NAVARRO     (q.e.p.d.) " u="1"/>
        <s v="CONVOCATORIA  La Comisión del “C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ASOCIACIÓN BOLIVIANA 6 DE AGOSTO" u="1"/>
        <s v="EDICTO SUCESORIO  -.-.-.-.-. JUZ" u="1"/>
        <s v="FONDO AMARILLO Y MARCO NEGRO POR FAVOR UNICA MODIFICACION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CON LOGO _x000d__x000a_AVISO EN CARPETA DE NOTABLES DE LA FECHA" u="1"/>
        <s v="4 PAGINAS SUTIAGA ANUARIO" u="1"/>
        <s v=" + JULIAN MARCELO CRUZ  Ya pasó " u="1"/>
        <s v="EDICTO Por la presente y según l" u="1"/>
        <s v="SE BUSCA PERSONAL P/PUESTO DE EN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FERIA DE MONTERRICO PUBLICADO EL" u="1"/>
        <s v="GOBIERNO  DIA DE GENDARMERIA ..." u="1"/>
        <s v="+JORGE PABLO BURGOS  1X3" u="1"/>
        <s v="4 PAGINAS SEPARATA TELAM...." u="1"/>
        <s v="CASTILLO DADAN, Ana María  (q.e." u="1"/>
        <s v="GERARDO MORALES GOBERNADOR  CARL" u="1"/>
        <s v="SUPER CARNES RUBEN  DIA DEL  PAD" u="1"/>
        <s v="UNION CAÑEROS INDEPEND. DIA DE L" u="1"/>
        <s v="CARLOS JORGE NASSR" u="1"/>
        <s v="COMERCIAL ARGENTINA" u="1"/>
        <s v="RUBEN SEBASTIAN CABRERA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+ SANTOS “TUCO” PEÑARRIETA q.e.p" u="1"/>
        <s v="= = = = = = =  = = = = = =  = = 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A. FILIU &amp; COMPAÑIA SRL" u="1"/>
        <s v="PERICO VENDO  L   O   T   E    S" u="1"/>
        <s v="IMAGEN ARMADO ENVIADO AL WHATSAPP DE SR. CLAUDIO" u="1"/>
        <s v="BUSQUEDA DE PERSONAL  RESPONSABL" u="1"/>
        <s v="DISTRIBUIDORA MALU  SALUDO DE FI" u="1"/>
        <s v="FIAMBRERIA SAN SANTIAGO  DIA DEL" u="1"/>
        <s v="GOBIERNO COLEGIO LOS LAPACHOS .." u="1"/>
        <s v="HIPOLITO NICOLAS TORRES" u="1"/>
        <s v="+ BLANCA FLORES DE REINOSO  (Q.E" u="1"/>
        <s v="SANTOS VERA(letra roja)  Chaman " u="1"/>
        <s v="VENDO CASA  Bº AZUCARERO  SAN PE" u="1"/>
        <s v="Al cumplirse un mes de la partid" u="1"/>
        <s v="ASOC. CIVIL ALEGRES DE LA PUNA R" u="1"/>
        <s v="+ ORELLANA CLAUDIO GERARDO RAMÓN" u="1"/>
        <s v="// LOGO/// Asociación de Terapis" u="1"/>
        <s v="GOBIERNO JUJUY RENTAS ASISTENTE " u="1"/>
        <s v="bien remarcado tasaciones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S.E.M.P.  CONVOCATORIA A ELECCIO" u="1"/>
        <s v="aviso para renovar idem 1464768" u="1"/>
        <s v="COLEGIO FARMACEUTICOS ADHESION.." u="1"/>
        <s v="EDICTO JUZGADO DE PRIMERA ISNTAN" u="1"/>
        <s v="LA MAGALI S.R.L.  CELEBRACIÓN A " u="1"/>
        <s v="SIND. DE LUZ Y FUERZA ESP SAN SA" u="1"/>
        <s v="VERTIENTES DE YALA" u="1"/>
        <s v="LICITACIÓN MINISTERIO DE HACIEND" u="1"/>
        <s v="OPTICA SKOREPA  ANIVERSARIO SAN " u="1"/>
        <s v="PERICO + CANDELARIA MEDINA DE VA" u="1"/>
        <s v="REPUESTOS ORIGINALES AMAROK COMO" u="1"/>
        <s v="va la foto de camisa blanca" u="1"/>
        <s v="+ JULIO NESTOR CASTAÑARES  Q.E.P" u="1"/>
        <s v="aviso para renovar idem. anuncio 1500012" u="1"/>
        <s v="LAGAMI S.A.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SEL SRL - ANIVERSARIO GYE JUJUY" u="1"/>
        <s v="ALVARO GONZALO FUNES QEPD 5/10/8" u="1"/>
        <s v="ASOCIACION CIVIL, SOCIAL, CULTUR" u="1"/>
        <s v="ASOCIACIÓN CIVIL, SOCIAL, CULTUR" u="1"/>
        <s v="EMPRESA MULTINACIONAL  BUSCAMOS " u="1"/>
        <s v="GABRIEL ROMAROVSKY.  (Q.E.P.D.) " u="1"/>
        <s v="ISSALCO Ropa Masculina" u="1"/>
        <s v="APACHETA CANTO DEL ALMA" u="1"/>
        <s v="FESTIVAL DE LA CABEZA GUATEADA" u="1"/>
        <s v="La Comisión directiva de la Cáma" u="1"/>
        <s v="CESAR MARAZ" u="1"/>
        <s v="MUNIC. S.S. DE JUJUY - VIA PARKI" u="1"/>
        <s v="relaes humberto" u="1"/>
        <s v="/// CLUB DE AMIGOS ///" u="1"/>
        <s v="HOTEL OHASIS-ANIV. GYE JUJUY" u="1"/>
        <s v="///LOGO/// VENTA  ·Hermosa casa " u="1"/>
        <s v="ACROPOLIS" u="1"/>
        <s v="+ TERESA SALAS  1X3" u="1"/>
        <s v="TRAME - DIA DEL CAMINO" u="1"/>
        <s v="ARMANDO PATRICIO MAMANI" u="1"/>
        <s v="+ RAMIREZ, Mario Ricardo (q.e.p." u="1"/>
        <s v="CENTRO VECINAL B° ALTO PALPALÁ -" u="1"/>
        <s v="aviso para renovar idem anuncio 1496256  para modificar el tamaño mas notable  en todo  el fragmento letras blanco fondo azul ( acabo con los infieles)" u="1"/>
        <s v="OPTICA SANTA LUCIA ESP TRANSAMER" u="1"/>
        <s v="a color idem aviso 1484472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ASOCIACION JUDICIAL ESP EMP. JUD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E BUSCA ORTODONCISTA" u="1"/>
        <s v="E  D  I  C  T  O - - - Dra. MARI" u="1"/>
        <s v="EDICTO  EL Club Social y Deporti" u="1"/>
        <s v="LA CASA DEL RIEGO ESP LIBERTADOR" u="1"/>
        <s v="LUISA DIAZ" u="1"/>
        <s v="JULIO IMPERDIBLE" u="1"/>
        <s v="GOBIERNO EXPO PRODUCTIVA..." u="1"/>
        <s v="PROYAJO S.A.  ESP AGRICULTOR" u="1"/>
        <s v="ANGEL LUBRICANTES ESP TRABAJADOR" u="1"/>
        <s v="Gobierno de JUJUY En Jujuy trans" u="1"/>
        <s v="GRACIAS SAN EXPEDITO POR EL CAMP" u="1"/>
        <s v="IMPORTANTE EMPRESA INCORPORA: As" u="1"/>
        <s v="MARIACHI GUERRERO               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+ ARRUA, Edelma (q.e.p.d.) Falle" u="1"/>
        <s v="CAMPO LA TUNA VENDO  9 HAS. 3 8 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IMP. EMPRESA DE LIMPIEZA  Busca 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curso taller aprende a invertir en bolsa" u="1"/>
        <s v="MADERAS DENIS APPACE" u="1"/>
        <s v="EMP DEL MEDIO PROMOTORES" u="1"/>
        <s v="ILLARI PUNA PAGINA ESPECIAL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EMPRESA BUSCA CARPINTERO/A Para trabajo " u="1"/>
        <s v="CURSO TERAPEUTA HOLISTICO" u="1"/>
        <s v=" Expte. N° C-173125/21  caratula" u="1"/>
        <s v="MASAJE PROFESIONAL  AVISO ARMADO" u="1"/>
        <s v="TEXTO ENVIADO A TRIBU PUBLICIDAD" u="1"/>
        <s v="DERGAM ESP PAPEL NOA" u="1"/>
        <s v="EDICTO  DRA. NORMA B. ISSA. JUEZ" u="1"/>
        <s v="UNION OBRERA METALURGICA DE LA R" u="1"/>
        <s v="ASOCIACION DE FERIANTES DE MONTE" u="1"/>
        <s v="CIUDAD-PERICO  VENDO CASAS:  *CL" u="1"/>
        <s v="EL CARMEN + CAZÓN, JUANA AGUEDA " u="1"/>
        <s v="GOBIERNO CONVOCATORIA DE BOSQUES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arra CH . B . CH . Convocatoria" u="1"/>
        <s v="SAJAMA, Leandra (q.e.p.d.) Falle" u="1"/>
        <s v="EJESA CORT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HAMBURGO" u="1"/>
        <s v="ROBERTO ANTONIO DIAZ" u="1"/>
        <s v="DAVID TABOADA  MOD 1X3" u="1"/>
        <s v="+ JOSÉ SATURNINO BURGOS AVISO AR" u="1"/>
        <s v="+ TEODORA MAXINA CRUZ q.e.p.d.  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LABORATORIOS SLEIBE" u="1"/>
        <s v="GMG LUBRICENTRO ESP REPUESTERO" u="1"/>
        <s v="CENTRO VECINAL PUNTA DIAMANTE CO" u="1"/>
        <s v="MUNIC. S.S. DE JUJUY FE DE ERRAT" u="1"/>
        <s v="TARJETA SOL - BSE" u="1"/>
        <s v="GOBIERNO  DIA DE GENDARMERIA ." u="1"/>
        <s v="+ MORALES BERNABÉ GREGORIO      " u="1"/>
        <s v="ASOCIACION DE ENFERMERIA - CONVO" u="1"/>
        <s v="CLUB DE PESCADORES  CON LOGO-  W" u="1"/>
        <s v="IMPORTANTE EMPRESA CONSTRUCTORA " u="1"/>
        <s v="Anuncio vinculado con: 1502200 2 ." u="1"/>
        <s v="PARRILLADA EL PUCARA" u="1"/>
        <s v="LATITUD SUR DIA DEL TRABAJADOR" u="1"/>
        <s v="MITSUBISHI L200 MOD/2016-61.000K" u="1"/>
        <s v="VENDO OXIMETRO nuevo $2.800, lle" u="1"/>
        <s v="DFD REPUESTOS ANUARIO" u="1"/>
        <s v="///LOGO/// COLEGIO DE MARTILLERO" u="1"/>
        <s v="CENTRO VECINAL DEL BARRIO HIGUER" u="1"/>
        <s v="ZOTO de Amante, Dolores “Lola” q" u="1"/>
        <s v="HORMIGONERA -VENTA DE HORMIGON EN MIXER " u="1"/>
        <s v="ICADE OFERTA EDUCATIVA" u="1"/>
        <s v="LIC. DIEGO CRUZ QUIROPRAXIA" u="1"/>
        <s v="+ NICASIO DE JESUS CERPA  q.e.p." u="1"/>
        <s v="CONVOCATORIA ASOCIACIÓN DE BOMBE" u="1"/>
        <s v="SIND DE LUZ Y FUERZA ADHESION 9 " u="1"/>
        <s v="TEXTO ENVIADO EN WORD Y ENVIADO A LA CARPETA DE TRIBU - PUBLICIDAD Y SONIA" u="1"/>
        <s v="DISEÑADOR GRAFICO..." u="1"/>
        <s v="ANDREA FABIANA ORTIZ EXPTE C0557" u="1"/>
        <s v="Gobierno de JUJUY CENTRO EN DIVE" u="1"/>
        <s v="SALES DE JUJUY - DIA del trabaja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IMPORTANTE EMPRESA BUSCA PERSONA" u="1"/>
        <s v="TURISMO HOTELEROS Y GASTRONOMICO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AGRO RURAL" u="1"/>
        <s v="SUPERMAT ..." u="1"/>
        <s v="COLEGIOP MEDICO" u="1"/>
        <s v="GOBIERNO AGUA POTABLE" u="1"/>
        <s v="BLANCO CON LETRS NEGRAS" u="1"/>
        <s v="COLEGIO MEDICO . asamblea" u="1"/>
        <s v="CUIDEMOS LA ENERGIA - TELAM" u="1"/>
        <s v="MARINARO  SALUDO DE FIN DE AÑO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APACHETA LA YUNTA" u="1"/>
        <s v="ACOSTA MUEBLES ESP VIRGEN DE RIO" u="1"/>
        <s v="EL RASTRO S.A. INFORMA En confor" u="1"/>
        <s v="VENDO LOTE 12x30 plena esq. Bº R" u="1"/>
        <s v="MACIAS, Fernando Ruben (q.e.p.d." u="1"/>
        <s v="MUNI JUJUY dia de la bandera" u="1"/>
        <s v="+ MARIO CESAR CULCUY (q.e.p.d.) " u="1"/>
        <s v="EXPTE. Nº 0400-2021 DECRETO 2870" u="1"/>
        <s v="SOFIA DE LOS ÁNGELES SALAS ( QEP" u="1"/>
        <s v="NUEVA IMAGEN ENVIADO AL CORREO DE CLASIFICADO A COLOR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PANINI ALBUMES DEL MUNDIAL" u="1"/>
        <s v="CENTRO VECINAL BARRIO EL MILAGRO" u="1"/>
        <s v="CREDIS  SELECCIONARA:   COBRADOR" u="1"/>
        <s v="EDICTO El Juzgado de 1ra Instanc" u="1"/>
        <s v="MUNICIPALIDAD DE SAN PEDRO DE JU" u="1"/>
        <s v="con color fondo lila letras negras" u="1"/>
        <s v="URGENTE VENDO  TERRENO 2.568 m2 En *" u="1"/>
        <s v="DENTAL RED ESP ODONTOLOG." u="1"/>
        <s v="SHELL PERESSIN ESP EMPRESARIOS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+ ERMINIA SANCHEZ  1X3" u="1"/>
        <s v="AVISO PAGINA 3 : -PINTURERIA Y F" u="1"/>
        <s v="DUEÑO VENDE CASA Bº C. de Nieva," u="1"/>
        <s v="UNION CAÑEROS INDEPEND ESP AGRIC" u="1"/>
        <s v="¿ TE EMBARGARON? NOSOTROS LO SOLUCIONAMO" u="1"/>
        <s v="FONDO BLANCO LETRAS ROJAS idem anuncio 1495375" u="1"/>
        <s v="nuevo" u="1"/>
        <s v="BIBLIOTECA POPULAR CAMPO VERDE C" u="1"/>
        <s v="SINDICATO DE OBREROS PASTELEROS " u="1"/>
        <s v="TODO IKA ESP REPUESTERO" u="1"/>
        <s v="D.F.D. REPUESTOS  ESP ANUARIO" u="1"/>
        <s v="+ MARÍA SATURNINA MANSILLA,  q.e" u="1"/>
        <s v="+ SANCHEZ, José Luis (q.e.p.d.) 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JUMI S.R.L. JEFE DE OBRA MAESTRO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logo aguado capeta dia 21 atencion" u="1"/>
        <s v="REMARCAR TITULO DEL AVISO _x000d__x000a_Modificaciones" u="1"/>
        <s v="MARTA RAMOS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CON LOGO/// COCHERIA LA PAZ ANIV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CABALLERO VENDE LOS PERALES ESPE" u="1"/>
        <s v="EDICTO - - - El Tribunal Elector" u="1"/>
        <s v="KINGO COTILLÓN  ///aviso armado " u="1"/>
        <s v="BUSCO ALQUILAR  CAMIONETA 4x4 y 4x2-" u="1"/>
        <s v="+ JUAREZ, María Soledad (q.e.p.d" u="1"/>
        <s v="+ JURADO, Aida Angélica (q.e.p.d" u="1"/>
        <s v="2570/2021 - OSPINA GONZALEZ, JUA" u="1"/>
        <s v="GRACIAS SAN EXPEDITO por el favo" u="1"/>
        <s v="URGENTE VENDO  TERRENO 2.568 m2 " u="1"/>
        <s v="con foto en carpeta de la fecha  17/04/2021  + CHOQUEVILCA CECILIA" u="1"/>
        <s v="DIA DEL PROTESISTA DENTAL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LUISA DOMINGUEZ" u="1"/>
        <s v="EMPRESA CONSTRUCTORA SELECCIONA." u="1"/>
        <s v="TRAME SRL   CELEBRACIÓN VIRGEN D" u="1"/>
        <s v="TAVERNITI  ANUARIO" u="1"/>
        <s v="INFORMA EL TRIBUNAL ELECTORAL" u="1"/>
        <s v="INSTITUTO BALCARCE (PROP EDUC)." u="1"/>
        <s v="///LOGO/// CLUB NAUTICO JUJUY CO" u="1"/>
        <s v="LOS BYBYS - DOS PAGINAS ESPECIAL" u="1"/>
        <s v="SAN EXPEDITO TE PIDO POR LA SALU" u="1"/>
        <s v="EL DIA 12 DE AGOSTO AGREGAR LEYENDA &quot;HOY&quot;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BALBI DISTRIBUIDORA ESP PANADERO" u="1"/>
        <s v="curso taller aprende a invertir " u="1"/>
        <s v="SOLIDARIA CON LA COMUNIDAD  CONV" u="1"/>
        <s v="FOTO GUARDAD EN LA CARPETA DE LA FECHA DE AT. AL CLIENTE_x000d__x000a__x000d__x000a_CON EL MMARCO DEL RECUADRO A COLOR Y CON FLORES." u="1"/>
        <s v="+ JOSEFA ABARZA  (Q.E.P.D.)  Se " u="1"/>
        <s v="EDICTO SUCESORIO  -----JUZGADO M" u="1"/>
        <s v="MARÍA MERCEDES DEL VALLE CASTRO " u="1"/>
        <s v="FLORERIA GENARO" u="1"/>
        <s v="a color idem aviso 1493876" u="1"/>
        <s v="DORINKA  OFERTAS CHANGOMAS..." u="1"/>
        <s v="Centro Vecinal Cultural y Deport" u="1"/>
        <s v="COLECTIVO MERCEDES BENZ  OF 1722" u="1"/>
        <s v="CORREGIR AVISO Y QUE NO SALGA LA ULTIMA PARTE QUE NO VA (LO QUE DICE ESTO DE ROJO)" u="1"/>
        <s v="MACRO - naves" u="1"/>
        <s v="VENTA DE OLIVOS" u="1"/>
        <s v="UCSE  PSICOPEDAGOGIA" u="1"/>
        <s v="IMPAR - DENTAL RED ESP ANUARIO" u="1"/>
        <s v="+ FELIX NIEVE  Falleció el 2 de " u="1"/>
        <s v="+JOSE BURGOS   (q.e.p.d.) Fallec" u="1"/>
        <s v="- EDICTO - - - - Dr. JUAN PABLO " u="1"/>
        <s v="E  D  I  C  T  O:  = = = DRA. MA" u="1"/>
        <s v="IMPRENTA MAESTRO ANIV. TRIBUNO 4" u="1"/>
        <s v="CANAL4 PROGRAMACION ...." u="1"/>
        <s v="BELLOMO - BUSQUEDA LABORAL" u="1"/>
        <s v="CONCEJAL P.J. FABIAN RODRIGUEZ  " u="1"/>
        <s v="GOBIERNO - JUJUY ARGENTINA FASHI" u="1"/>
        <s v="LA FIESTA DEL VIOLINERO - EN LA " u="1"/>
        <s v="LUCHIN MATERIALES  SALUDO DE FIN" u="1"/>
        <s v="NECESITO MEDIO OFICIAL ALBAÑIL, " u="1"/>
        <s v="AGRO RURAL ESP. EL CARMEN" u="1"/>
        <s v="+  EMMA DEL CARMEN DÍAZ   (Q.E.P" u="1"/>
        <s v="+ PUCA, Juan Bernardina (q.e.p.d" u="1"/>
        <s v="ASOCIACION DE BOMBEROS VOLUNTARI" u="1"/>
        <s v="Asociación de bomberos voluntari" u="1"/>
        <s v="GRAN MONARCA ESP EMP. DE COMERCI" u="1"/>
        <s v="INDUSTRIA CONSTRUCTORA MINING S.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+ RUBEN RAMON CALAMARO 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PIMPINELA EN jUNIO plan 5+2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ASESORAMIENTO CONTABLE E IMPOSITIVO Insc" u="1"/>
        <s v="con foto en carpeta de la fecha 27/06/2020 miguelina montaño color 2x3" u="1"/>
        <s v="ATSA ESP SALUD" u="1"/>
        <s v="BUSCAMOS  Extensionista de Pesta" u="1"/>
        <s v="CONVOCTORIA A ELECCIONES DE COMI" u="1"/>
        <s v="SUSHI" u="1"/>
        <s v="UCSE INGENIERIA" u="1"/>
        <s v="CHANGAZO  DORINKA S.R.L." u="1"/>
        <s v="FARMACIA CUMBRE SAN ISIDRO LABRA" u="1"/>
        <s v="POR LA PRESENTE SE NOTIFICA AL P" u="1"/>
        <s v="DPV  GOBIERNO DIA DEL CAMINO" u="1"/>
        <s v="GOBIERNO COMPLEJO MINISTERIAL" u="1"/>
        <s v="   + GIRON, MARIA LILIANA       " u="1"/>
        <s v="E    D    I    C    T    O   S  " u="1"/>
        <s v="JUJUY MADERAS" u="1"/>
        <s v="FARMACIA GRAL. DIA DEL TRABAJADO" u="1"/>
        <s v="URGENTE BUSCO ENCAGADO DE OBRA  " u="1"/>
        <s v="Anuncio vinculado con: 1496110 22 ." u="1"/>
        <s v="RIVAROLA - BELGRANO" u="1"/>
        <s v="AUGUSTO CESAR LIZARRAGA CARGAR C" u="1"/>
        <s v="GOBIERNO INAUGURACION  ESCUELA C" u="1"/>
        <s v="FERRETERIA CARVAJAL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Hábitat-Car vende departamento a" u="1"/>
        <s v="Oficio Nº 752797                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BALCARCE, PAULINA ARGELIA (Q.E.P" u="1"/>
        <s v="COLEGIO MEDICO día del psicologo" u="1"/>
        <s v="COOPERATIVA DE TABACALEROS ESP S" u="1"/>
        <s v="OPORTUNIDAD DUEÑO  ALQUILA GALPO" u="1"/>
        <s v="LOS TILIANES - DIA DE LA MUJER" u="1"/>
        <s v=" COMISIÓN REORGANIZADORA DE LA A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DR.  GUSTAVO MANUEL ROJAS       " u="1"/>
        <s v="Querido e Inolvidable Dr. Cesar 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MOTO FERRETERIA INDUSTRIAL ES" u="1"/>
        <s v="CARNICERIA LIZARRAGA  ANIVERSARI" u="1"/>
        <s v="SANATORIO LAVALLE PAGINA ESPECIA" u="1"/>
        <s v="repite ultimo aviso" u="1"/>
        <s v="adhesión día de los agricultores" u="1"/>
        <s v="PROYAJO S.A.  ESP HUEDA" u="1"/>
        <s v="LLAMADO A LICITACION Kiosco Esco" u="1"/>
        <s v=" E D I C T O: = = = DRA. MARISA " u="1"/>
        <s v="+  LUIS ENRIQUE VILTE    (Q.E.P." u="1"/>
        <s v="DISTRIBUIDORA. E.C. RIVAROLA   A" u="1"/>
        <s v="A CLOR AVISO PARA RENOVAR IDEM 1455448" u="1"/>
        <s v="TODO GOMAS ESP GYE" u="1"/>
        <s v="BULONERA SALUZZO ESP FATIMA" u="1"/>
        <s v="FELIZ DIA DEL TRABAJADOR COOP. 1" u="1"/>
        <s v="GOBIERNO DE JUJUY LICITACION PUB" u="1"/>
        <s v="resaltar el titulo y los contactos. gracias" u="1"/>
        <s v="con foto carpeta dia 24" u="1"/>
        <s v="-- E  D  I  C  T  O S -  -------" u="1"/>
        <s v="E  D  I  C  T  O:  = = = JUZGADO" u="1"/>
        <s v="PATIO FIESTA RETRO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COMERCIO INCORPORA CAJERO Requis" u="1"/>
        <s v="DUEÑO ALQUILA Dpto. 3er piso, 3 " u="1"/>
        <s v="LA COMISIÓN DEL CONSEJO DE ADMIN" u="1"/>
        <s v="PODER JUDICIAL CONCURSO 53, 57 6" u="1"/>
        <s v="VENDO GOL COUNTRY/2011 RTV. NAFT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GOBIERNO CUERDO ESCOLAR" u="1"/>
        <s v="Carlos Alberto Pantoja (q.e.p.d." u="1"/>
        <s v="color_x000d__x000a__x000d__x000a_sin foto" u="1"/>
        <s v="TELEFONO CON FONDO NEGRO" u="1"/>
        <s v="+ VILLAGRA Vda. DE López, Gabrie" u="1"/>
        <s v="DISTRIBUIDORA E. C. RIVAROLA    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CARLOS ALBERTO RODRIGUEZ" u="1"/>
        <s v="SUBTE - DIA DEL TRABAJADOR" u="1"/>
        <s v="NICO FIAMBRES (enfrentadas)" u="1"/>
        <s v="+ ARQ. ARIAS MANUEL MARCOS q.e.p" u="1"/>
        <s v="TU SEI BELLA.. DIA DEL PELUQUERO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EXCPTE. Nº 1050-814-20..." u="1"/>
        <s v="Vendo Excelente Residencia  Los " u="1"/>
        <s v="aviso para armar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DO RETRO PALA &quot;CASE 580 4X4&quot; " u="1"/>
        <s v="UTHGRA ESP LEALTAD" u="1"/>
        <s v="AGOSTINI INMOBILIARIO" u="1"/>
        <s v="NUMANCIA DIA DE LA MUJER" u="1"/>
        <s v="AG AGRO GALLEGO  ESP. CAMAR DEL " u="1"/>
        <s v="COOPERATIVA DE TRABAJO CAEPSOS L" u="1"/>
        <s v="PALBUS  LTDA.  BUSCA   OFICIAL E" u="1"/>
        <s v="UOCRA DIA DEL OBRERO DE LA CONST" u="1"/>
        <s v="DERGAM ESP GYE" u="1"/>
        <s v="AUDIENCIA PUBLICA" u="1"/>
        <s v="PAEZ SRL ESP  ESP ANUARIO" u="1"/>
        <s v="EDICTO  --- Dra. NORMA BEATRIZ I" u="1"/>
        <s v="AVISO ARMADO_x000d__x000a__x000d__x000a_ENVIA RODRIGO ALVAREZ" u="1"/>
        <s v="CLUB ATL. TALLERES" u="1"/>
        <s v="SUETRA  DIA DEL TRABAJADOR" u="1"/>
        <s v="DOVIS DIESEL ESP LIBERTADOR" u="1"/>
        <s v="ASAMBLEA GRAL EXTRAORDINARIA" u="1"/>
        <s v="                          E D I " u="1"/>
        <s v="CRILLON ESP. TRABAJADOR" u="1"/>
        <s v="EIE MATERIALES ELECTRICOS" u="1"/>
        <s v="PEDRO ACHO  CARGAR CTA CTE WERCH" u="1"/>
        <s v="CONVOCATORIA SATSAID" u="1"/>
        <s v="MAGMA CONSTRUCCIONES..." u="1"/>
        <s v="INGENIERA VILCA  ADHESION ..." u="1"/>
        <s v="LIGA DE FUTBOL DE VETERANOS DE P" u="1"/>
        <s v="SANERIA SAN EXPEDITO PALPALÁ  CE" u="1"/>
        <s v="¿Sabes cuánto vale tu propiedad? _x000d__x000a__x000d__x000a_fondo negro" u="1"/>
        <s v="CONCEJO DELIBERANTE - 9 de julio" u="1"/>
        <s v="VENDO FIAT Toro Freedom 4x2, 201" u="1"/>
        <s v="GOBIERNO DE JUJUY  al norte a seguir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“Cámara de Expendedores de Combu" u="1"/>
        <s v="COLEGIO DE PROFESIONALES EN CRIMINALÍSTI" u="1"/>
        <s v="EJESA CORTE..2" u="1"/>
        <s v="FUNDACION SENTIR PAG ESP" u="1"/>
        <s v="    E D I C T O S  -----EL JUZGA" u="1"/>
        <s v="(pag deportes) - DERGAM(publica " u="1"/>
        <s v="LA CASA DEL RIEGO ESP CAMARA TAB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DYCAR  abril" u="1"/>
        <s v="RAMON ANAQUIN" u="1"/>
        <s v="GOBIERNO DIA DE LA INDUSTRIA..." u="1"/>
        <s v="(TITULO FONDO NEGRO) El CENTRO I" u="1"/>
        <s v="BINGO LOBO  .... CLUB GIMNASIA ." u="1"/>
        <s v="E  D  I  C  T  O:  El DR. Esteba" u="1"/>
        <s v="JUJUY MATERIALES ESP CONSTRUCCIO" u="1"/>
        <s v="ROCA VENDE IMPORTANTE LOCAL COME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ISJ  CUIDA TU FAMILIA CONTRATA T" u="1"/>
        <s v="Re/max Noa II vende terreno con " u="1"/>
        <s v="IAC COMODIN mayorista" u="1"/>
        <s v="CINCO GOBIERNO FNE ..." u="1"/>
        <s v="UCSE INGRESO EXTRAORDINARIO" u="1"/>
        <s v=" ===========EDICTO SUCESORIO====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Importante distribuidora  busca " u="1"/>
        <s v="PARRILLADA EL PARADOR, DIA DEL P" u="1"/>
        <s v="MARCALAIN ESP MARTILLEROS" u="1"/>
        <s v="+ FUNES, Alvaro Gonzalo  QEPD  F" u="1"/>
        <s v="foto" u="1"/>
        <s v="*BELLOMO INMOBILIARIA*  *PROMOCI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VENDO TOYOTA HILUX 2019 DX, 4x4," u="1"/>
        <s v="EDICTO EN EL EXPTE. N° D-037574/" u="1"/>
        <s v="DIP. RUBEN RIVBAROLA ." u="1"/>
        <s v="INDEPENDENCIA DE CHILE" u="1"/>
        <s v="AGUIRRRE de Quispe, Martina (q.e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DUEÑA VENDE  DEPATAMENTO Guemes 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RAMON RUSSO DIA DE LA MINER" u="1"/>
        <s v="JEFE DE ALIMENTACION" u="1"/>
        <s v="GOBIERNO INICIO DE ZAFRA ..." u="1"/>
        <s v="AUTONOA MULTIMARCAS 0KM Y USADOS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ASOCIACIÓN JUJEÑA DE CIEGOS Y AM" u="1"/>
        <s v="Coop. Telefonica Ltda. de Perico" u="1"/>
        <s v="EMPRESA CONSTRUCTORA  BUSCA MECA" u="1"/>
        <s v="MUNI JUJUY LUCHA CONTRA LA VIOLE" u="1"/>
        <s v="NISSAN FRONTIER 2.5 4x4 cuero-Ca" u="1"/>
        <s v="+  ELVA RODRIGUEZ “Elvita”  (Q.E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GOBIERNO INICIO DE CLASE...." u="1"/>
        <s v="EXPTE C-189845/2021. -----------" u="1"/>
        <s v="MARIA TORREJON DE CHOROLQUE Part" u="1"/>
        <s v="SOEAIL  CONVOCATORIA." u="1"/>
        <s v="UTHGRA ESP TRABAJADOR" u="1"/>
        <s v="GNC SIGMA ESP TRABAJADOR" u="1"/>
        <s v="AMPUAP CONVOCATORIA ASAMBLEA..." u="1"/>
        <s v="CONVOCATORIA (nueva fecha de Asa" u="1"/>
        <s v="IMPORTANTE EMPRESA JUJEÑA HOTELE" u="1"/>
        <s v="LUISIÑO ESP GYE “ SALUDAMOS A NU" u="1"/>
        <s v="LOS TILIANES - EXODO JUJEÑO" u="1"/>
        <s v="COLEGIO DE ABOGADOS ESP ODONTOLO" u="1"/>
        <s v="ELECCION DE AUTORIDADES CONSORCI" u="1"/>
        <s v="OFERTAS 26-5  DORINKA CHANGOMAS." u="1"/>
        <s v="REAL VISION ..." u="1"/>
        <s v="EFECTIVO EN 1 MINUTO..." u="1"/>
        <s v="+ Juan Carlos Cruz  (q.e.p.d.) F" u="1"/>
        <s v="+ LUCILA SERRANO  (Q.E.P.D.)  Se" u="1"/>
        <s v="CONVOCATORIA Asociacion civil Ce" u="1"/>
        <s v="DPTO. CIUDAD DE NIEVA  SOBRE OBI" u="1"/>
        <s v="IMPORTANTE  CENTRO ODONTOLÓGICO " u="1"/>
        <s v="MUNICIPALIDAD DE PALPALÁ  VIRGEN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L ZAGUÁN COCHERA CENTRICA  SALU" u="1"/>
        <s v="ASOCIACIÓN MUTUAL ORG. REG. DE J" u="1"/>
        <s v="GOBIERNO DE JUJUY  DI D ELA DIAB" u="1"/>
        <s v="Necesito administrativo contable" u="1"/>
        <s v="“se cita, llama y emplaza a todo" u="1"/>
        <s v="EXTINTORES Y SERV. EMSA SAN ISID" u="1"/>
        <s v="GOBIERNO   DE JUJUY DALE LA VUEL" u="1"/>
        <s v="GOBIERNO  de jujuy  DALE LA VUEL" u="1"/>
        <s v="MUNI JUJUY - PREMIOS SAN SALVADO" u="1"/>
        <s v="Sala III de la Cámara Civil y Co" u="1"/>
        <s v="canal cuatro futbol" u="1"/>
        <s v="GOBIERNO FNE  ESTUDIANTES ..." u="1"/>
        <s v="Farmacia del Norte Ledesma  USAR" u="1"/>
        <s v="ITALIA NEUMATICOS PATRONAL PERIC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VENDO HILUX SRX  A/T 2018, 2.8 D" u="1"/>
        <s v="Anuncio vinculado con: 1455052 2 ." u="1"/>
        <s v="B° CHIJRA, vendo casa  a 50 mtrs" u="1"/>
        <s v="COLEGIO FARMACEUTICO DE JUJUY AD" u="1"/>
        <s v="IMPORTANTE EMPRESA COMERCIAL BUS" u="1"/>
        <s v="Elide CARBONELLI DE BRACAMONTE" u="1"/>
        <s v="&quot;Imp. empresa busca Contador Púb" u="1"/>
        <s v="DRA. MARIA CELESTE CARCHIDI AYAR" u="1"/>
        <s v="XTREME NEUMATICOS ESP SAN MARINO" u="1"/>
        <s v="CAMILO CABALLERO   MOD 1X3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+FIGUEROA, Mirta Noemí q.e.p.d. " u="1"/>
        <s v="= = = = = = = = = = = = EDICTO S" u="1"/>
        <s v="CABALLERO ALQUILA SAN MARTIN AL " u="1"/>
        <s v="IN MEMORIAM DR. CESAR ADRIAN SCA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SUEÑO MISTICO" u="1"/>
        <s v="RQ VENTA DE TERRENOS" u="1"/>
        <s v="  ------------------------------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CONSEJO DE CIENCIAS ECONOMICAS E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COLEGIO DE TECNIC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ASOCIACIÓN CIVIL  CLUB SOCIAL Y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CLUB GIMNASIA Y ESGRIMA 19 DE AB" u="1"/>
        <s v="Bº MARIANO MORENO VENDO CASA , Calle San" u="1"/>
        <s v="ASOCIACION CIVIL LAZO DE VIDA  B" u="1"/>
        <s v="Carta del lector ¡¡¡Que viva el " u="1"/>
        <s v="EDICTO Dr. JORGE DANIEL ALSINA  " u="1"/>
        <s v="IMPORTANTE EMPRESA Solicita:  1-" u="1"/>
        <s v="JUJUY MODELS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GOBIERNO DIA DE LA POLICIA ...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color con foto carp- 30-03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STER DEL CAMREN MOYA" u="1"/>
        <s v="---EDICTO--- EN EL EXPTE Nº B-25" u="1"/>
        <s v="ADMINISTRATIVO/A COMPRAS p/estud" u="1"/>
        <s v="BARRIO LA MERCED, SAN PEDRO DE J" u="1"/>
        <s v="BARRIO SANTA ANA. SAN PEDRO DE J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OPERATIVA TABACALEROS ESP EMP " u="1"/>
        <s v="EMPRESA ESTÁ EN BÚSQUEDA DE UN I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DUEÑO VENDE EDIFICIO  con 2 Dpto" u="1"/>
        <s v="E D I C TO  S U C E S O R I O  -" u="1"/>
        <s v="LA CASA DEL RIEGO  ESP EXODO JUJ" u="1"/>
        <s v="AVISO NUEVO EN CARPETA DE NOTABLES" u="1"/>
        <s v="FONDO NEGRO TITULO" u="1"/>
        <s v="MARTINEZ HILDA   1X3" u="1"/>
        <s v="GIGANTOGRAFIAS ESP HUEDA" u="1"/>
        <s v="MATIAS LÓPEZ SÁNCHEZ" u="1"/>
        <s v="GOBIERNO DIA DE LA ENFERMERAI" u="1"/>
        <s v="  FELICES 100 AÑOS- BOMBEROS JUJ" u="1"/>
        <s v="CONSORCIO BARRIO PRIVADO LAS MOR" u="1"/>
        <s v="anuncio con logo A COLOR IDEM 1476183" u="1"/>
        <s v="COMODÍ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ISJ GOBIERNO DE JUJUY..." u="1"/>
        <s v="LUCAS ALARCON KINESIOLOGO" u="1"/>
        <s v="CAPSAP CONVOCATORIA ASAMBLEA GRA" u="1"/>
        <s v="PURMAMARCA, VENDO 3 HAS agua y l" u="1"/>
        <s v="Imagen pdf a color Carnaval de flores  al correo de Sonia" u="1"/>
        <s v="con foto carp. 18-05" u="1"/>
        <s v="COMISION JOVENES PROF." u="1"/>
        <s v="AJUMEC ESP DIA DEL MEDICO" u="1"/>
        <s v="CENTRO VECINAL Y DE FOMENTO CENT" u="1"/>
        <s v="Ref. Expte. Nº C-089114/2017 car" u="1"/>
        <s v="CENTRO COMUNITARIO DE CAPACITACI" u="1"/>
        <s v="COLEGIO DE ARQUITECTOS - ESP CS " u="1"/>
        <s v="COLEGIO DE BIOQUIMICOS - ESP CS " u="1"/>
        <s v="AGOSTINI DES. INMOBIL  ESP EMP D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AVISO CELESTE CLARO CON EL BORDE DE LAS LETRAS NEGRAS !!" u="1"/>
        <s v="MARIA AZUCENA AGUADO" u="1"/>
        <s v="GMG LUBRICENTRO ESP TRABAJADOR" u="1"/>
        <s v="MACINA ANTONIO Q.E.P.D Falleció " u="1"/>
        <s v="AGUAS ABIERTAS" u="1"/>
        <s v="- EDICTO SUCESORIO - - - Dr. Die" u="1"/>
        <s v="Club Deportivo Social Parapeti C" u="1"/>
        <s v="Hábitat-Car vende Dpto. amplio, " u="1"/>
        <s v="SATSAID - SALUDA A TRABAJADORES " u="1"/>
        <s v="SITRAVIP ESP PERIODISTAS" u="1"/>
        <s v="LUISIÑO - ESP GASTRONOMICO" u="1"/>
        <s v="JUNTA ELECTORAL COLEGIO DE MARTI" u="1"/>
        <s v="AVISO COLOR" u="1"/>
        <s v="LOS NARANJOS" u="1"/>
        <s v="------------------------EDICTO--" u="1"/>
        <s v="AGUILERA, Máximo Dionicio (q.e.p" u="1"/>
        <s v="DISTRIBUIDORA E. C. RIVAROLA  AN" u="1"/>
        <s v="IITA - PROPUESTA EDUCATIVA (boni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NECESITO MOZO AYUDANTE DE COCINA" u="1"/>
        <s v="VENDO TERRENOS  Zona Carmen  Lot" u="1"/>
        <s v="ROLCAR" u="1"/>
        <s v="BUSQUEDA TECNICO" u="1"/>
        <s v="GOBIERNO  RENTAS" u="1"/>
        <s v="INSTITUTO DEL NORTE" u="1"/>
        <s v="IDEM MODELO AVISO 1485243" u="1"/>
        <s v="EDICTOS DE MINAS ...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CENTRO VECINAL DEL BARRIO 19 DE " u="1"/>
        <s v="fondo verde oscuro letras blancas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jerez aviso armado" u="1"/>
        <s v="LA CASA DEL RIEGO ANUARIO" u="1"/>
        <s v="TOPADO ESP. VIEJA VIOLETA" u="1"/>
        <s v="INGENIERA  GUZMAN  ADHESION ..." u="1"/>
        <s v="IMPORTANTE  TERRENO *ESQUINA* 1." u="1"/>
        <s v="MUNIC. JUJUY - DIA DE LA MEMORIA" u="1"/>
        <s v="PROPIETARIO VENDE a un paso del " u="1"/>
        <s v="FACAR ESP REPUESTEROS" u="1"/>
        <s v="ASAMBLEA ORDINARIA La Asociación" u="1"/>
        <s v="                Convocatoria  LA" u="1"/>
        <s v="EMPRESA SOLICITA CONTADOR JUNIOR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foto en carpeta de la fecha 12-02-2017_x000d__x000a__x000d__x000a_+ Ariel Perez - 2x3 mod color- 12-02-2017" u="1"/>
        <s v="GOBIERNO  COVID -19" u="1"/>
        <s v="D.F.D. REPUESTOS DIA DEL TRABAJA" u="1"/>
        <s v="VENDO CACHORROS  Ovejeros Aleman" u="1"/>
        <s v="FIGURITAS DEL MUNDIAL" u="1"/>
        <s v="SUBTE - EMPRESARIO JUJEÑO" u="1"/>
        <s v="GOBIERNO  FELICES PASCUAS ...." u="1"/>
        <s v="BLACUT CONSULTORA (sup estilos)" u="1"/>
        <s v="CONVOCATORIA     &quot;La Liga Region" u="1"/>
        <s v="DUEÑO VENDE casa San Pedrito zon" u="1"/>
        <s v="EDICTOS   El Juzgado Federal de " u="1"/>
        <s v="LA CASA DEL RIEGO ESP 9 DE JULIO" u="1"/>
        <s v="EDICTODE CITACION     -------------LA DI" u="1"/>
        <s v="CARDOSO VENDE ALTE BROWM" u="1"/>
        <s v="CON IMAGEN DE FOTO 0KM. ENVIADO AL CORREO DE SONIA SE PODRIA RECORTAR UN POQUITO ABAJO LA PARTE DEL PISO SUGIERE LA CLIENTA" u="1"/>
        <s v="RADIOS EL TRIBUNO" u="1"/>
        <s v="EJESA FE DE ERRATAS" u="1"/>
        <s v="JUJUY MODELS SUP NOCHE" u="1"/>
        <s v="+ LUNA, Valerio (q.e.p.d.) Falle" u="1"/>
        <s v="El Dr. Esteban Arias Cau Vocal P" u="1"/>
        <s v="ENTER SERVICE S.A. ESP SAN SALVA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IMP EMP INCORPORA EJECUTIVA..." u="1"/>
        <s v="AGROQUIMICA SAN JOSE ESP TALLERE" u="1"/>
        <s v="FACAR ESP GYE" u="1"/>
        <s v="AVENIDA SDOR. PÉREZ CASI GÜEMES " u="1"/>
        <s v="VERTIENTES DE YALA ESP EMPRESARI" u="1"/>
        <s v="CONTRA TAPA OLAROZ" u="1"/>
        <s v="IMP EMPRESA DE SERVICIOS BUSCA A" u="1"/>
        <s v="POLIURETANO Y CELULOSA PROYECTAD" u="1"/>
        <s v="COLEGIO DE LIC EN OBSTETRICIA" u="1"/>
        <s v="+ MARCELO ALEJANDRO PEREYRA 12/1" u="1"/>
        <s v="ALQUILO DEPARTAMENTO EN BS AS. -" u="1"/>
        <s v="E D I C T O    JUZGADO DE PRIMER" u="1"/>
        <s v="E D I C T O ///JUZGADO DE PRIMER" u="1"/>
        <s v="E D I C T O S  JUZGADO DE PRIMER" u="1"/>
        <s v="EDICTO DE CITACION El Director d" u="1"/>
        <s v="CODIGO PENAL" u="1"/>
        <s v="busqueda de Jefe de Mantenimient" u="1"/>
        <s v="EL SUNCHAL  VENDO 25 HAS. CEL.38" u="1"/>
        <s v="Gerardo Urban" u="1"/>
        <s v="APACHETA - carabajal" u="1"/>
        <s v="ALBA DEL VALLE CACHAGUA   MOD 1X" u="1"/>
        <s v="CARGAR CUENTA WERCHOW JUAN CARLO" u="1"/>
        <s v="GOBIERNO DE JUJUY FIESTA PATRONA" u="1"/>
        <s v="SE NECESITA  Programador de  - D" u="1"/>
        <s v="BINGO LOBO..." u="1"/>
        <s v="MANUEL CORONEL" u="1"/>
        <s v="CONSEJO MAGISTRATURA" u="1"/>
        <s v="MARTILLERA LAURA BLANCO VENDO UN" u="1"/>
        <s v="+ CRISTIAN JUAN ARMELLA    20/ 0" u="1"/>
        <s v="CONVOCATORIA A ASAMBLEA ANUAL OR" u="1"/>
        <s v="EMPRESA DE S.S. DE JUJUY SOPORTE" u="1"/>
        <s v="IMPORTANTE EMPRESA  BUSCA Person" u="1"/>
        <s v="con foto carpeta dia 26" u="1"/>
        <s v="aviso para renovar idem 1493147" u="1"/>
        <s v="ALQUILO LOCAL comercial Necochea" u="1"/>
        <s v="COMERCIO INCORPORA PERSONAL PARA" u="1"/>
        <s v="VETERINARIA EL JAGUEL- ESP VETER" u="1"/>
        <s v="Carballo María" u="1"/>
        <s v="Parador y GNC  Punto Medio" u="1"/>
        <s v="GOBIERNO DIA DEL RESPETO A LA DI" u="1"/>
        <s v="IMPORTANTE EMPRESA BUSCA  PERSON" u="1"/>
        <s v="MUNIC. S.S. DE JUJUY - MORATORIA" u="1"/>
        <s v="PAG 3 - TELECOM - ANUARIO EL TRI" u="1"/>
        <s v="BINGO LIGA..." u="1"/>
        <s v="COOPERATIVA DE TRABAJO DE TRANSP" u="1"/>
        <s v="VENDO FIAT 500" u="1"/>
        <s v="C0RR4LÓN EL AMIGO" u="1"/>
        <s v="C0RRALÓN EL AMIGO" u="1"/>
        <s v="EMBANDERA TU CASA" u="1"/>
        <s v="TALLER DE LOCUCION" u="1"/>
        <s v="PICKUP TOYOTA SRV 3.0  full, dob" u="1"/>
        <s v="TODO IGUAL REPITE ANUNCIO 1189851" u="1"/>
        <s v="+ CLARA ROSA JEREZ MOD 1X3 BYN" u="1"/>
        <s v="Extintores EMSA ESP TRABAJADOR" u="1"/>
        <s v="INGENIERA BLANCO  ADHESION ..." u="1"/>
        <s v="INGENIERA SANCHEZ ADHESION ..." u="1"/>
        <s v="TODOS A BORDO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ASOCIAC. DE SANMARINENS ESP SAN " u="1"/>
        <s v="CORRALON ACONQUIJA...." u="1"/>
        <s v="PORKMAN - 15 años la mansión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GOBIERNO EL NORTE A SEGUIR   GOB" u="1"/>
        <s v="ZAMBRANO ORLANDO ROQUE MARTILLER" u="1"/>
        <s v="LOGO   AGUADO INMOBILIARIA              " u="1"/>
        <s v="+ FELIZA ARIAS BARRIOS   1er. An" u="1"/>
        <s v="+ RENE OCTAVIO PEREIRA    (q.e.p" u="1"/>
        <s v="BONILLO ORG. DE SEGUROS PATRONAL" u="1"/>
        <s v="MUTUALIDAD DEL CIRCULO DE LA POL" u="1"/>
        <s v="Sgto. 1ro. CLAUDIO GONZALO FLORE" u="1"/>
        <s v="FIANI AUTOMOTORES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ARQUITECTO/MMO ·Full time ·Manej" u="1"/>
        <s v="CLINICA SOL - ODONTOLOGIA - DIA " u="1"/>
        <s v="COOP. DE TRABAJO PALBUS 2000 LTD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TAVERNITI PAGINA ESPECIAL" u="1"/>
        <s v="COLEGIO DE ABOGADOS  ESP ODONT" u="1"/>
        <s v="AGUA POTABLE LIC. PUB. NACIONAL " u="1"/>
        <s v="+ BACILISA ANASTACIA PATAGUA “DO" u="1"/>
        <s v="+ PEROVIC, Sergio Adolfo (q.e.p." u="1"/>
        <s v="DRA LUCIA ADERA _x000d__x000a__x000d__x000a_REPITE AVISO" u="1"/>
        <s v="con foto guardada en carpeta del 04/04" u="1"/>
        <s v="SANATORIO Y CLINICA LAVALLE DIA " u="1"/>
        <s v="a color aviso para renonar anuncio 1456832 a apartir del modelo del dia 24-04-" u="1"/>
        <s v="ELECTROMAT ESP INGENIERO" u="1"/>
        <s v="EMPRESA DEL MEDIO SELECCIONARA A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GOBIERNO CONCURSO  AGENTE FISCAL" u="1"/>
        <s v="FONDO AMARILLO LETRAS NEGRAS POR FAVOR!!!!!!!!!" u="1"/>
        <s v="CON LOGO FUNDACION HOSPITAL DE NIÑOS CARP. 18-05" u="1"/>
        <s v="CON IMAGEN CARP- 01-04" u="1"/>
        <s v="con foto color carp. 21-03" u="1"/>
        <s v="&quot;vendo terreno en el loteo el Mo" u="1"/>
        <s v="BINGO LOBO  ...." u="1"/>
        <s v="ESPECIAL PARRILLA" u="1"/>
        <s v="         E D I C T O    ---Dr. J" u="1"/>
        <s v=" DUEÑO ALQUILA DEPARTAMENTO     " u="1"/>
        <s v="FIDEICOMISO HIPOTECARIO" u="1"/>
        <s v="con foto color carp. 31-03" u="1"/>
        <s v="aviso para repetir idem 1502654 color" u="1"/>
        <s v="FOTO EN CARPETA DE LA FECHA Y FOTO SN EXPEDITO LAS DOS" u="1"/>
        <s v="CON FOTO EN CARPETA DE LA FECHA 14/11/2020 + ESTANISLAO ALBERTO LIQUITAY COLOR 3X3" u="1"/>
        <s v="AUTOSERVICIO TINKU" u="1"/>
        <s v="CUBIERTAS Y LLANTAS  ORIGINALES" u="1"/>
        <s v="VENDO CAMION Mercedes 710 Mod 94" u="1"/>
        <s v="OSDE ADHESION SUP." u="1"/>
        <s v="CONSEJO DE BIOQUIMICOS - ESP BIO" u="1"/>
        <s v="CONVOCATORIA A ELECCIONES La Aso" u="1"/>
        <s v="SARA BIANCO" u="1"/>
        <s v="RIVAROLA - DIA DE LA VIRGEN" u="1"/>
        <s v="GOBIERNO JUJUY DIA DE LA VIRGEN" u="1"/>
        <s v="PAEZ S.R.L. SAN ISIDRO LABRADOR" u="1"/>
        <s v="CENTRO VECINAL DEL BARRIO EL BAL" u="1"/>
        <s v="GIGANTOGRAFIAS DIA DEL TRABAJADO" u="1"/>
        <s v="con imagen-color San Expedito" u="1"/>
        <s v="MARTILLERA LAURA BLANCO ALQUILER" u="1"/>
        <s v="SOLES, REYNALDO      (q.e.p.d.) 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con foto !" u="1"/>
        <s v="FECHORIAS DIA DEL ANIMAL" u="1"/>
        <s v="PORKMAN - DIA DEL EMPRESARIO JUJ" u="1"/>
        <s v="aviso para renovar con logo sepelios san jose idem 1471006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MANSION - CENA NAVIDEÑA" u="1"/>
        <s v="+ CALIXTO URZAGASTI (Q.E.P.D.)  " u="1"/>
        <s v="EDICTO   COLEGIO DE JUECES 2 - P" u="1"/>
        <s v="Edictos en Boletín Oficial  Por " u="1"/>
        <s v="LA PACHA CAFE" u="1"/>
        <s v="ELECTROMAT ESP INDUSTRIA" u="1"/>
        <s v="ASAMB. GRAL. ORDINARIA ASOC. DE " u="1"/>
        <s v="E D I C T O S  - - - “JUZGADO DE" u="1"/>
        <s v="PROYAJO S.A.  SAN ISIDRO LABRADO" u="1"/>
        <s v="similar anuncio 1491736" u="1"/>
        <s v="+ALEJO, Miguel Ángel (q.e.p.d.) " u="1"/>
        <s v="GOBIERNO  DIA DEL EJERCITO ...." u="1"/>
        <s v="+ ROBERTO “LALO SORIA  Q.E.P.D. " u="1"/>
        <s v="+ ROSA OVANDO DE GUARI Q.E.P.D. " u="1"/>
        <s v="FEDERICO PEROVIC  REPITE AVISO A" u="1"/>
        <s v="SE NECESITA LAVACOPAS.  José de " u="1"/>
        <s v="AYHRE" u="1"/>
        <s v="con foto !!" u="1"/>
        <s v="DYCAR BUSCA VENDEDORES" u="1"/>
        <s v="CARMOTO FERRETERIA INDUSTRIAL" u="1"/>
        <s v="ALEJANDRO CIRIACO TABARCACHI CAR" u="1"/>
        <s v="ASOCIACÍON CIVIL EMPRENDER CONVO" u="1"/>
        <s v="Gobierno de JUJUY Union, Paz y T" u="1"/>
        <s v="DIA DEL TELEFONICO" u="1"/>
        <s v="EDICTO SUCESORIO  - - - - - - - " u="1"/>
        <s v="VENDO DEPOSITO 16x40mt. zona San" u="1"/>
        <s v="CONCURSO DE PRECIO - FERIA MUNIC" u="1"/>
        <s v="EDICTO DIEGO COZZI EXPTE 1101159" u="1"/>
        <s v="SOLO AZUL CON LETRAS BLANCAS _x000d__x000a_AGREGAR ICONO DE INSTAGRA Y FACEBOOK" u="1"/>
        <s v="CONCEJA P.J. DR. HUGO SOSA  ANIV" u="1"/>
        <s v="TORRE LA - MELBOURNE  UBICACION: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ASOCIACIÓN CIVIL FRENTE DE ORGAN" u="1"/>
        <s v="NELIDA FRANCISCA ZAMBONI (q.e.p." u="1"/>
        <s v="ASOCIACION AMIGOS DE PASAJE FRAN" u="1"/>
        <s v="AZULADO ESCUCHAMOS FM JUJUY ...." u="1"/>
        <s v="EXTINTORES Y SERV. EMSA EXODO JU" u="1"/>
        <s v="GRACIAS  *SAN EXPEDITO *SAN ACUT" u="1"/>
        <s v="CABALLERO VENDE LIBERTADOR" u="1"/>
        <s v="COMIISION REORGANIZADORA.." u="1"/>
        <s v="NEUMATONE DIA DEL TRABAJADOR" u="1"/>
        <s v="MUNIC. S.S. DE JUJUY - FNE 2022" u="1"/>
        <s v="CABRERA BRUNO SEBASTIAN EXPTE C-" u="1"/>
        <s v="RAÚL JOSÉ SÁNCHEZ 1X3" u="1"/>
        <s v="+ FROILAN TOLABA (Q.E.P.D.) Se d" u="1"/>
        <s v="CONVOCATORIA A POSTULANTES PARA " u="1"/>
        <s v="LICITACION DE BUFFET CLUB A. IND" u="1"/>
        <s v="karate kyokushin" u="1"/>
        <s v="color idem anuncio 1489324" u="1"/>
        <s v="ASOCIACION  “LOS ALEGRES DE UQUI" u="1"/>
        <s v="CONCEPCION GORENA q.e.p.d. Se du" u="1"/>
        <s v="HUGO R. GUTIERREZ Martillero Jud" u="1"/>
        <s v="La Asociación Civil, Social, Cul" u="1"/>
        <s v="SATSAID - TRABAJADORES TELEVISIÓ" u="1"/>
        <s v="FARMACIA SAN MARTIN" u="1"/>
        <s v="CONCIERTO DEL RECUERDO" u="1"/>
        <s v="----------------------------------------" u="1"/>
        <s v="---------------------EDICTOS------------" u="1"/>
        <s v="CARNICERIA LA FAMILIA  “Les dese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SE AGREGO UNA PAGINA :)" u="1"/>
        <s v="LOPEZ PIERRE FARMACIA ANUARI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ESCUELA DE FUTBOL INFANTIL “BROC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 La Asociación Bomb" u="1"/>
        <s v="aviso nuevo a color iden modelo  aviso 1451760" u="1"/>
        <s v="SEOM" u="1"/>
        <s v="UNO GOBIERNO FNE ..." u="1"/>
        <s v="CAMARA DE TABACO ESP INDUSTRIA" u="1"/>
        <s v="G.G.G. GRACIAS VIRGEN DE GUADALU" u="1"/>
        <s v="URGENTE VENDO O PERMUTO CROSSFOX" u="1"/>
        <s v="logo carp. 09-05" u="1"/>
        <s v="LUBRICENTRO PILO AYALA" u="1"/>
        <s v="+ SILVIA ELENA VARGAS   ///AVISO" u="1"/>
        <s v="AVISO ENVIADO A LA CARPETA DE TRIBU PUBLICIDAD" u="1"/>
        <s v="instituto superior emdei" u="1"/>
        <s v="NISSAN" u="1"/>
        <s v="ACOSTA MUEBLES DIA DE LA MUJER" u="1"/>
        <s v="GARELY  SACI ..ESP PERIODISTAS" u="1"/>
        <s v=" INMOBILIARIA SONIA FLORES.  VEN" u="1"/>
        <s v="(CON FOTO TOYOTA HILUX 4X2,  2.5" u="1"/>
        <s v="RENGEL VENDE importante propieda" u="1"/>
        <s v="SE SOLICITA ASESORES COMERCIALES" u="1"/>
        <s v="+ ANGELA ERNESTINA ARIAS q.e.p.d" u="1"/>
        <s v="GRAN INAGURACION ROTISERIA Locro" u="1"/>
        <s v="PREMANANDI" u="1"/>
        <s v="MUNI JUJUY - 25 de mayo" u="1"/>
        <s v="FERIA DEL ASADO CARNE POPULAR" u="1"/>
        <s v="AITOR BALBO" u="1"/>
        <s v="CABALLERO VENDE CHALET HUAICO" u="1"/>
        <s v="+ PASTORA SANDOVAL  (Q.E.P.D.)  " u="1"/>
        <s v="ASOCIACIOAN JUJEÑA AMATHEUR DE H" u="1"/>
        <s v="EL LOGO ESTA EN CARPETA DIA 09 DE MAYO ATENCION AL CLIENTE" u="1"/>
        <s v="con foto" u="1"/>
        <s v="GOBIERNO VACUNATE ..." u="1"/>
        <s v="ALQUILO DPTO.  para Comercio PA 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17  DE OCTUBRE  DIA  DE  LA  LEA" u="1"/>
        <s v="EMPRESA DE SUPLEMENTOS Alimentic" u="1"/>
        <s v="COLEGIO DE ARQUITECTOS ESP TRABA" u="1"/>
        <s v="CONVOCTORIA A ASAMBLE EXTRAORDIN" u="1"/>
        <s v="E D I C T O S U C E S O R I O- -" u="1"/>
        <s v="           CONVOCATORIA De acuer" u="1"/>
        <s v="JUJUY HIERROS ESP TRABAJADOR VIA" u="1"/>
        <s v="MATEO DANIEL RIOS" u="1"/>
        <s v="CLUB ATLETICO CUYAYA CONVOCATORI" u="1"/>
        <s v="CLUB ATLETICO SANTA  CONVOCATORI" u="1"/>
        <s v="AYLLU - busqued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UTHGRA PAG ESP." u="1"/>
        <s v="AGOSTINI DES. INMOBILIA." u="1"/>
        <s v="+JUAN ANTONIO CONDORI 1X3" u="1"/>
        <s v="+GUERRA DE GUANTAY JUSTA ENCARNA" u="1"/>
        <s v="ZOTO de Amante, Dolores q.e.p.d." u="1"/>
        <s v="foto en carpeta de la fecha" u="1"/>
        <s v="EXTINTORES Y SERV. EMSA ANUARIO" u="1"/>
        <s v="+ ISABEL VILLENA Q.E.P.D.   (195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CON ESCUDO DE GIMNASIA ARRIBA" u="1"/>
        <s v="SUETRA ESP. LEALTAD PERONISTA" u="1"/>
        <s v="   MAESTRO SALOMON  ///(FDO.NEGR" u="1"/>
        <s v="CENTRO VECINAL DEL BARRIO LA PAZ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ATENCIÓN VENDO TERRENO  * 600 m2" u="1"/>
        <s v="MUNI JUJUY - 19 de abril FUNDACI" u="1"/>
        <s v="APACHEta . NESTOR GARNICA" u="1"/>
        <s v="+ ISABEL MARINA ZURRIABLE  q.e.p" u="1"/>
        <s v="Expte. Nº B  53796/00, caratulad" u="1"/>
        <s v="Expte. Nº C-133994/19, caratulad" u="1"/>
        <s v="Expte. Nº C-173208/21, caratulad" u="1"/>
        <s v="+ CHILALI, Berta (q.e.p.d.) Fall" u="1"/>
        <s v="R-S-R ABOGADOS Divorcios, Alimen" u="1"/>
        <s v="TE ESTAMOS BUSCANDO!!! Buscamos " u="1"/>
        <s v="ENCABEZADO Y FINAL ( TELEFONOS Y WEB) CON FONDO NEGRO" u="1"/>
        <s v="PROMO DÍA DEL PADRE" u="1"/>
        <s v="CENTRO VOLKSWAGEN" u="1"/>
        <s v="CONVOCATORIA CENTRO DE JUBILADOS" u="1"/>
        <s v="Dr. Guillermo Antonio Robles Ava" u="1"/>
        <s v="UNION CAÑEROS INDEPEND DE JUJUY 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PONER LOGO DE WHATSAPP COLOR" u="1"/>
        <s v="Gracias San Expedito por acompañ" u="1"/>
        <s v="MOD 2X3 COLOR CON FOTO EN CARPETA DE LA FECHA" u="1"/>
        <s v="               EDICTOS:   ---JUZ" u="1"/>
        <s v="GOBIERNO MINISTERIO DE SEGURIDAD" u="1"/>
        <s v="Anuncio vinculado con: 1504430 2 ." u="1"/>
        <s v="SIN IMAGEN" u="1"/>
        <s v="COMUNIDAD ABORIGEN DEL VALLE DE " u="1"/>
        <s v="EDICTO    JUZGADO MULTIFUERO DE " u="1"/>
        <s v="EDICTO----- EN EL EXPTE. N° D-03" u="1"/>
        <s v="INAUGURACION BINDA" u="1"/>
        <s v="JUSTINA TOLABA DE FLORES" u="1"/>
        <s v="==========================EDICTO" u="1"/>
        <s v="DESARROLLO INMOBILIARIO Y COMERC" u="1"/>
        <s v="Importante empresa de transporte" u="1"/>
        <s v="MARTILLERA LAURA BLANCO VENTA TE" u="1"/>
        <s v="ASOC. DE SANMARINENS,." u="1"/>
        <s v="RUBEN A. RIVAROLA - ZAFRA" u="1"/>
        <s v="EMP. DEL MEDIO REQUIERE CAJERO" u="1"/>
        <s v="AVISO PARA RENONAR IDEM 1470722" u="1"/>
        <s v="MUNDO MAGICO  ANIV. B° BELGRANO" u="1"/>
        <s v="  Comisión directiva del centro " u="1"/>
        <s v="+ TEODORO VELAZQUEZ  (Q.E.P.D.) " u="1"/>
        <s v="CONCURSO DE PRECIOS     La Coope" u="1"/>
        <s v="YAGUAR AVISO 1" u="1"/>
        <s v="CASEMI ESP MINERIA2" u="1"/>
        <s v="+ FARFAN ALFREDO “ALFA” q.e.p.d.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entro Vecinal La Loma  Alto Com" u="1"/>
        <s v="CONVOCATORIA La Comisión de Madr" u="1"/>
        <s v="SINDICATO UNIDOS MUNICIPALES DE " u="1"/>
        <s v="con foto color (carpeta dia 9 de mayo)" u="1"/>
        <s v="fondo blanco letras verde (fuerte) borde verde" u="1"/>
        <s v="EDGARDO RENE CATORCENO MARTILLER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OPTICA SAN CAYETANO  CELEBRACION" u="1"/>
        <s v="wer  + dominguez jorge alberto" u="1"/>
        <s v="DISTRIBUIDORA MALU  CELEBRACIÓN " u="1"/>
        <s v="LIAL MAYORISTA PATRONAL DE PERIC" u="1"/>
        <s v="con foto!!" u="1"/>
        <s v="con imagen de Gauchito Gil" u="1"/>
        <s v="EMP DEL MEDIO ASESOR COMERCIAL" u="1"/>
        <s v="+GRAMAJO NESTOR JAVIER (AVISO AR" u="1"/>
        <s v="CARPA DEL TIO - COMPLEJO SANDOVA" u="1"/>
        <s v="EXPTE C94065/17 CABRERA BRUNO8  " u="1"/>
        <s v="IMPORTANTE EMPRESA  DEL MEDIO SE" u="1"/>
        <s v="+MARTA ADELAIDA GUTIERREZ 1X3" u="1"/>
        <s v="BALANZA Y BASCULA ELECTRONICAS. " u="1"/>
        <s v="CORRALON EL PROGRESO I - II   SA" u="1"/>
        <s v="SACASTE UN PRÉSTAMO y te embarga" u="1"/>
        <s v="QUE SALGA A COLOR !" u="1"/>
        <s v="AGRADECIMIENTO   Familia LANCE d" u="1"/>
        <s v="AVISO NUEVO" u="1"/>
        <s v="DESAYUNO INFORMATIVO" u="1"/>
        <s v="BELLOMO VENDE  TERRENOS EN DESAR" u="1"/>
        <s v="UPCN  ADHESION DIA DEL EMPLEADO " u="1"/>
        <s v="MAÑANA CAMBIO DE RUBRO RIVAS VIL" u="1"/>
        <s v="+ ANATOLIA VERONICA CRUZ VDA. DE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COMISION DE JOVENES DEL CONSEJO " u="1"/>
        <s v="NECESITO OFICIALES Y 1/2 OFI. AL" u="1"/>
        <s v="VENDO ROLLO DE ALFA CEL. 3884040" u="1"/>
        <s v="CLINICA NUESTRA SRA. DE FATIMA" u="1"/>
        <s v="CON FOTO!!!" u="1"/>
        <s v="DECOARTE ::: HYDROGEL" u="1"/>
        <s v="(CON NOTA) JMS MAQUINAS AGROVIAL" u="1"/>
        <s v="CENTRO DE JUBILADOS, PENSIONAD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PRODUGAS EQUIPOS COMPLETOS" u="1"/>
        <s v="+ RUBEN DARIO PONCE Falleció el " u="1"/>
        <s v="CLINICA NTRA. SRA. DE FATIMA  AN" u="1"/>
        <s v="EMPRESA SOLICITA OFICIAL CARPINT" u="1"/>
        <s v="JAIRO JEREMIAS TINTE  cargar cue" u="1"/>
        <s v="REPITE DISEÑO DEL AÑO PASADO_x000d__x000a_CAMBIA TEXTO" u="1"/>
        <s v="GOBIERNO  ...." u="1"/>
        <s v="BARREIRO ALQUILA" u="1"/>
        <s v="                      + JURADO L" u="1"/>
        <s v="+ ELIZABETH SABRINA SANCHEZ  C.E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CONSEJO DE CIENC. ECON ESP EMPR." u="1"/>
        <s v="HIPERPLACA" u="1"/>
        <s v="MADERERA DENIS" u="1"/>
        <s v="TARJETA SOL - PROMOS ESCOLARES" u="1"/>
        <s v="GRACIAS SAN EXPEDITO Por todos l" u="1"/>
        <s v="GRAN MONARCA  ESP NAVIDAD" u="1"/>
        <s v="PAEZ S.R.L. VIRGEN DEL ROSARIO" u="1"/>
        <s v="+ RAMÓN ORLANDO APONTE  q.e.p.d." u="1"/>
        <s v="+ RAÚL ALFREDO MARTINEZ q.e.p.d." u="1"/>
        <s v="CHOFERES DE CAMIONES: Importante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TRANSPORTE ALIANZA ESP TRANSAMER" u="1"/>
        <s v="LATITUD SUR ESP AGRICULTOR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MAJO" u="1"/>
        <s v="PONE EN ORDEN LA DOCUMENTACION D" u="1"/>
        <s v="E   D   I   C   T   O    -  -  -" u="1"/>
        <s v="EDICTOS Ref. Expte Nº D-034230/2" u="1"/>
        <s v="LIDIA ROSA CARABAJAL" u="1"/>
        <s v="ALFREDO FERNANDO CADENA" u="1"/>
        <s v="SITRAVIP ESP TRABAJADOR" u="1"/>
        <s v="ASAMBLEA CENTRO VECINAL B° SAN C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TOMAR AVISO COMPLETO EN CARPETA DE NOTABLES DE LA FECHA_x000d__x000a__x000d__x000a_ARCHIVO DE WORD" u="1"/>
        <s v="DYCAR  - MAYO CONVENCIONAL" u="1"/>
        <s v=" + LUIS CHAMBI ALVARADO  (q.e.p." u="1"/>
        <s v="LÒPEZ  INMOBILIARIA  ESTAMOS EN " u="1"/>
        <s v="AVISO PARA RENOVAR A COLOR IDEN 1458063" u="1"/>
        <s v="TRADING" u="1"/>
        <s v="NECESITO MOZA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CAMBIAR CELULAR A 3884 77-7230" u="1"/>
        <s v="AGRUPACIÓN GAUCHA  CMTE JUAN ANT" u="1"/>
        <s v="PUBLICÓ EL 28/06 KICKBOXING DOS " u="1"/>
        <s v="ACOSTA MUEBLES ESP SAN SALVADOR" u="1"/>
        <s v="UNJU - INGENIEROS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INDECAR" u="1"/>
        <s v="Finca Lagami" u="1"/>
        <s v="RECORDATORIO   + LAVAYÉN, Javier" u="1"/>
        <s v="voto 1 FRENTE DE TODOS LISTA 505" u="1"/>
        <s v="voto 2 FRENTE DE TODOS LISTA 505" u="1"/>
        <s v="FONDO NEGRO EL TITULO_x000d__x000a_Y RESALTA CONTACTO." u="1"/>
        <s v="canal 7 Después de las noticias" u="1"/>
        <s v="con foto!" u="1"/>
        <s v="+ CAPOBIANCO, Ruben Oreste  (Q.E" u="1"/>
        <s v="ASOCIACION CIVIL VIRGEN DE COPAC" u="1"/>
        <s v="EL SINDICATO DE OBREROS PASTELER" u="1"/>
        <s v="LIBRERIA SAN PABLO - DIA DE LA P" u="1"/>
        <s v="Unión Cañeros Independientes de " u="1"/>
        <s v="UNJU - DIA DE LA MEMORIA" u="1"/>
        <s v="aviso para renonar a color" u="1"/>
        <s v="aviso para renovar a color" u="1"/>
        <s v="DUEÑA VENDE Dpto centro 3 dorm y" u="1"/>
        <s v="MUNIC. S.S. DE JUJUY - SUPLEMENT" u="1"/>
        <s v="OPORTUNIDAD BANDA DE YALA  1 has.  E" u="1"/>
        <s v="+ SIVILA, Gloria" u="1"/>
        <s v="CENTRO VECINAL TACITA DE PLATA  " u="1"/>
        <s v="CONSORCIO DE RIEGO ESP. CAMAR DE" u="1"/>
        <s v="EMPLEADO DE FARMACIA SE SELECCIO" u="1"/>
        <s v="CABALLERO VENDE" u="1"/>
        <s v="EJESA CORTE-..." u="1"/>
        <s v="Julieta Caorlín - Medica, especi" u="1"/>
        <s v="ESTUDIO CONTABLE Monotributo - Ganan" u="1"/>
        <s v="EMPRESA CONST. CHOFERES DE CAMIO" u="1"/>
        <s v="aviso para renovar a color idem 1461291 (1x4)" u="1"/>
        <s v="Raúl Goitea" u="1"/>
        <s v="CLUB LAVALLE" u="1"/>
        <s v="SUPERMERCADO DIA" u="1"/>
        <s v="MUNICIPALIDAD DE PALPALÁ  9 DE J" u="1"/>
        <s v="SUPERMERCADO DIA FIESTAS PAT. EL" u="1"/>
        <s v="CON FOTO CARP. 14-08_x000d__x000a_*******PAG. N°8********" u="1"/>
        <s v="IMANTA - VENDEDORES" u="1"/>
        <s v="SINDICATO DE PANANDEROS" u="1"/>
        <s v="ASOCIAC. DE SANMARINENS ESP PERI" u="1"/>
        <s v="CONVOCATORIA ASAMBLEA Rectificac" u="1"/>
        <s v="EDICTO ENRIQUE ROGELIO MATEO, Vo" u="1"/>
        <s v="GOBIERNO  LA DRA. TULIA SNOPEK D" u="1"/>
        <s v="Anuncio vinculado con: 1487086 2 ." u="1"/>
        <s v="CAMARA DE TABACO ESP ING AGRON." u="1"/>
        <s v="+ BURGOS, Haydee Q.E.P.D. Fallec" u="1"/>
        <s v="+ REYES, Walter Rubén (q.e.p.d) " u="1"/>
        <s v="PONELE UN COLORCITO DICE EL CLIENTE !" u="1"/>
        <s v="PAG IMPAR - SUTIAGA ESP MILITANC" u="1"/>
        <s v="Ref. Expte. Nº C-186218/2021 caratul" u="1"/>
        <s v=" + ZACARIAS P. CUEVAS “SACO”    " u="1"/>
        <s v="+ELENA PEREYRA  Q.E.P.D. Falleci" u="1"/>
        <s v="DR. CORRADO CESAR ADOLFO  MP 205" u="1"/>
        <s v="FINCA LOS MANZANOS - LOS ALISOS " u="1"/>
        <s v="La Dra. ORDOÑEZ MARIA LUISA,  IN" u="1"/>
        <s v="OBERA - CARPINTERO" u="1"/>
        <s v="Carlos Alejandro Schmerbach “Col" u="1"/>
        <s v="INSTITUTO DE EDUCACION SUPERIOR " u="1"/>
        <s v="UNJU - DIA DE LA BANDERA" u="1"/>
        <s v="LOGO EN CARPETA DE LA FECHA" u="1"/>
        <s v="+ MANUEL MARCOS ARIAS Q.E.P.D. F" u="1"/>
        <s v="+ MARCELINA DIONICIO  q.e.p.d. F" u="1"/>
        <s v="+ MATINA, JOSE CARLOS q.e.p.d. F" u="1"/>
        <s v="PH GESTION INMOBILIARIA VENDE! M" u="1"/>
        <s v="VINERIA SAN JUAN - ESP INDUSTRIA" u="1"/>
        <s v="wer  + ortiz nestor" u="1"/>
        <s v="foto enviada por email" u="1"/>
        <s v="CENTRO VECINAL &quot;LOS PERALES&quot; CON" u="1"/>
        <s v="IMPORTANTE EMPRESA DEL MEDIO SEL" u="1"/>
        <s v="Inmaculada Madre Del  Divino Cor" u="1"/>
        <s v="con foto color" u="1"/>
        <s v="JUJUY MODELS pag esp" u="1"/>
        <s v="COLEGIO MÉDICO - FARMACEUTICOS" u="1"/>
        <s v="DISTRIBUIDORA E.C. RIVAROLA   AN" u="1"/>
        <s v="AVISO EN CARPETA DE NOTABLES DE LA FECHA_x000d__x000a__x000d__x000a__x000d__x000a_EL DÍA 16 AGREGAR LEYENDA &quot;HOY&quot;" u="1"/>
        <s v="Anuncio vinculado con: 1495380 3 ." u="1"/>
        <s v="LAVADERO LOS AMIGOS" u="1"/>
        <s v="GOBIERNO DE JUJUY FNE  ..." u="1"/>
        <s v="LA BANCARIA AL PUEBLO DE JUJUY" u="1"/>
        <s v="AMODIL" u="1"/>
        <s v="AUDIFONOS... WIDEX ARGENTINA SA" u="1"/>
        <s v="EMPRESA CONSTRUCTORA DEL MEDIO S" u="1"/>
        <s v="NECESITO AUXILIAR  DE VETERINARI" u="1"/>
        <s v="¡¡¡URGENTE BUSCAMOS A VALENTINA!" u="1"/>
        <s v="AVISO ENVIA POR MAIL RICARDO TORREJON" u="1"/>
        <s v="GOBIERNO..." u="1"/>
        <s v="boton LAMINA VIRGEN" u="1"/>
        <s v="CENTRO VECINAL B° 11 DE OCTUBRE " u="1"/>
        <s v="PROFESORA VENDE  FORD FOCUS EXE " u="1"/>
        <s v="aviso para renovar idem anuncio 1485654" u="1"/>
        <s v="recuadro lila" u="1"/>
        <s v="con foto color carp. 03-03" u="1"/>
        <s v="CLINICA VETERINARIA MEDI VET - S" u="1"/>
        <s v="EMPADRONAMIENTO B° CAMPO VERDE 2" u="1"/>
        <s v="HUMAHUACA  VENDO  CASA CEL. 3884" u="1"/>
        <s v="EJESA CORTE. TRES..." u="1"/>
        <s v="GOBIERNO  SOLICITADA" u="1"/>
        <s v=" Centro Gaucho “San Santiago Apó" u="1"/>
        <s v="AVISO ARMADO CHECHU" u="1"/>
        <s v="OSDE DIA DEL PEDIATRA..." u="1"/>
        <s v="LAMINA SELECCIÓN ARGENTINA" u="1"/>
        <s v="+ GIMENEZ, PABLO (q.e.p.d.) Fall" u="1"/>
        <s v="CONVOCATORIA A ASAMBLEA CONSTITU" u="1"/>
        <s v="ODILA LIBERTAD FERNANDEZ" u="1"/>
        <s v="+ GREGORIO EMETERIO REYNOSO  (Q." u="1"/>
        <s v="+LASQUERA, Laura (q.e.p.d.) Fall" u="1"/>
        <s v="EDICTO SUCESORIO   .-.-.-.-JUZGA" u="1"/>
        <s v="Anuncio vinculado con: 1514438 2 ." u="1"/>
        <s v="con logo &quot;SINDICATO DE OBREROS DEL TABACO DEL PROVINCIA DE JUJUY&quot;" u="1"/>
        <s v="INOCENCIA BEJARANO" u="1"/>
        <s v="con foto color carp. 23-03" u="1"/>
        <s v="GOBIERNO TELAM  PRESERVATIVO...." u="1"/>
        <s v="DOVIS DIESEL ESP AGRICULTOR" u="1"/>
        <s v="MUNI JUJUY - LA FLOR MAS BELLA" u="1"/>
        <s v="+ CLARA DALMIRA GONZALEZ q.e.p.d" u="1"/>
        <s v="BALANCE DEL COLEGIO DE PROFESION" u="1"/>
        <s v="DUEÑO VENDE CASA  en Bº San Pedr" u="1"/>
        <s v="MUNIC. S.S. DE JUJUY - BIENVENID" u="1"/>
        <s v="| Falleció el 25 de mayo de 2013" u="1"/>
        <s v="COOPERATIVA DE TABACALEROS" u="1"/>
        <s v="DISTRIBUIDORA RIVAROLA  1° DE MA" u="1"/>
        <s v="EDICTO  ===El Juzgado de 1º Inst" u="1"/>
        <s v="-APODERADOS DE AGENTE DE TRANSPO" u="1"/>
        <s v="CONVOCATORIA (Fe de Erratas)  El" u="1"/>
        <s v="MINISTERIO DE EDUCACIÓN SECRETAR" u="1"/>
        <s v="UNJU DIA DEL GRADUADO EN CS ECON" u="1"/>
        <s v="LIGA DE FUTBOL FEMENINA “ SAN JO" u="1"/>
        <s v="solicitada AL GOBERNADOR DE LA P" u="1"/>
        <s v="+ BENITA FILOMENA CONDORI DE PUC" u="1"/>
        <s v="CÁCERES, Santos Osmar q.e.p.d. F" u="1"/>
        <s v="SE NECESITA PERSONAL con experie" u="1"/>
        <s v="foto en carpeta de la fecha 08/09/2020 color mamani gallegos" u="1"/>
        <s v="LAZZARO CENA BLANCA" u="1"/>
        <s v="CLINICA VETERINARIA MEDI VET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CON FOTO EN CARPETA 22 de junio de 2017 - atencion al cliente + martin alvarado aviso 3 - 3x4 color_x000d__x000a__x000d__x000a_usar estilo de aviso 1202917." u="1"/>
        <s v="PROTOCOLO INICIO DE CLASES - GOB" u="1"/>
        <s v="CAMARA DE TABACO" u="1"/>
        <s v="ASOCIACION AJUPEF PERSONERIA JUR" u="1"/>
        <s v="EJESA CORTE..." u="1"/>
        <s v="+ ELENA CARMEN SUSANA DE UGARTEC" u="1"/>
        <s v="Empresa Constructora, busca asis" u="1"/>
        <s v="PAG. CAMBIA JUJUY  TRES.." u="1"/>
        <s v="(LOGO)    AGUADO INMOBILIARIA   " u="1"/>
        <s v="///LOGO/// CONVOCATORIA A ASAMBL" u="1"/>
        <s v="UNJU - SALUDO NAVIDAD FIN DE AÑO" u="1"/>
        <s v="FMSOL JUJUYROCK" u="1"/>
        <s v="GOBIERNO TURISMO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PEUGEOT PARTNER PATAGONICA  MOD." u="1"/>
        <s v="JUJUY FLORECE" u="1"/>
        <s v="E D I C T O   - - - La Dra. NORM" u="1"/>
        <s v="EDICTOSRef. Expte. N°D-034859/20" u="1"/>
        <s v="PERICO  VENDO 2 TERRENOS juntos " u="1"/>
        <s v="pagado color celeste" u="1"/>
        <s v="AVISO A COLOR IDEM 1473170" u="1"/>
        <s v="PUNTO DE VISTA  FM JUJUY..." u="1"/>
        <s v="LICITACION PUBLICA N° 02/2022" u="1"/>
        <s v="VINERIA SAN JUAN ESP. MONARCA" u="1"/>
        <s v=" MUNICIPALIDAD DE PALPALA   LICI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Estudio Jurídico Dra. Paola Sera" u="1"/>
        <s v="Corralon Gareca" u="1"/>
        <s v="+ SULCA GABRIEL  q.e.p.d. Fallec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GUERRERO VENDE" u="1"/>
        <s v="=  E D I C T O  S U C E S O R I " u="1"/>
        <s v="El Carmen  JUANA AGUEDA CAZON Fa" u="1"/>
        <s v="pag. 10 -BLACK FRIDAY CHANGOMAS." u="1"/>
        <s v="pag. 11 -BLACK FRIDAY CHANGOMAS." u="1"/>
        <s v="ELECTRICIDAD PERICO PATRONAL DE 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FESTIVAL DEL HUMOR" u="1"/>
        <s v="LOS TILIANES - 19 de abril" u="1"/>
        <s v="I S J    TALLER NUEVE LUNAS ...." u="1"/>
        <s v="VENDO TERRENO  de 15x40 Higueril" u="1"/>
        <s v="RAMON RICARDO CHANAMPA 1X3" u="1"/>
        <s v="=========EDICTO SUCESORIO=======" u="1"/>
        <s v="VENDO DPTO. AV. CORDOBA 3 dorm-2" u="1"/>
        <s v="+  JAQUELINA TEVES DE ZUÑIGA  (Q" u="1"/>
        <s v="CENTRO VECINAL DE UQUIA LA COMIS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 Asociación Civil: &quot;DOCENTES PRO" u="1"/>
        <s v="EDICTO SUCESORIO -- - - - EL JUZ" u="1"/>
        <s v="lista azul elecciones cs economi" u="1"/>
        <s v="VENDO CASA  en Alto Comedero  Av" u="1"/>
        <s v="GOBIERNO DIA DEL LOCUTOR..." u="1"/>
        <s v="BIBLIOTECA POPULAR Y CENTRO CULT" u="1"/>
        <s v="FARMACIA GUEMES UNO   SALUDO FIN" u="1"/>
        <s v="FORD TRANSIT, EXC. ESTADO, 14 AS" u="1"/>
        <s v="Anuncio vinculado con: 1492518 3 ." u="1"/>
        <s v="texto nuevo l_x000d__x000a_os colores igual idem aviso 1479479_x000d__x000a_texto en cada linea" u="1"/>
        <s v="RELANZAMIENTO BNA ...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E  D  I  C  T  O:   = = = DR. JU" u="1"/>
        <s v="PONER EL TITULO Y LOS TELEFONOS CON FONDO NEGRO POR FAVOR" u="1"/>
        <s v="COOTEPAL - COOP. TELEF. PALPALÁ " u="1"/>
        <s v="FM JUJUY PATEANDO EL TABLERO ..." u="1"/>
        <s v="------------------  EDICTOS-----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busqueda de contador senior" u="1"/>
        <s v="MUNI JUJUY - MARIANO MORENO" u="1"/>
        <s v="PROYAJO S.A.  ESP. CIUDAD DE PER" u="1"/>
        <s v="+ PLACIDA VICTORIA FLORES VDA. D" u="1"/>
        <s v="+ CARDOZO, Oscar  Q.E.P.D. Falle" u="1"/>
        <s v="+ CAYO SATURNINA  q.e.p.d. Falle" u="1"/>
        <s v="+ANGEL ROSENDO GONZALEZ 1X3" u="1"/>
        <s v="DUEÑO VENDE FORD FOCUS mod 2012," u="1"/>
        <s v="FLORES, Belky Ofelia (q.e.p.d.) " u="1"/>
        <s v="+ DALMACIA FLORES Q.E.P.D. Falle" u="1"/>
        <s v="OTERO MAIDANA, JORGE OSVALDO &quot;GR" u="1"/>
        <s v="LA MANSION ESP CAM TABACO" u="1"/>
        <s v="COLEGIO MODELO PALPALÁ  LANZAMIE" u="1"/>
        <s v="Contratista electrico. PROSELAB " u="1"/>
        <s v="NECESITO RECUPERAR CON URGENCIA." u="1"/>
        <s v="NECESITO EMPLEADA DOMESTICA...._x000d__x000a__x000d__x000a_////AVISO ARMADO EN CARPETA DE LA FECHA /////" u="1"/>
        <s v="+ FELIX FLORES  q.e.p.d. Falleci" u="1"/>
        <s v="+ FLORES, Quintin (q.e.p.d.) Fal" u="1"/>
        <s v="PREVENAR - PFISER" u="1"/>
        <s v="FASTA  ANIV. SAN CAYETANO" u="1"/>
        <s v="CONVOCATORIA  LA LIGA DE VETERAN" u="1"/>
        <s v="INFO PIRQUITAS DIC 21" u="1"/>
        <s v="+ GARCIA, Alicia  q.e.p.d. Falle" u="1"/>
        <s v="CREDIMAS - ANIVERSARIO GIMNASIA " u="1"/>
        <s v="GMG LUBRICENTRO DIA DEL MECANICO" u="1"/>
        <s v="OPTICA SANTA LUCIA" u="1"/>
        <s v="///LOGO//// (solo cambia pedida " u="1"/>
        <s v="SUPLE CATAR" u="1"/>
        <s v="LAS VERTIENTES SRL ..." u="1"/>
        <s v="COLEGIO DE KINESIOLOGOS ESP ODON" u="1"/>
        <s v="EDICTOS Ref. EXPTE Nº D-035387/2" u="1"/>
        <s v="SCANIA113  MOD/96  Impecable-Lis" u="1"/>
        <s v="Anuncio vinculado con: 1486266 2 ." u="1"/>
        <s v="foto en carpete de la fecha valeriano alexis" u="1"/>
        <s v="+ ARTEAGA MUÑOZ FIDEL  q.e.p.d. " u="1"/>
        <s v="+ CPN. JORGE ARTURO MONTIEL  q.e" u="1"/>
        <s v="CORRALON EL AMIGO ..." u="1"/>
        <s v="NUMANCIA - SALUDOS A PAPÁ" u="1"/>
        <s v="BULONERA  ROCA / LUBRICENTRO ROC" u="1"/>
        <s v="CENTRO EMP. DE COMERCIO LUNES 27" u="1"/>
        <s v="HORACIO GUZMÁN Y EL FEDERALISMO " u="1"/>
        <s v="Dueño Alquila Sin Comisión  Amplias Ofic" u="1"/>
        <s v="GOBIERNO DIA LOS SANTOS DIFUNTOS" u="1"/>
        <s v="INOCENCIO LAMAS  CARGAR CTA CTE " u="1"/>
        <s v="PANIFICADORA ALVEAR" u="1"/>
        <s v="CARBONELLI de Bracamonte, Elide " u="1"/>
        <s v="U.T.G.R.A  ... SALUDO FIN DE AÑO" u="1"/>
        <s v="+ SORUCO, MANUEL HÉCTOR   q.e.p." u="1"/>
        <s v="LA CASA DEL RIEGO ESP EMP DE COM" u="1"/>
        <s v="URGENTE BANDA DE YALA  Lote 20m " u="1"/>
        <s v="agrega telefono 1459268" u="1"/>
        <s v="FERIA MAYUORISTA Y MINORISTA MON" u="1"/>
        <s v="OFERTAS  18 AL 21-08  CHANGOMAS " u="1"/>
        <s v="fondo naranaja y letras negras" u="1"/>
        <s v="+ MARTINEZ, Hilda Q.E.P.D. Falle" u="1"/>
        <s v="----EDICTOS SUCESORIOS--- ===Juz" u="1"/>
        <s v="CARRETONEROS: Importante empresa" u="1"/>
        <s v="E   D   I   C   T   O:   - - - D" u="1"/>
        <s v="TEXTO AGREGADO POR ESO VA COMO NUEVO.!!!  :)" u="1"/>
        <s v="recuperado por doble facturacion en diciembre 2020" u="1"/>
        <s v="///AGREGAR LOGO DE WHASTAPP////" u="1"/>
        <s v="+ Gabriela F. Navarro de Guevara" u="1"/>
        <s v="TRAME - FATIMA" u="1"/>
        <s v="IMPAR - DENTAL RED ESP GYE" u="1"/>
        <s v="GOBIERNO DIA DEL INMIGRANTE..." u="1"/>
        <s v="BINGO LOBO CLUB GIMNASIA  Y ESGR" u="1"/>
        <s v="DUEÑO VENDE FINCA en Yuto, 10 HA" u="1"/>
        <s v="---EDICTO SUCESORIO---- JUZGADO " u="1"/>
        <s v="PUBLICA AQUI CEMER" u="1"/>
        <s v="HALLPA PAGINA ESPECIAL" u="1"/>
        <s v="DIESEL JUJUY ESP POLICIA" u="1"/>
        <s v=" + IVANA JAQUELINA TEVES DE ZUÑI" u="1"/>
        <s v="GOBIERNO MAESTRO TRES" u="1"/>
        <s v="CORRALON EL AMIGO...." u="1"/>
        <s v="Empresa selecciona INGENIERO EN " u="1"/>
        <s v="GOBIERNO VACUNATE PAG. 3" u="1"/>
        <s v="GIMNASIO Arnaldo beatrice" u="1"/>
        <s v="GOBIERNO  ESTUFAS ENCENDIDAS..." u="1"/>
        <s v=" LA JUNTA ELECTORAL / COMISION D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SUETRA ESP COOP. DE TABAC." u="1"/>
        <s v="+ RUIZ DE BARCONTE, Isabel Q.E.P" u="1"/>
        <s v="+ANA ELVIRA SORUCO “Cuca” (q.e.p" u="1"/>
        <s v="VENDO MINICARGADORA BULL  motor " u="1"/>
        <s v="+ MIGUEL ALBERTO CARLOS (aviso a" u="1"/>
        <s v="+ SALCEDO, Jairo  Q.E.P.D. Falle" u="1"/>
        <s v="Edicto Sucesorio Juzgado de Prim" u="1"/>
        <s v="EDICTOS  ==== El Juzgado de Prim" u="1"/>
        <s v="FARMACIA SAN CAYETANO   CELEBRAC" u="1"/>
        <s v="+ GUTIERREZ, Germán Simón (q.e.p" u="1"/>
        <s v="CENTRO MÉDICO EN CIUDAD DE NIEVA" u="1"/>
        <s v="ERNESTO FRANCISCO MAX AGUERO  1X" u="1"/>
        <s v="COMISIÓN SALIENTE CENTRO VECINAL" u="1"/>
        <s v="RIOS GRADIN" u="1"/>
        <s v="JORGE ANIBAL MORCILLO   WERCHOW" u="1"/>
        <s v="LA UNION DEL NORTE SAICAF EX EL " u="1"/>
        <s v="+ BURGOS, Jose Eduardo      Q.E." u="1"/>
        <s v="+ BURGOS, José Eduardo      Q.E." u="1"/>
        <s v="+ VERA, Santos  q.e.p.d. Falleci" u="1"/>
        <s v="IMPORTANTE EMPRESA INCORPORA  pa" u="1"/>
        <s v="fondo blanco letras bº de colore lilla, rojo, violeta negro..." u="1"/>
        <s v=" + FRUCTUOSO GORENA  (Q.E.P.D.) " u="1"/>
        <s v="CONSEJO PROFESIONALES DE FONOAUD" u="1"/>
        <s v="MUNI JUJUYARTISTAS FNE 2021 ELEC" u="1"/>
        <s v="SALVA CABANA" u="1"/>
        <s v="+ WALTER SANCHEZ  q.e.p.d. Falle" u="1"/>
        <s v="AMAROK 2015, equipada, 1ra mano," u="1"/>
        <s v="Gobierno de JUJUY  - 17 DE SETIE" u="1"/>
        <s v="Anuncio vinculado con: 1486362 2 ." u="1"/>
        <s v="+ PROTO JACINTO MENDEZ q.e.p.d. " u="1"/>
        <s v="///LOGO/// VENTA * Casa Ciudad d" u="1"/>
        <s v="EDICTO SUCESORIO   - - -  JUZGAD" u="1"/>
        <s v="EDICTO SUCESORIO -  -  -  JUZGAD" u="1"/>
        <s v="Homenaje a los caídos de Malvina" u="1"/>
        <s v="JMS MAQUINAS AGROVIALES  ESP CAM" u="1"/>
        <s v="PALPALA  VENDO LOTE  Bº 9 de Jul" u="1"/>
        <s v="texto guardado carp. 19-04" u="1"/>
        <s v=" EDICTO  EN EL EXPTE. N° D-03994" u="1"/>
        <s v="///LOGO/// VENDE CIUDAD DE NIEVA" u="1"/>
        <s v="COLEGIO DE ARQUITECTOS - DIA DE " u="1"/>
        <s v="COLEGIO DE BIOQUIMICOS - DIA DE " u="1"/>
        <s v="VENDO SANDERO 2018  8V, 14.000km" u="1"/>
        <s v="CONSEJO PROF DE CS ECON DIA DE L" u="1"/>
        <s v="CONVOCATORIA     La Comisión Dir" u="1"/>
        <s v="VENTA MAUSOLEO CEMENTERIO EL SALVADOR  M" u="1"/>
        <s v="GOBIERNO  DIA DEL PERIODISTA.." u="1"/>
        <s v="  EDICTO SUCESORIO   - - - JUZGA" u="1"/>
        <s v="/// LOGO /// ASOCIACIÓN DE BASQU" u="1"/>
        <s v="ELECTROMAT ESP DIA DE LA CONSTR." u="1"/>
        <s v="FUNDACIÓN CERES CONVOCATORIA Se " u="1"/>
        <s v="GRUAS SAN BLAS (Aviso armado)" u="1"/>
        <s v="+ GUSTAVO MANUEL ROJAS      Q.E." u="1"/>
        <s v="= EDICTO SUCESORIO =   = = JUZGA" u="1"/>
        <s v="CONVOCATORIA  ASAMBLEA  ORDINARI" u="1"/>
        <s v="CONVOCATORIA A ASAMBLEA ORDINARI" u="1"/>
        <s v="El Instituto de Datación Arqueom" u="1"/>
        <s v="+ JORGE ISAAC CABANA FUSZ    QEP" u="1"/>
        <s v="MUNICIPALIDAD DE PALPALA" u="1"/>
        <s v="GOBIERNO DIA DE LA NIÑEZ ...." u="1"/>
        <s v="COLEGIO DE INGENIEROS DE JUJUY" u="1"/>
        <s v="COLEGIO DE PSICOLOGOS DE JUJUY" u="1"/>
        <s v="                        EDICTO  " u="1"/>
        <s v="CORRALON EL AMIGO ...." u="1"/>
        <s v="+ TOLABA, Lucas Martin   (Q.E.P." u="1"/>
        <s v="CLUB ATLETICO RIVER PLATE DE CUS" u="1"/>
        <s v="AGRUPACION LISTA BLANCA  DIA DEL" u="1"/>
        <s v="hola  CENTRO VECINAL LA CANDELAR" u="1"/>
        <s v=" SERRANO DE OCAMPO, MARIA ROSA  " u="1"/>
        <s v="+ GALLARDO, Marcelino (q.e.p.d.)" u="1"/>
        <s v="////LOGO/// LIGA JUJEÑA DE FUTBO" u="1"/>
        <s v="CAMARA JUJEÑA DE EMP. DE SALUD  " u="1"/>
        <s v="DAMAS GRATIS" u="1"/>
        <s v="CHEVROLET TAKATA" u="1"/>
        <s v="PORKMAN exodo jujeño" u="1"/>
        <s v="3A PROPIEDADES  LOTEOS" u="1"/>
        <s v="GARELY SACI PATRONAL DE PERICO" u="1"/>
        <s v="///CON IMAGEN/// Gracias Sr. Jus" u="1"/>
        <s v="ASOCIACIÓN CIVIL ALUMNI CONVOCAT" u="1"/>
        <s v="/// CON LOGO EN CARPETA ///" u="1"/>
        <s v="+ MARÍA ROSA LÓPEZ  (Q.E.P.D)  1" u="1"/>
        <s v="con color notable" u="1"/>
        <s v="IDEAL INVERSORES Galería Impulso" u="1"/>
        <s v="CON IMAGEN DE SAN EXPEDITO a color" u="1"/>
        <s v="LUCIA AMELIA DEL ROSARIO CABRERA" u="1"/>
        <s v="TAVERNITI ESP FNE" u="1"/>
        <s v="SALVA PINCHADORAS_x000d__x000a_AVISO ARMADO" u="1"/>
        <s v="con en le correo" u="1"/>
        <s v="---------EDICTO------ ---JUZGADO" u="1"/>
        <s v="con imagen (foto Sr. .Torrres) enviado al correo de Sonia y Franco" u="1"/>
        <s v="+ HUARACHI Julio (q.e.p.d.) Se d" u="1"/>
        <s v="AGRUPACION GAUCHA GRAL. SAN MART" u="1"/>
        <s v="AGRUPACIÓN GAUCHA GRAL. SAN MART" u="1"/>
        <s v="color con foto carp. del 20-02" u="1"/>
        <s v="FORTIN GAUCHO MARTIN FIERRO  LOS" u="1"/>
        <s v="BUSCAMOS CHOFER -EDAD HASTA 45 AÑOS -CAR" u="1"/>
        <s v="I. L.C. GRACIAS SAN EXPEDITO POR" u="1"/>
        <s v="AGOSTINI DES. INMOBIL" u="1"/>
        <s v="JMS MAQUINAS AGROVIALES ANUARIO" u="1"/>
        <s v="+ MARCELINO TEJERINA  (Q.E.P.D.)" u="1"/>
        <s v="+ MAXIMILIANO DELGADO (q.e.p.d.)" u="1"/>
        <s v="E D I C T O  Dr. Juan Pablo Cald" u="1"/>
        <s v="+ DOMINGO ALESIO MESSORI 1X3" u="1"/>
        <s v="TARJETA NOA - DIA DE LA MUJER" u="1"/>
        <s v="EDICTOS Ref. Expte Nº D-035486/2" u="1"/>
        <s v="AVISO EN CARPETA DE 1 DE MARZO" u="1"/>
        <s v=" CLINICA NUESTRA SEÑORA DE  FATI" u="1"/>
        <s v="AVISO CON RECUADRO FUSCIA" u="1"/>
        <s v="CLINICA NTRA. SRA. DE FATIMA  DI" u="1"/>
        <s v="DIP. PROV. P.J. VALERIA GOMEZ  S" u="1"/>
        <s v="Gracias san judas Tadeo por los " u="1"/>
        <s v="+ TERESA MOYANO VDA. DE IVACEVIC" u="1"/>
        <s v="APACHETA CUTY Y ROBERTO CARABAJA" u="1"/>
        <s v="CLINICA NTRA. SRA. DE FATIMA   C" u="1"/>
        <s v="federacion gaucha jujeÑa convoca" u="1"/>
        <s v="+ ELVA RODRIGUEZ VDA. DE OCHOA  " u="1"/>
        <s v="+ RICARDO FRANCISCO TORIL  Q.E.P" u="1"/>
        <s v="AVISO INSTITUTO NACIONAL DE SEMI" u="1"/>
        <s v="La Unidad Ejecutora Ciencias Soc" u="1"/>
        <s v="RODRIGUEZ, Clementina (q.e.p.d.)" u="1"/>
        <s v="ULI PINTURERIA - VARIOS PROVEEDO" u="1"/>
        <s v="Friar Jujuy busca “encargado de sucu" u="1"/>
        <s v="+ CLAUDIA MARCELA ASMUZI 12  12 " u="1"/>
        <s v="GIANELLA ABIGAIL GOMEZ" u="1"/>
        <s v="LA BANCARIA DIA DE LA MUJER" u="1"/>
        <s v="JOSE MARHE JURE - UNION CAÑEROS" u="1"/>
        <s v="------------------E D I C T O---" u="1"/>
        <s v="AG AGRO GALLEGO ESP COOP. DE TAB" u="1"/>
        <s v="EDICTO JUZGADO MULTIFUERO DE PRI" u="1"/>
        <s v="impar - BONAFIDE-DIA DE LA MUJER" u="1"/>
        <s v="AGREGAR:_x000d__x000a__x000d__x000a_EXCLUYENTE: INSCRIPTO REGIMEN EMPLEADOR - AFIP" u="1"/>
        <s v="+ VILLEGA, Luis Adrian (q.e.p.d)" u="1"/>
        <s v="+ VILLEGA,LUIS ADRIAN  (q.e.p.d)" u="1"/>
        <s v="AVISO ARMADO  SUSANA DEL CARMEN " u="1"/>
        <s v="Comisión reorganizadora Centro V" u="1"/>
        <s v="MUNICIPALIDAD DE PERICO - DECLAR" u="1"/>
        <s v="Anuncio vinculado con: 1485673 2 ." u="1"/>
        <s v="DYCAR  MARZO" u="1"/>
        <s v="ALBERTO JOSE LOPEZ   (q.e.p.d.) " u="1"/>
        <s v="TOCONAS ADOLFO  ///AVISO ARMADO/" u="1"/>
        <s v="+ SALVATIERRA, Félix  (q.e.p.d.)" u="1"/>
        <s v="EL PROGRAMA CANTANDO EN JUJUY  R" u="1"/>
        <s v="MUSEO HISTORICO ARQUEOLOGICO “LE" u="1"/>
        <s v="///LOGO////  SOLICITAMOS PROPIED" u="1"/>
        <s v="SAN ANTONIO     *LA TOMA* VENDO " u="1"/>
        <s v="con logo  que estas en carpeta dia 18_x000d__x000a__x000d__x000a_CON MARCO VERDE X FAVOR" u="1"/>
        <s v="Anuncio vinculado con: 1483954 2 ." u="1"/>
        <s v="ZORBA - LA MANSION ESP. EL CARME" u="1"/>
        <s v="31 LEYENDA HOY !!" u="1"/>
        <s v="CH MAC SRL ESP SAN MARINO" u="1"/>
        <s v="CORRALON EL MERCADO DIA DEL ING" u="1"/>
        <s v="+ MORALES BERNABÉ GREGORIO Q.E.P" u="1"/>
        <s v="5474/2021 - ABREU PEREZ, MARIBEL" u="1"/>
        <s v="JESI FOLCLORE RESTO PUB  AVISO A" u="1"/>
        <s v="LA RABIOLA - CHOCOLATTE DIA DE L" u="1"/>
        <s v="VENDO FARDO DE ALFA CEL. 388 404" u="1"/>
        <s v="TEXTO ENVIADO EN WORD A LA CARPETA DE TRIBU PUBLICIDAD." u="1"/>
        <s v="LIMSA MORATORIA ..." u="1"/>
        <s v=" (ESCUDO)PODER JUDICIAL DE LA PR" u="1"/>
        <s v="Anuncio Dr. Faila carpeta 06 de " u="1"/>
        <s v="DFD REPUESTOS VIRGEN DE ROSARIO" u="1"/>
        <s v="+ CARLOS SATURNINO MUÑIZ Falleci" u="1"/>
        <s v="LA RABIOLA - CHOCOLATTE ESP EMPR" u="1"/>
        <s v="NGA PREMOLDEDOS  SRL ..." u="1"/>
        <s v="“ASOCIACION NUEVA GENERACION ROC" u="1"/>
        <s v="CAPTADOR-A/VENDEDOR-A - Capacida" u="1"/>
        <s v="FARMACIA SAN ESTEBAN I - II  CEL" u="1"/>
        <s v="a color letras negritas fondo amarrillo  numeros de cel. 388-4975634 / 388-4297991" u="1"/>
        <s v="foto mamani que dice 1 que esta con el acordeon no color celeste amarillo o rosado" u="1"/>
        <s v="foto mamani que dice 2 que esta con el acordeon no color celeste amarillo o rosado" u="1"/>
        <s v="carpeta dia 10 de marzo FOTO" u="1"/>
        <s v="COLEGIO DE KINESIOLOGOS - ESP MU" u="1"/>
        <s v="Anuncio vinculado con: 1483955 2 ." u="1"/>
        <s v="BOTON LAMINA" u="1"/>
        <s v="MUNIC. S.S. DE JUJUY - RENTAS" u="1"/>
        <s v="+ HEFFELI HECTOR ROBERTO MOD 1X3" u="1"/>
        <s v="COLEGIO DE ABOGADOS  ESP ESCRIBA" u="1"/>
        <s v="MARTILLERA LAURA BLANCO SAN PABL" u="1"/>
        <s v="+ VICTOR ALDO CASTRO q.e.p.d. Fa" u="1"/>
        <s v="San Salvador de Jujuy, 28 de sep" u="1"/>
        <s v="SEBASTIAN MENDOZA" u="1"/>
        <s v="CENTRO EMP. DE COMERCIO ANUARIO" u="1"/>
        <s v="  EDICTO SUCESORIO         El Ju" u="1"/>
        <s v="E    D    I    C    T    O    S " u="1"/>
        <s v="HERMINIA PEÑALOZA DE SOLIZ     H" u="1"/>
        <s v="Vendo terreno en AIRE DE CAMPO 3" u="1"/>
        <s v="TELAM SEC. COMUN. LOGROS JUNIO.." u="1"/>
        <s v="CON FOTO EN CARPETA DE LA FECHA 6 DE AGOSTO MARIA ALICIA CAYO" u="1"/>
        <s v="CEMDE PAMI" u="1"/>
        <s v="APART HOTEL BELGRANO ESP CIUDAD " u="1"/>
        <s v="ADRIAN - EL TEMA DEL MUNDIAL" u="1"/>
        <s v="CONCEJO DELIBERANTE - DIA DE LA " u="1"/>
        <s v="CON FOTO DIA 12 DE MAYO" u="1"/>
        <s v="con imagen de la virgen Santa Ana a color aviso para renovar" u="1"/>
        <s v="CENTRO DE JUBILADOS Y   PENSIONA" u="1"/>
        <s v="           AGRUPACION GAUCHA “JU" u="1"/>
        <s v="EDICTO  Dr. JORGE DANIEL ALSINA," u="1"/>
        <s v="Ledesma SAAI ADHESION 17  DE AGO" u="1"/>
        <s v="MARTILLERA LAURA BLANCO POR RAZO" u="1"/>
        <s v="OPORTUNIDAD 2 casas en 1, escuch" u="1"/>
        <s v="SANATORIO LOS LAPACHOS.... DIA D" u="1"/>
        <s v="MODIFICAR AVISO PARA QUE SE LEA DIRECCION Y TEL" u="1"/>
        <s v="DOVIS DIESEL PATRONAL DE PERICO" u="1"/>
        <s v=" CREDIS.   SELECCIONARA: COBRADO" u="1"/>
        <s v="EDICTO SUCESORIO    - EN EL EXPE" u="1"/>
        <s v="SEBASTIAN YATRA ....." u="1"/>
        <s v="CAMARA DE TABACO - ESP.  ING AGR" u="1"/>
        <s v="ANTONIA DEL CARMEN ROMERO" u="1"/>
        <s v="NESTOR LLANOS SEGOVIA 1X3" u="1"/>
        <s v="CAMARA MINERA - 40 años de malvi" u="1"/>
        <s v="EMPRESA DEL MEDIO INCORPORA  Ope" u="1"/>
        <s v="Carnaval de Flores Volcan" u="1"/>
        <s v="LUCHIN MATERIALES  ANIV. SAN CAY" u="1"/>
        <s v="CON IMAGEN EN CARPETA DE LA FECHA" u="1"/>
        <s v="CAFE BALCARCE" u="1"/>
        <s v="                 E D I C T O   S" u="1"/>
        <s v="CLUB SPORTIVO LIBERTAD, DE LA CI" u="1"/>
        <s v="CONSORCIO DE RIEGO ESP COOP. DE " u="1"/>
        <s v="*  MODIFICO TEXTO_x000d__x000a__x000d__x000a_*  MISMO DIBUJO" u="1"/>
        <s v="+ Escribano LACSI, Patricio (q.e" u="1"/>
        <s v="20 DE SETIEMBRE DIA DLE JUBILADO" u="1"/>
        <s v="QR SEGUNDO ALVARO VELARDE 1X3" u="1"/>
        <s v=" EDUARDO JOSE ROMEO            A" u="1"/>
        <s v="CENTRO EMPLEADOS DE FARMACIA CON" u="1"/>
        <s v="con foto en carpeta de la fecha y fondo cielo" u="1"/>
        <s v="nueva foto" u="1"/>
        <s v="PAG IMPAR - INSTITUTO DE RADIOLO" u="1"/>
        <s v="cargar a cuenta werchow  + PAULA" u="1"/>
        <s v="MATAFUEGOS JUJUY ESP GYE" u="1"/>
        <s v="EDICTO   INSCRIPCIÓN DE MARTILLE" u="1"/>
        <s v="SUPERIOR TRIBUNO DE JUSTICIA...." u="1"/>
        <s v="VENDO CAMION CHEVROLET mod. 70 c" u="1"/>
        <s v="ROMANO, Elionida Dora  AVISO ARM" u="1"/>
        <s v="YOLY POLLERIA - ANUARIO" u="1"/>
        <s v="ASOC.COOP.CEA INTA ABRA PAMPA CO" u="1"/>
        <s v="URGENTE CLÍNICA SOLICITA  PARA T" u="1"/>
        <s v="SUTIAGA PAGINA ESPECIAL" u="1"/>
        <s v="A &amp; M  ESTUDIO JURIDICO CONTABLE" u="1"/>
        <s v="INFORMACIÓN DE PRENSA MES DE MAR" u="1"/>
        <s v="TRAME S.R.L.  1° DE MAYO - DÍA D" u="1"/>
        <s v="M. ELECTRICIDAD" u="1"/>
        <s v="ENTRETENIMIENTO EL TRIBUNO" u="1"/>
        <s v="PAREDES CONSTRUCCIONES - ESP CS " u="1"/>
        <s v="con foto !!!" u="1"/>
        <s v="FULL PARTY SHOP" u="1"/>
        <s v="+ ZEGADA JACINTO SATURNINO Q.E.P" u="1"/>
        <s v="ATENCIÓN EL CARMEN  VENDO  4 HAS. A 200 " u="1"/>
        <s v="+ AGUIRRE, ADELAIDA DEL CARMEN  " u="1"/>
        <s v="+ JOSE MARHE JURE  q.e.p.d. Fall" u="1"/>
        <s v="VENTA DE LOTES ECONOMICOS en la " u="1"/>
        <s v="EL OMBU SRL ESP SAN MARINO" u="1"/>
        <s v="LIMSA Limpieza Urbana S.A." u="1"/>
        <s v="EDICTO EL DIRECTOR DE LA DIRECCO" u="1"/>
        <s v="CHOFER DE CAMION" u="1"/>
        <s v="LUISIÑO - ANUARIO" u="1"/>
        <s v="+ ARQ. MANUEL MARCOS ARIAS Q.E.P" u="1"/>
        <s v="CLUB SOCIAL Y DEPORTIVO “EL CRUC" u="1"/>
        <s v="EDICTO SUCESORIO:   - - - En Juz" u="1"/>
        <s v="CAMARA DE TABACO DIA PRODUC. AGROP." u="1"/>
        <s v="ASOCIACION DE PROFESIONALES DE JUJUY  - LOGO EN CARPETA DE LA FECHA" u="1"/>
        <s v="a color idem aviso 1502830" u="1"/>
        <s v="EL CHAQUEÑO PALAVECINO. publicó " u="1"/>
        <s v="SARMIENTO SERGIO ANTONIO EXPTE N" u="1"/>
        <s v="Anuncio vinculado con: 1485799 2 ." u="1"/>
        <s v="Todas las obras sociales _x000d__x000a_Belgrano 246 6to B" u="1"/>
        <s v="LOGO ARCHIVO WORD CARP. 30-10" u="1"/>
        <s v="+ IBAÑEZ, María Lidia (q.e.p.d.)" u="1"/>
        <s v="CLINICA VETERINARIA MEDI VET - D" u="1"/>
        <s v="ASOCIAC. DE SANMARINENS ANUARIO" u="1"/>
        <s v="- EDICTO - = = = Firmado Electró" u="1"/>
        <s v="APACHETA QV4 - publicado el 17/0" u="1"/>
        <s v="EN EL EXPTE Nº C-195385/2021 CAR" u="1"/>
        <s v="OPORTUNIDAD  TOYOTA HILUX 4x4, a" u="1"/>
        <s v="EL CAMPEON LIBRERIA ESP CS ECON" u="1"/>
        <s v="color amarrillos letras negrita nuevo texto" u="1"/>
        <s v="OPTICA EL GALLO - 19 DE ABRIL" u="1"/>
        <s v="TERESA LEONOR MOYANO DE IVACEVIC" u="1"/>
        <s v="Anuncio vinculado con: 1487264 2 ." u="1"/>
        <s v="Club PerBAS CONVOCATORIA A ASAMB" u="1"/>
        <s v="ELECTROMAT ESP DIA DE LA INDUSTR" u="1"/>
        <s v="GOBIERNO ENERGIA ..." u="1"/>
        <s v=" + OSCAR RINALDO ARROYO  (Q.E.P." u="1"/>
        <s v="+ DIAZ, Josefa Elina (q.e.p.d.) " u="1"/>
        <s v="+ DIONISIO APARICIO  (Q.E.P.D.) " u="1"/>
        <s v="COTEJU CONVOCATORIA GRAL ORDINAR" u="1"/>
        <s v="EDICTO CITATORIO Dra. MARISA E. " u="1"/>
        <s v="panamericano logo archivo word carpeta 09-06" u="1"/>
        <s v="CONVOCATORIA EL PROGRESO_x000d__x000a__x000d__x000a_//// CON LOGO////_x000d__x000a__x000d__x000a_WORD GUARDADO EN CARPETA DE LA FECHA" u="1"/>
        <s v="DAVID TRUJILLO" u="1"/>
        <s v="Moto NOA" u="1"/>
        <s v="EJESA CORTE DOS" u="1"/>
        <s v="GOBIERNO IGLESIA DE UQUIA...." u="1"/>
        <s v="+ Ángel Celestino Lizárraga   (Q" u="1"/>
        <s v="CON FOTO A COLOR GUARDAD EN LA CARPETA DE LA FECHA DE AT. AL CLIENTE_x000d__x000a__x000d__x000a_CON FLORES DE COLORES EL MARCO" u="1"/>
        <s v="  ------------------------- E   " u="1"/>
        <s v="+ AGUIRRE de Quispe, Martina (q." u="1"/>
        <s v="BINGO HOSPITAL.... FUND. HOSPITAL DE NIÑ" u="1"/>
        <s v="EMPRESA CONSTRUCTORA CHOFERES" u="1"/>
        <s v="CONSORCIO DE RIEGO ESP UNION CAÑ" u="1"/>
        <s v="NUEVA MAGISTER  EN AUDITORÍA GUB" u="1"/>
        <s v="VENDO DPTO. EDIFICIO GALERIA IMP" u="1"/>
        <s v="GOBIERNO PAG 3" u="1"/>
        <s v="aviso armado carpeta 31 de julio" u="1"/>
        <s v="con imagen enviado a correo de clasificados Inmaculada Madre Del Divino a color aviso para renovar" u="1"/>
        <s v="+ ROSARIO DEL VALLE RODRÍGUEZ  F" u="1"/>
        <s v="ALQUILO LOCAL 180MTS 2 Calle Bal" u="1"/>
        <s v="ANTONIA DIAZ  “Pelusita” Falleci" u="1"/>
        <s v="GOBIERNO DIA DE LA MUJER" u="1"/>
        <s v="CENTRO SOCIAL, CULTURA Y DEPORTIVO 26 DE" u="1"/>
        <s v="a color" u="1"/>
        <s v="ÁLVARO GONZALO FUNES QEDD 05/10/" u="1"/>
        <s v="E D I C T O S  Dr. JOSE A. LOPEZ" u="1"/>
        <s v="PEÑA COLORADA" u="1"/>
        <s v="AUDIFONOS ... JUDITH COLINA ..." u="1"/>
        <s v="       E D I C T O   S U C E S O" u="1"/>
        <s v="EDICTO EL Tribunal Electoral de " u="1"/>
        <s v="EMPRESA PALPALA  INCORPORA  1.- " u="1"/>
        <s v="Sucesores de Franzini y Fleming " u="1"/>
        <s v="BINGO HOSPITAL ...." u="1"/>
        <s v="+ GRACIELA BEATRIZ WAYAR   Q.E.P" u="1"/>
        <s v="/// LOGO EN CARPETA ///  MOVIMIE" u="1"/>
        <s v="EDICTO  ==== El Juzgado de 1ra. " u="1"/>
        <s v="MUNICIPALIDAD DE PALPALA - Dia d" u="1"/>
        <s v="color amarillo  por favor" u="1"/>
        <s v="Referencia Expediente N° 1101-179-C-2021" u="1"/>
        <s v="TAVERNITI  ESP COOP. DE TABAC." u="1"/>
        <s v="CARGAR CUENTA WERCHOW  MOD X3 BY" u="1"/>
        <s v="JORNADA DE ACTUALIZACION PARA ps" u="1"/>
        <s v="JUNTA ELECTORAL   ASOCIACION DE " u="1"/>
        <s v="AGRIMENSOR VILCA..." u="1"/>
        <s v="NUMANCIA - DIA DEL PADRE" u="1"/>
        <s v="+SUSANA CRISTINA NIEVA (q.e.p.d." u="1"/>
        <s v="COOPERATIVA DE FERIANTES MAYORIS" u="1"/>
        <s v="BULONERA  ROCA" u="1"/>
        <s v="+ CADIMA, Raúl Eduardo (q.e.p.d." u="1"/>
        <s v="FRANCISCO EZEQUIEL DURAN 20/10/2" u="1"/>
        <s v="JMS MAQUINAS AGROVIALES  ESP EXO" u="1"/>
        <s v="LICIT. PUB. ADQUISICION DE BIENE" u="1"/>
        <s v="+ MIRTA GRICELDA MACHACA “Nena” " u="1"/>
        <s v="COLEGIO FARMACEUTICO DIA MUNDIAL" u="1"/>
        <s v="MARTILLERA LAURA BLANCO ATENCION" u="1"/>
        <s v="(logo) AMTE ASOCIACION MUTUAL C." u="1"/>
        <s v="+ DANTE GABRIEL SEJAS  (Q.E.P.D." u="1"/>
        <s v="TASAMOS VENDEMOS  ALQUILAMOS TU " u="1"/>
        <s v="AVISO PARA RENOVAR IDEM (LOGO SEPELIOS SAN JOSE PERICO) 1464762" u="1"/>
        <s v="kARATE KIOKUSHIN - torneo" u="1"/>
        <s v="M&amp;M PRODUCTOR ASEGURADOR  SALUDO" u="1"/>
        <s v="quiero hacer publico mi agradeci" u="1"/>
        <s v="PARQUE EL SOLAR" u="1"/>
        <s v="INFO PIRQUITAS DIC 21A" u="1"/>
        <s v="+ DELIA ESTER BALCEDA TORO  (Q.E" u="1"/>
        <s v="ARMELLA CARMEN Q.E.P.D. AVISO AR" u="1"/>
        <s v="DUEÑO ALQUILA DPTO 1 dor y ampli" u="1"/>
        <s v="DUEÑO VENDE  CONSULTORIO MÉDICO" u="1"/>
        <s v="+ BERNARDO JAVIER PEREZ Q.E.P.D." u="1"/>
        <s v="DERGAM ESP. 19 DE ABRIL" u="1"/>
        <s v="AGOSTINI DES. INMOBILIAR." u="1"/>
        <s v="GIGANTOGRAFIAS PATRONAL PERICO" u="1"/>
        <s v="IMPORTANTE EMPRESA INCORPORA SEC" u="1"/>
        <s v="a color aviso para renonar (3x5) idem 1505353" u="1"/>
        <s v="GOBIERNO VACUNATE PAG. 7" u="1"/>
        <s v="GOBIERNO  LA SEGURIDAD ..." u="1"/>
        <s v="+ GABRIEL ROMAROVSKY.  (Q.E.P.D." u="1"/>
        <s v="+ GASPAR, Juan Domingo (q.e.p.d." u="1"/>
        <s v="EL RASTRO S.A. -  INFORMA - A to" u="1"/>
        <s v="FARMACIA NUESTRA SEÑORA DEL CARM" u="1"/>
        <s v="FUND. PROJUJUY AGROP. DIA DE LA " u="1"/>
        <s v="MARTILLERA LAURA BLANCO     VENT" u="1"/>
        <s v="SE NECESITA SANDWICHERO Enviar C" u="1"/>
        <s v="=======================EDICTO SU" u="1"/>
        <s v="AVAROA  (CON LOGO Y FOTO)  MUEBL" u="1"/>
        <s v="E D I C T O - - - - - - - - - - " u="1"/>
        <s v="EMPRESA MINERA  REQUIERE   PERSO" u="1"/>
        <s v="MOD 3X3 CON FOTO GUARDADA EN CARPETA DE LA FECHA." u="1"/>
        <s v="AUDIENCIA PUBLICA LEY 6137" u="1"/>
        <s v="_x000d__x000a_word en carpeta de la fecha" u="1"/>
        <s v="Expte. Nº C  137257/2019, caratu" u="1"/>
        <s v="GABRIELA LABARTA  (Q.E.P.D.)  La" u="1"/>
        <s v="MARTINEZ  JOSE “CAFA” q.e.p.d. F" u="1"/>
        <s v="PUESTO VENDEDOR Empresa del medi" u="1"/>
        <s v="FOTO EN CARPETA DE LA FECHA 24 GUTIERREZ CONSTRUCCIONES COLOR AZUL Y ROJO" u="1"/>
        <s v="      E D ICTOS=== Juzgado de Pr" u="1"/>
        <s v="ALQUILO EQUIPO COMPLETO DE CARNI" u="1"/>
        <s v="YAGUA AVISO 1" u="1"/>
        <s v="FUNDACION AS MEDICA -  SEP. 4 PA" u="1"/>
        <s v="PARTICULAR Y ÚNICA dueña vende F" u="1"/>
        <s v="A COLOR CELESTE LETRAS NEGRAS" u="1"/>
        <s v="EDICTO   - - - El Juzgado de 1ra" u="1"/>
        <s v="EDICTO SUCESORIO  Juzgado de 1ra" u="1"/>
        <s v="CAMBIAR COLOR ROJO POR AZUL _x000d__x000a__x000d__x000a_Y MODIFICAR TEXTO" u="1"/>
        <s v="==EDICTO=== En el Expte. N° D-03" u="1"/>
        <s v="GRACIAS VIRGEN DE RIO BLANCO POR" u="1"/>
        <s v="OPORTUNIDAD BANDA DE YALA  1 has" u="1"/>
        <s v="PROYAJO S.A. ESP SAN ISIDRO" u="1"/>
        <s v="M &amp;  M PRODUCTORES  ANIVERSARIO " u="1"/>
        <s v="EJESA ANIVERSARIO .... 25 AÑOS.." u="1"/>
        <s v="GUARDADO EN CARPETA DE LA FECHA 22/01/22" u="1"/>
        <s v=" CLINICA AVENIDA S.R.L.   CONVOC" u="1"/>
        <s v="&quot;CLUB EL TALAR&quot;  CONVOCATORIA La" u="1"/>
        <s v="+ MAMANI, María Hilda  (q.e.p.d." u="1"/>
        <s v="+ MAMANI, Néstor Pedro (Q.E.P.D." u="1"/>
        <s v="+ MARTINEZ, Abel Elías (q.e.p.d." u="1"/>
        <s v="+ María Luisa Toconas  (q.e.p.d." u="1"/>
        <s v="Hosteria SPa Posada del Sol" u="1"/>
        <s v="+ JOAQUÍN PEDRO UNCO       (q.e." u="1"/>
        <s v="ASOCIACION DE JUBILADOS Y PENSIO" u="1"/>
        <s v="ASOCIACIÓN DE JUBILADOS Y PENSIO" u="1"/>
        <s v="CANAL 2 PERICO PATRONAL DE PERIC" u="1"/>
        <s v="se modifico el texto para que salga mañana 27/12" u="1"/>
        <s v="AGUA POTABLE LIC.PUB." u="1"/>
        <s v="  E      D      I      C      T " u="1"/>
        <s v="FASTA  ANIVERSARIO  SAN CAYETANO" u="1"/>
        <s v="MARTILLERA VENDE Dpto.. en Palpa" u="1"/>
        <s v="TRAME S.R.L.   ANIV. SAN CAYETAN" u="1"/>
        <s v="COLEGIO FARMACEUTICO DE JUJUY .." u="1"/>
        <s v="Teodor Salbador González (q.e.p." u="1"/>
        <s v="a color los dias de color ( renovación) JAIRO NUEVO NUMERO DE CEL 0388154648931" u="1"/>
        <s v="aviso para renovar idem anuncio 1492649 CON LA CORRECCION DE COLOR A PARTIR DE LA PUBLIC. DEL 23 DE AGOSTO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UNJU - DIA DEL PROFESOR" u="1"/>
        <s v="CANDIDA AURORA ARASTORZA (q.e.p." u="1"/>
        <s v="CONSORCIO DE RIEGO  ESP AGRICULT" u="1"/>
        <s v="VENDO GOL TREND 1.6, mod. 2016, " u="1"/>
        <s v="GOBIERNO SAN FRANBCISCO ..." u="1"/>
        <s v="aviso armado por german amador" u="1"/>
        <s v="Centro Vecinal B° Gral. Armando " u="1"/>
        <s v="EMPRESA SOLICITA URGENTE MAQUINI" u="1"/>
        <s v=" Llamado a Licitación Pública  “" u="1"/>
        <s v="EDICTO SUCESORIO    = = = JUZGAD" u="1"/>
        <s v="EDICTO SUCESORIO  = = = = JUZGAD" u="1"/>
        <s v="EDICTO SUCESORIO.-  = = = JUZGAD" u="1"/>
        <s v="ESTUDIO JURIDICO SILES &amp; ASOCIAD" u="1"/>
        <s v="DRES. HUGO SOSA y CESAR MURRILLO" u="1"/>
        <s v="GOBIERNO  IMPROJUY..." u="1"/>
        <s v="CENTRO EMP. DE COMERCIO ESP PERI" u="1"/>
        <s v="JEEP ROLCAR" u="1"/>
        <s v="----------EDICTOS SUCESORIOS----" u="1"/>
        <s v="ACOSTA MUEBLES - DIA DE LA MUJER" u="1"/>
        <s v="ASOC. MUTUAL S. VALENTIN CONVOCA" u="1"/>
        <s v="CABA - DUEÑO VENDE DPTO.  1 Dorm" u="1"/>
        <s v="LIMA, Néstor (q.e.p.d.) Falleció" u="1"/>
        <s v="MOTONIVELADORA ZANELLO RU13200 a" u="1"/>
        <s v="PANADERIA Busca ·Ayudante de pan" u="1"/>
        <s v="¡FELIZ ANIVERSARIO 1994-2021” “N" u="1"/>
        <s v="EDUARDO S ALANCAY" u="1"/>
        <s v="+ EDI ALICIA VASQUEZ 1X3" u="1"/>
        <s v="COLEGIO DE ABOGADOS - ESP CS ECO" u="1"/>
        <s v="VENDO PIANO COLA C BECHSTEIN Ale" u="1"/>
        <s v="+ HUGO GASTON GOMEZ 1X3" u="1"/>
        <s v="+ PEREIRA MARIO ORLANDO q.e.p.d." u="1"/>
        <s v="3A PROPIEDADES VENDE terreno lot" u="1"/>
        <s v="ASOCIACIÓN CIVIL “HOY POR LA VID" u="1"/>
        <s v="LA MANSION - ESP VIRGEN RIO BLAN" u="1"/>
        <s v="AVISO ARMADO EN LA CARPETA DE MARIA BALZARINI DE LA FECHA 21/9/2016" u="1"/>
        <s v="PAEZ S.R.L. ESP SAN CAYETANO" u="1"/>
        <s v="INDEC CENSO NACIONAL  DE POBLACI" u="1"/>
        <s v="CON FOTO EN CARPETA_x000d__x000a_DEL DIA" u="1"/>
        <s v="ATENCIÓN VENDO BOLSAS de 50 Kgs." u="1"/>
        <s v="CLUB SPORTIVO PALERMO La Comisió" u="1"/>
        <s v="CONSEJO PROF DE CS ECON...ESP BI" u="1"/>
        <s v="+ VARGAS, Silvia Elena (q.e.p.d." u="1"/>
        <s v="FELIZ DIA PAPÁ!!! Este 19 de Jun" u="1"/>
        <s v="AGREGAR &quot;FE DE ERRATA&quot;" u="1"/>
        <s v="S.O.E.M.I_x000d__x000a_con logo SIDICATO DE OBREROS Y EMPLEADOS MUNICIPALES DEL INTERIOR_x000d__x000a_ENVIADO AL CORREO DE CLASIFICADOS" u="1"/>
        <s v="GOBIERNO TURISMO HUANCAR ..." u="1"/>
        <s v="TECNO EXPRES SRL Informa a sus a" u="1"/>
        <s v="CLUB SOCIAL Y DEPORTIVO EL CRUCE" u="1"/>
        <s v="fondo VERDE CLARO LETRAS blancas" u="1"/>
        <s v="IMPORTANTE EMPRESA  DE SALUD INC" u="1"/>
        <s v="NOR TRADING S.R.L.  DIA DEL TRAB" u="1"/>
        <s v="OPORTUNIDAD LLAVE DE NEGOCIO rub" u="1"/>
        <s v="CONC. FABIAN RODRIGUEZ  ANIVERSA" u="1"/>
        <s v="M &amp; M PRODUCTORES  SALUDO DE FIN" u="1"/>
        <s v="MARTILLERO LÓPEZ  * COMPRAS * VE" u="1"/>
        <s v="+ VELAZQUEZ, SATURNINA  Q.E.P.D." u="1"/>
        <s v="ASAMBLEA GRAL ORDINARIA SINDIC. " u="1"/>
        <s v="MASSAFRO KINESIOLOGÍA &amp; RPG RPG " u="1"/>
        <s v=" EDICTO SUCESORIO  ¬¬¬¬¬JUZGADO DE PRIME" u="1"/>
        <s v="CRISTALES JUJUY" u="1"/>
        <s v=" EDICTO  El juzgado de 1ra. Inst" u="1"/>
        <s v="CLINICA NTRA. SRA, DE FATIMA   D" u="1"/>
        <s v="LIC.PUB. OBRA NUEVO HOSPITAL OSC" u="1"/>
        <s v="YURQUINA, Ricardo José (q.e.p.d." u="1"/>
        <s v="+ ERCILIA ROMERO DE SANTOS  (Q.E" u="1"/>
        <s v="+ JOSE LUIS GARNICA  (Q.E.P.D)  " u="1"/>
        <s v="URGENTE VENDO O PERMUTO (prefere" u="1"/>
        <s v="MAGMA CONSTRUCCIONES ..." u="1"/>
        <s v="JUJUY HIERROS... ESP FATIMA" u="1"/>
        <s v="DRA ADERA  repite mismo aviso" u="1"/>
        <s v="LIC.PUB. Nº 07 /2021 MIN.DES.HUM" u="1"/>
        <s v="LOS PERALESZona Escuela VENDO CA" u="1"/>
        <s v="////CON FOTO EN CARPETA DE LA FE" u="1"/>
        <s v="A. CANTO Y DANZAS - ESCC- ARTÍST" u="1"/>
        <s v="color del logo, hay que recortar y poner en azul gracias !!!!!!!!!!!!!!" u="1"/>
        <s v="ELECTROMAT ESP GYE" u="1"/>
        <s v="MARTILLERA LAURA BLANCO AVISO AL" u="1"/>
        <s v="RUEDA, Augusto (q.e.p.d.) Fallec" u="1"/>
        <s v="leyenda mañana dia 15 y el dia 16 leyenda HOY !!" u="1"/>
        <s v="CORRALON AVENIDA ESP ANUARIO" u="1"/>
        <s v="+ FOSBERY, Aníbal (q.e.p.d.) Fal" u="1"/>
        <s v="+ HORACIO VICTOR ALVAREZ GARCIA " u="1"/>
        <s v="CATEDRAL BASILICA Jujuy Parroqui" u="1"/>
        <s v="+ EDGAR CABALLERO Q.E.P.D. Se du" u="1"/>
        <s v="Q LOCURA + PAGINA ESPECIAL + INF" u="1"/>
        <s v="sagrado corazon de jesus" u="1"/>
        <s v="(LOGO)    *AGUADO VENDE  COUNTRY" u="1"/>
        <s v="/// CON LOGO /// Municipalidad d" u="1"/>
        <s v="ASOCIAC. DE SANMARINENS  ESP EXO" u="1"/>
        <s v="AMODIL...." u="1"/>
        <s v="MODIFICA TEXTO" u="1"/>
        <s v="APACHEta . armando marcelo" u="1"/>
        <s v="+ HECTOR OMAR RUFINO  Q.E.P.D. F" u="1"/>
        <s v="BUSCO SOCIO CAPITALISTA. EMPRESA" u="1"/>
        <s v="LUBRINOR-  ESP POLICIA" u="1"/>
        <s v="CONSEJO DE FARMACEUTICOS JUJUY" u="1"/>
        <s v="+ ARIAS, Silvia Marcela  (q.e.p." u="1"/>
        <s v="MICHEL GRUPO ASEGURADOR  CELEBRA" u="1"/>
        <s v="foto en carpeta de la fecha 2 de mayo  VICTOR ANTONIO CALDERON 2x2 color" u="1"/>
        <s v="TRAME - ZAFRA" u="1"/>
        <s v="///LOGO/// AUTOMOTORES  Uriondo " u="1"/>
        <s v="ADIESTRAMIENTO CANINO" u="1"/>
        <s v="+ BURGOS JOSE EDUARDO  q.e.p.d. " u="1"/>
        <s v="+ JORGE, GUSTAVO  (q.e.p.d.) Fal" u="1"/>
        <s v="+ JOSE RAUL MAZA  (q.e.p.d.) Fal" u="1"/>
        <s v="ALEMAR  CELEBRACIÓN EN HONOR A L" u="1"/>
        <s v="EXTINTORES Y SERV. EMSA  ESP NAV" u="1"/>
        <s v="LLAMADO A LICITACIÓN SAN ANTONIO" u="1"/>
        <s v="ACOSTA MUEBLES ESP EMPRES." u="1"/>
        <s v="TABACO BOUTIQUE ESP SAN MARINO" u="1"/>
        <s v="+ BASIGALUPO, Luis (q.e.p.d.) Fa" u="1"/>
        <s v="BUSCO EMPLEADO/A  RUBRO COMERCIO" u="1"/>
        <s v="FOTO GUARDAD EN LA CARPETA DE LA FECHA DE AT. AL CLIENTE_x000d__x000a__x000d__x000a_CON RECUADRO DE COLOR Y UN LINDO DETALLE." u="1"/>
        <s v="&quot;Se necesita vendedor full time " u="1"/>
        <s v="EJESA CUADRO TARIFARIO ..." u="1"/>
        <s v="+ CARDOZO, Antenor (q.e.p.d.) Fa" u="1"/>
        <s v="AVISO 5X3 MOD" u="1"/>
        <s v="ROLCAR S.A. ..." u="1"/>
        <s v="DM - Cortinas y Sistemas  15/9 b" u="1"/>
        <s v="                   CENTRO VECINA" u="1"/>
        <s v="solo para facturar." u="1"/>
        <s v="ADRIAN BARILARI EN JUJUY  pUBLIC" u="1"/>
        <s v="CLUB ATLETICO VILLA SAN MARTIN  " u="1"/>
        <s v="ELECTROMAT ESP APPACE" u="1"/>
        <s v="+ HURTADO JUAN DOMINGO DE LUJAN.      Q." u="1"/>
        <s v="CENTRO VECINAL DE UQUIA Domicili" u="1"/>
        <s v="EMPRESA CONSTRUCURA SOLICITA: ME" u="1"/>
        <s v="L-GANTE - BANNER WEB PAGINA ESPE" u="1"/>
        <s v="MAIMARA  + JOSE ANGEL MAMANI    " u="1"/>
        <s v="+ CICUTO, Graciela Noemí “Gachi”" u="1"/>
        <s v="aviso armado carpeta de la fecha" u="1"/>
        <s v="a color ( aviso para renovación )_x000d__x000a_Idem aviso 1462390" u="1"/>
        <s v="Perico - Perico alquilo locales comerciales negrita_x000d__x000a_av. la bandera  y med. color rojo _x000d__x000a_calle rep. de siria y med. color violeta _x000d__x000a_ofic.  y cel. negro notable" u="1"/>
        <s v="+CARMEN ROSA CARRAZANA DE CACERE" u="1"/>
        <s v="GARELY SACI ESP SAN PEDRO" u="1"/>
        <s v="DOVIS DIESEL ESP TALLERES DE PER" u="1"/>
        <s v="NUEVE DE AREA  ANIV. B° 9 DE JUL" u="1"/>
        <s v="DUEÑO VENDE TOYOTA HILUX SRV cue" u="1"/>
        <s v="IMP EMP. EN CREC. BUSCA COMMUNIT" u="1"/>
        <s v="COVID DISTANCIAMIENTO SOCIAL - C" u="1"/>
        <s v="SEVERINO  *VENDO*  100 HAS 388-4" u="1"/>
        <s v="SEVERINO  *VENDO*  220 HAS 388-4" u="1"/>
        <s v="VIOBAL ADHESION CLINICA DE FATIM" u="1"/>
        <s v="EJESA CORTE UNO" u="1"/>
        <s v="+ IBAÑEZ, Juana Josefa (q.e.p.d." u="1"/>
        <s v="+ ADRIANA GUTIERREZ ORTIZ  (q.e." u="1"/>
        <s v="VIAP BUSQUEDA PERSONAS ELECT. SO" u="1"/>
        <s v="+ JUAN RAMON NARVAEZ   q.e.p.d. " u="1"/>
        <s v="+ TEJERINA, Antonia “Mery” (q.e." u="1"/>
        <s v="-EDICTOS--  Ref. Expte. N° D - 0" u="1"/>
        <s v="ASOCIAC. DE SANMARINENS  ESP AGR" u="1"/>
        <s v="E D I C T O S  - - - EL JUZGADO " u="1"/>
        <s v="foto en carpeta de la fecha borde celeste" u="1"/>
        <s v="Contreras SA" u="1"/>
        <s v="CANAL 2 PERICO" u="1"/>
        <s v="CAMARA PYME - DIA DE LA MUJER" u="1"/>
        <s v="+ SOLANO, Hilario (q.e.p.d.) Fal" u="1"/>
        <s v="EL MOJON EMPANADAS ESP. GASTRONO" u="1"/>
        <s v="La Asociación Civil sin fines de" u="1"/>
        <s v="MARTINEZ de Miranda, Sara (q.e.p" u="1"/>
        <s v="+ LUIS ADRIAN VILLEGA  Q.E.P.D. " u="1"/>
        <s v="+ TEODORA MAXIMA CRUZ q.e.p.d. F" u="1"/>
        <s v=" GOBIERNO DE LA PROVINCIA DE JUJ" u="1"/>
        <s v="INFORMACIÓN DE PRENSA MES DE DIC" u="1"/>
        <s v="CLUB PARQUE ROCA - 70 AÑOS" u="1"/>
        <s v="+ FRANCISCO OSCAR PAPPALARDO   (" u="1"/>
        <s v="+ GLADYS DEL VALLE RODRÍGUEZ q.e" u="1"/>
        <s v="AVISO ARMADO  TOLABA ELVIO" u="1"/>
        <s v="+ MARTINEZ, Justina  Se durmió e" u="1"/>
        <s v="CONVOCATORIA La comisión ejecuti" u="1"/>
        <s v="DUEÑO VENDE  PROPIEDAD 2 PLANTAS" u="1"/>
        <s v="URZAGASTI MARIA AURORA  AVISO AR" u="1"/>
        <s v="OSPE...." u="1"/>
        <s v="TOMAS GEREMIAS CHOQUE" u="1"/>
        <s v=" Habiendo quedado firme la RESOL" u="1"/>
        <s v="+ TERESA MORALES DE SAAVEDRA q.e" u="1"/>
        <s v="+ VERA, Susana Andrea Q.E.P.D. F" u="1"/>
        <s v="--EDICTO DE NOTIFICACION--- -Dr." u="1"/>
        <s v="cargar cuenta Werchow RAFAEL CAL" u="1"/>
        <s v="ELECTRICIDAD JUJUY... que la ben" u="1"/>
        <s v="+ Serrano, María Tránsita      +" u="1"/>
        <s v="DUEÑO VENDE CASA B° ALTO COMEDER" u="1"/>
        <s v="con foto enviada por wpp" u="1"/>
        <s v="MUEBLES CHAÑAR ESP GIMNASIA" u="1"/>
        <s v="MUNI JUJUY" u="1"/>
        <s v="DERGAM ESP. EMPRES." u="1"/>
        <s v=" -EDICTOS-  Ref. Expte. Nº D-027" u="1"/>
        <s v="+ PROF. LIDIA URZAGASTE  (Q.E.P." u="1"/>
        <s v="JMS MAQUINAS AGROVIALES ESP ANUA" u="1"/>
        <s v="AVISO PARA ARMAR EN CARPETA DE NOTABLES DE LA FECHA" u="1"/>
        <s v="NUMANCIA LAMADRID ESP 23 DE AGOS" u="1"/>
        <s v="MATILDE GLADIS PANTOJA" u="1"/>
        <s v="+ CACHI EVARISTO  Q.E.P.D. 26/10" u="1"/>
        <s v="MARTESA TOURS SRL.  ANIV 42 DIAR" u="1"/>
        <s v="FINCAS DE LAVAYEN S.A." u="1"/>
        <s v="COLEGIO DE INGENIEROS CAMBIO DE " u="1"/>
        <s v="EDICTO La Dra. María del Huerto " u="1"/>
        <s v="GOBIERNO PASE SANITARIO DOS" u="1"/>
        <s v="   RIOS,  Ana María (q.e.p.d.) F" u="1"/>
        <s v="TEXTO CARP. 08-03 WORD" u="1"/>
        <s v="TU NUEVA CIUDAD ESP POLICIA" u="1"/>
        <s v="COLEGIO DE KINESIOLOGOS CONVOCAT" u="1"/>
        <s v="CONVOCATORIA A ASAMBLEA  La Fund" u="1"/>
        <s v="+ SERGIO VALDIVIEZO q.e.p.d. 14 " u="1"/>
        <s v="BUSCO CASA O LOCAL COMERCIAL  CO" u="1"/>
        <s v="VILLANUEVA - TORRE MURGUIA" u="1"/>
        <s v="GOBIERNO NORTE A SEGUIR   GOBIER" u="1"/>
        <s v="MADERERA TIERRA COLORADA DIA DEL" u="1"/>
        <s v="SANATORIO LOS LAPACHOS..." u="1"/>
        <s v="MIGUEL ALBERTO CARLOS  2X3 ARMAD" u="1"/>
        <s v="LOGO SEPARAR CON LINEA DEL TEXTO INICIAL, LA PALABRA VENTA CON SUBRAYADO  SIN NEGRITA Y MISMO TAMAÑO QUE LAS DEMAS LETRAS" u="1"/>
        <s v="ACOSTA MUEBLES ESP VIRGEN" u="1"/>
        <s v="CONVOCATORIA De acuerdo a las di" u="1"/>
        <s v="CRISTINA DEL VALLE SOSA q.e.p.d." u="1"/>
        <s v="EDICTO SUCESORIO  ------“JUZGADO" u="1"/>
        <s v="No soy Profeta, Ni hijo de Profe" u="1"/>
        <s v="PAREDES MAYORISTA  ANIV. CLINICA" u="1"/>
        <s v="VENDO RENAULT CLIO 2008  impecab" u="1"/>
        <s v="CINE ALTOS HORNOS ZAPLA  CARTELE" u="1"/>
        <s v="ESTUDIO OPTICO JURE DIA DEL OPTI" u="1"/>
        <s v="ARMAR LO MAS PARECIDO POSIBLE POR FAVOR_x000d__x000a__x000d__x000a_QUE LA FOTO VAYA DEL MISMO LADO DE LA TARJETA ANTERIOR.... GRACIAS FRANCIS" u="1"/>
        <s v="ROSA M ALBISETTI Y FLIA" u="1"/>
        <s v="+ FLORENTINO CULCUY  Q.E.P.D. Fa" u="1"/>
        <s v="IMPORTANTE EMPRESA SOLICITA  “SO" u="1"/>
        <s v="MUNICIPALIDAD DE PALPALÁ  ANIV. " u="1"/>
        <s v="CENTRO EMPLEADO DE COMERCIO" u="1"/>
        <s v="JOSEFA MAIZARES MOD 1X3 BYN" u="1"/>
        <s v="+  TEJERINA, Lidia Beatriz  (Q.E" u="1"/>
        <s v="+ WALTER ALVAREZ   (q.e.p.d.) Fa" u="1"/>
        <s v="idem aviso 1485243" u="1"/>
        <s v="+ IVANA JAQUELINA TEVES DE ZUÑIG" u="1"/>
        <s v="EDICTO TRIBUNAL DE FAMILIA - SAL" u="1"/>
        <s v="GOBIERNO 25 DE MAYO ...." u="1"/>
        <s v="+ BAZAN, José  Q.E.P.D. Falleció" u="1"/>
        <s v="AGRADECIMIENTO  Familias Palomar" u="1"/>
        <s v=" FIAT ARGO  FULL modelo HGT moto" u="1"/>
        <s v="+ CARRIZO LUIS ARMANDO  Falleció" u="1"/>
        <s v="OSCAR ANTONIO PEREZ  1X3" u="1"/>
        <s v="OSPIDA - DIA DE LA MUJER" u="1"/>
        <s v="GOBIERNO CINE DE LAS ALTURAS..." u="1"/>
        <s v="CONSORCIO PRO-VIVIENDAS MONTERRI" u="1"/>
        <s v="MIGUEL CESAR MAIGUA (Q.E.P.D.) S" u="1"/>
        <s v="Venta conjunta o Permuto por veh" u="1"/>
        <s v="PITY FERNANDEZ" u="1"/>
        <s v="+ BENITEZ, PASTOR q.e.p.d. Falle" u="1"/>
        <s v="+ BERNARDO ALDANA q.e.p.d. Falle" u="1"/>
        <s v="FARMACIA SAN RAFAEL PATRONAL DE " u="1"/>
        <s v="CONVOCATRIA_x000d__x000a__x000d__x000a_FEDERACIÓN DE ENTIDADES MUTUALISTAS DE LA PROVICIA DE JUJUY_x000d__x000a__x000d__x000a__x000d__x000a_////WORD EN CARPETA DE LA FECHA/////" u="1"/>
        <s v="VA COMO NUEVO !!!!" u="1"/>
        <s v="aviso armado tapia carmen" u="1"/>
        <s v="                        EDICTO S" u="1"/>
        <s v="EDICTO  S U C E S O R I O       " u="1"/>
        <s v="+ GUTIERREZ, ALEJANDRO OMAR  18/" u="1"/>
        <s v="FUND. PROJUJUY AGROP ESP EXODO J" u="1"/>
        <s v="Ha llegado a esta ciudad los cur" u="1"/>
        <s v="MPRESA CONSTRUCTORA SOLICITA : C" u="1"/>
        <s v="GFOBIERNO GIURSU ..." u="1"/>
        <s v="SE INCORPORA  CARPINTERO DE MELA" u="1"/>
        <s v="VENDO MAUSOLEO CEMENTERIO EL SAL" u="1"/>
        <s v="DENTAL RED ESP ODONT" u="1"/>
        <s v="FORD ESCOSPORT Mod. 2013 color n" u="1"/>
        <s v="+ FEDERICO CLAPIER (Q.E.P.D.) Se" u="1"/>
        <s v="E  D  I  C  T  O ---- DR. JUAN P" u="1"/>
        <s v="                    E D I C T O " u="1"/>
        <s v="PAEZ S.R.L." u="1"/>
        <s v="+ FERMIN BARCONTE Q.E.P.D. Falle" u="1"/>
        <s v="CANAL  4  PROGRAMACION..." u="1"/>
        <s v="CONVOCATORIA EL PROGRESO  //// C" u="1"/>
        <s v="PH GESTION INMOBILIARIA  VENDE! " u="1"/>
        <s v="VENDO CACHORROS  Rotweiler, 40 d" u="1"/>
        <s v="Vendo Retropala  4x4. Tratar al " u="1"/>
        <s v="////CON LOGO///_x000d__x000a__x000d__x000a_APOC_x000d__x000a_///WORD GUARDADO EN CARPETA DE LA FECHA///" u="1"/>
        <s v="ASOCIAC. DE SANMARINENS. ESP PER" u="1"/>
        <s v="SANATORIO  LOS LAPACHOS DIA DE L" u="1"/>
        <s v="SANATORIO LOS LAPACHOS  ADHESION" u="1"/>
        <s v="GARELY SACI ESP SAN MARINO" u="1"/>
        <s v="+BRAULIO JUAN RIVERO  Falleció e" u="1"/>
        <s v="colegio de psicopedagogos de juj" u="1"/>
        <s v="COLEGIO MÉDICO - DIA DEL trabaja" u="1"/>
        <s v="RIO BLANCO VENDO casa prefabricada c/ te" u="1"/>
        <s v="con foto color -foto carpeta del dia 24-02" u="1"/>
        <s v="ASOCIACIONM DE GESTORES DEL AUTO" u="1"/>
        <s v="EL COLEGIO DE LICENCIADOS  EN OB" u="1"/>
        <s v="PANADERIA SAN MARTIN ESP CARENA" u="1"/>
        <s v="ALLIANCE ONE  ESP COOP. DE TABAC" u="1"/>
        <s v="YOLY POLLERIA - ESP SAN ISIDRO" u="1"/>
        <s v="+ DR. CRUZ ANTUNEZ, Daniel  Q.E." u="1"/>
        <s v="GOBIERNO JUJUY PREVENIR ES LA UN" u="1"/>
        <s v="HIPERPLACA ESP. ARQUITECTO Y URB" u="1"/>
        <s v="CIELO Y TIERRA" u="1"/>
        <s v="RUTA 9 ESP GYE" u="1"/>
        <s v="SYSTEMS ARGENTINA S.A." u="1"/>
        <s v="ASOCIACION JUJEÑA DE CIRUGIA  CO" u="1"/>
        <s v="MUNICIPALIDAD DE SAN PEDRO - INF" u="1"/>
        <s v="INFORMACIÓN DE PRENSA MES DE abr" u="1"/>
        <s v="con foto (visible) a color enviado al correo de obituario (Pablo)_x000d__x000a__x000d__x000a_fondo celeste letras negras (visible)" u="1"/>
        <s v="SEVERINO  VENDO  100 HAS PERICO " u="1"/>
        <s v="aviso carp. 08-03" u="1"/>
        <s v="SUETRA ESP. ANUARIO" u="1"/>
        <s v="EFECTIVO EN EL ACTO CON TARJETA " u="1"/>
        <s v="NEXAR VENDE TERRENOS Almona 430 " u="1"/>
        <s v="FERRE -. MAT" u="1"/>
        <s v="EMDEI secundario - Prop. Educati" u="1"/>
        <s v="GIUPPONI Leopoldo   (Q.E.P.D.) F" u="1"/>
        <s v="VENDO CASA  EXC. UBIC. S/CALLE L" u="1"/>
        <s v="GIGANTOGRAFIAS ESP ANUARIO" u="1"/>
        <s v=" Ítalo Salvador Cuva MITALO SALV" u="1"/>
        <s v="ANA MARÍA BERBEL (Q.E.P.D.).  Fa" u="1"/>
        <s v="FCIA. NUESTRA SRA. DEL CARMEN .A" u="1"/>
        <s v="GOBIERNO TURISMO -  SAN FRANCISC" u="1"/>
        <s v="SANTERIA Y REGALERIA SAN EXPEDIT" u="1"/>
        <s v="BEATRIZ DE LOS ANGELES SLY 01/08" u="1"/>
        <s v="BLOTTING /BONIF PLAN 3X1 OP 2789" u="1"/>
        <s v="CENTRO GAUCHO TRADICIÓN CONVOCAT" u="1"/>
        <s v="CENTRO VECINAL DE UQUIA CONVOCAT" u="1"/>
        <s v="CENTRO VECINAL LA LOMA  CONVOCAT" u="1"/>
        <s v="ESTEFANIA RAMOS  1X3" u="1"/>
        <s v="MUNI PALPALA - DIA DE LA MUJER" u="1"/>
        <s v="MUNIC. PALPALA día de la mujer" u="1"/>
        <s v="COLEGIO DE PROFESIONALES EN CIEN" u="1"/>
        <s v="MONTERRICO + SOFIA TOLABA DE MUR" u="1"/>
        <s v="SAN EXPEDITO  TE PIDO POR LA SAL" u="1"/>
        <s v="Ledesma SAAI - ZAFRA" u="1"/>
        <s v="colegio farmaceutico de jujuy..." u="1"/>
        <s v="EDICTO  - DRA. ELBA RITA CABEZAS" u="1"/>
        <s v="EDICTOS . Dra. ELBA RITA CABEZAS" u="1"/>
        <s v="AVISO ARMADO LIDIA CRUZ" u="1"/>
        <s v="PARRILLADA EL PARADOR  AVISO ARM" u="1"/>
        <s v="YAGUA AVISO 2" u="1"/>
        <s v="INFOMERCIAL UCSE - AFIP" u="1"/>
        <s v="GARELY SACI ESP COOP. DE TABAC." u="1"/>
        <s v="+ RAMOS, ESTER Q.E.P.D. Falleció" u="1"/>
        <s v="EDICTO  --- El Tribunal Electora" u="1"/>
        <s v="TAZADOR PROFESIONAL (Aviso armado)" u="1"/>
        <s v="SUBTE" u="1"/>
        <s v="GOBIERNO ISJ  UNA NUEVA FORMA DE" u="1"/>
        <s v="+ ESPERANZA GARCIA  1X3" u="1"/>
        <s v="NUMANCIA DIA DE LA MADRE" u="1"/>
        <s v="ALQUILO  DPTO BELGRANO 550 EDIFI" u="1"/>
        <s v="AÑOS LUZ  HORIZONTE ESP LENARDUZ" u="1"/>
        <s v=" letras negrita fondo claro verde o rosa" u="1"/>
        <s v="FONDO BLANCO LESTRAS ROJAS idem anuncio 1495367" u="1"/>
        <s v="RIVAROLA - PERÓN" u="1"/>
        <s v="VENDO  RENAULT SANDERO  Stepway " u="1"/>
        <s v="FONDO NEGRO PARA LA FRASE &quot;URGENTE VENDO TERRENO SANTA RITA&quot;._x000d__x000a_FONDO NEGRO PARA NUMERO DE TELEFONO ." u="1"/>
        <s v="UNJU 9 DE JULIO" u="1"/>
        <s v="UNO EJESA CORTE..." u="1"/>
        <s v="GOBIERNO TURISMO CUSIO CUSI..." u="1"/>
        <s v="GOBIERNO EDUCACION PUBLICA Y DE " u="1"/>
        <s v="Geo-Topo A.Jose L. Noguera" u="1"/>
        <s v="TRES CRUCES La primavera vez 3 p" u="1"/>
        <s v="5 GOBIERNO DE JUJUY" u="1"/>
        <s v="CLUB ATLETICO  CIUDAD DE NIEVA C" u="1"/>
        <s v="FARMACIA DEL BARRIO - dia del em" u="1"/>
        <s v="+ SEBASTIAN ALEJANDRO GASTON  1X" u="1"/>
        <s v="+ TERESA HINOJOSA q.e.p.d. Falle" u="1"/>
        <s v="FELIZ DIA DEL ABOGADO Hoy 29 de " u="1"/>
        <s v="MUNDO MAGICO  CELEBRACIÓN DE LA " u="1"/>
        <s v="COMISIÓN DIRECTIVA DE LA ESCUELA" u="1"/>
        <s v="MUNICIPALIDAD DE PALPALÁ  ANIVER" u="1"/>
        <s v="DESARROLLO INMOBILIARIA SANTA MA" u="1"/>
        <s v="AUDIENCIA PUBLICA SENADO DE LA N" u="1"/>
        <s v="EMPRESA MINERA REQUIERE PERSONAL" u="1"/>
        <s v="GOBIERNO TURISMO - FARALLON- . ." u="1"/>
        <s v="HECTOR HUGO SOSA QEPD Te fuiste " u="1"/>
        <s v="CAMBIA JUJUY  DOS.." u="1"/>
        <s v="URGENTE VENDO TERRENOS  Medidas " u="1"/>
        <s v="ALCONOR S.A." u="1"/>
        <s v="CONSULTORIO DE PODOLOGIA GABRIEL" u="1"/>
        <s v="+ CARMEN ROSA ZAMBRANA q.e.d.p. " u="1"/>
        <s v="+ CHAVES, GREGORIO  (q.e.p.d.)  " u="1"/>
        <s v="============================EDIC" u="1"/>
        <s v="SEGUNDINA ARAMAYO" u="1"/>
        <s v="AVISO ENVIADO _x000d__x000a_AGREGAR !" u="1"/>
        <s v=" + Olga M.Alarcon (q.e.p.d.) Fal" u="1"/>
        <s v="BALDI FIAMBRES ANUARIO" u="1"/>
        <s v="SINDICATO DE LUZ Y FUERZA" u="1"/>
        <s v="+ ALICIA PLAZA, FLOR ABALOS, MAR" u="1"/>
        <s v="HEREDIA, Dalmiro Ángel (q.e.p.d." u="1"/>
        <s v="FM JUJUY  RADIOS..." u="1"/>
        <s v="GOBIERNO ORGULLO GAY ..." u="1"/>
        <s v="INGENIO RIO GRANDE  INVITA ...." u="1"/>
        <s v="+ ANGEL FERNANDO LOBO “NANDO” Q." u="1"/>
        <s v="+ ARAMAYO DE MARTINEZ, SUSANA DE" u="1"/>
        <s v="LIGA DE FUTBOL DE VETERANOS  SAN" u="1"/>
        <s v="MINISTERIO DE DESARROLLO HUMANO " u="1"/>
        <s v="+ MIRIAM RAQUEL LUNA  Falleció e" u="1"/>
        <s v="VENDO CACHORROS  Rotweiler, 45 d" u="1"/>
        <s v="Ledesma S.A.A.I." u="1"/>
        <s v="SERVICIOS SOCIALES FUTURO...." u="1"/>
        <s v="NECESITO LIC. en Adm. De Empresa" u="1"/>
        <s v="TERRENOS RUTA PROV. N° 9   FRENT" u="1"/>
        <s v="AVISO NUEVO EN CARPETA DE NOTABLES DE LA FECHA_x000d__x000a__x000d__x000a_para el 4 5 y 6" u="1"/>
        <s v="CONVOCATORIA  CENTRO VECINAL “EL" u="1"/>
        <s v="FARMACIA SAN CAYETANO   DÍA DEL " u="1"/>
        <s v="PARTICULAR VENDE FORD FOCUS, Mod" u="1"/>
        <s v="ORACION A SAN EXPEDITO M i San E" u="1"/>
        <s v="BUSCO MUCAMA con experiencia com" u="1"/>
        <s v="CLUB ATLETICO ARGENTINO La Comis" u="1"/>
        <s v="DUEÑO ALQUILA DPTO. 1 Dor. con b" u="1"/>
        <s v="ESCUELA PRIMARIA N°388 “JUAN GAL" u="1"/>
        <s v="JOSE LUIS CORO Y ASOCIADOS (MP 1326)" u="1"/>
        <s v="CANAL 4 UNICABLE..." u="1"/>
        <s v="+ HERMOGENES SALINAS  (Q.E.P.D.)" u="1"/>
        <s v="ALLIANCE ONE  ESP. CAMAR DEL TAB" u="1"/>
        <s v="E D I C T O  S U C E S O R I O -" u="1"/>
        <s v="ME OFREZCO  COMO CHOFER (pick up" u="1"/>
        <s v="DON AMARANTO _x000d__x000a_////AVISO ARMADO/////" u="1"/>
        <s v="============== = = = = = =  EDIC" u="1"/>
        <s v="CLUB ATLETICO SANTA ROSA CONVOCA" u="1"/>
        <s v="EDICTOS  Ref. Expte. N° D-034001" u="1"/>
        <s v="CLUB DE PESCADORES_x000d__x000a__x000d__x000a_CON LOGO- WORD EN CARPETA EN CARPETA DE LA FECHA" u="1"/>
        <s v="LAURA SEBON" u="1"/>
        <s v="JESÚS HIJO DE DIOS TIENE PODER. " u="1"/>
        <s v="CLUB ATLETICO ARGENTINO  CONVOCA" u="1"/>
        <s v="COLEGIO MODELO PALPALÁ  ANIVERSA" u="1"/>
        <s v="CUADRO TARIFARIO EJESA ...." u="1"/>
        <s v="+ HUANCO, Norma Beatriz .  (q.e." u="1"/>
        <s v="CLUB DE CAMPO “LA POSTA”  VENDO " u="1"/>
        <s v="MUNIC. JUJUY - APERTURA SESIÓN C" u="1"/>
        <s v="//// LILA/////  VILCA, Natalia D" u="1"/>
        <s v="AVISO ARMADO EN CARPETA DE LA FE" u="1"/>
        <s v="MARTILLERA LAURA BLANCO  VENTA D" u="1"/>
        <s v="+ MIRIAM RAQUEL LUNA  1X3" u="1"/>
        <s v="CON IMAGEN DE SAN ROQUE a color" u="1"/>
        <s v="COLEGIO DE ABOGADOS DIA MAGISTRA" u="1"/>
        <s v="COLEGIO DE ABOGADOS ESP MAGISTRA" u="1"/>
        <s v="COLEGIO MAGISTRADOS ESP MAGISTRA" u="1"/>
        <s v="FOTO EN CARPETA DE LA FECHA QUE SALGA CUERPO ENTERO  :)" u="1"/>
        <s v="DOS  EJESA CORTE..." u="1"/>
        <s v="+ LEGUIZAMON de Iriarte, Marta C" u="1"/>
        <s v="E  D  I  C  T  O S  - - - El Dr." u="1"/>
        <s v="SARA M. de MIRANDA q.e.p.d. 27-0" u="1"/>
        <s v="ASAMBLEA GENERAL ORDINARIA La as" u="1"/>
        <s v="COOP. DE TABACALEROS DE JUJUY CO" u="1"/>
        <s v="EDICTOS JUDICIALES ---DR. DIEGO " u="1"/>
        <s v="F.G.F. TRAPANI S.A.       Inform" u="1"/>
        <s v="RUBEN RIVAROLA 25 DE MAYO" u="1"/>
        <s v="+ MARIA ESTANISLADA ARROYO VDA D" u="1"/>
        <s v="YOLANDA MALDONADO DE JORDÁ      " u="1"/>
        <s v="CONSORCIO DE RIEGO ANUARIO" u="1"/>
        <s v="EDICTO  - — - El Juzgado de 1ra." u="1"/>
        <s v="AVISO LEGAL  BANCO CNETRAL DE LA" u="1"/>
        <s v="LOCAL CENTRICO (NECOCHEA 438-FRE" u="1"/>
        <s v="CONCEJO DELIBERANTE   -  PACHAMA" u="1"/>
        <s v="EDICTO  ===El Juzgado de 1º Instancia en" u="1"/>
        <s v="ADICEM" u="1"/>
        <s v="--------------  E  D  I  C  T  O" u="1"/>
        <s v="Fotocopiadora y Libreria San Mar" u="1"/>
        <s v="+ SABINA CONCEPCION ORTEGA      " u="1"/>
        <s v="PARTICULAR VENDE CORSA II 2008  " u="1"/>
        <s v="CENTRO VECINAL DEL B° EL PARAÍSO" u="1"/>
        <s v="La Asociación Civil “LOS LAPACHO" u="1"/>
        <s v="BETEL DISTRIBUCIONES S.R.L" u="1"/>
        <s v="+ FIGUEROA, Jorge Washington (q." u="1"/>
        <s v="+ GREMASQUI DE LOBO, Placida (q." u="1"/>
        <s v="Anuncio vinculado con: 1516756 2 ." u="1"/>
        <s v="AVISO ARMADO GRUAS SAN BLAS" u="1"/>
        <s v="COLEGIO MÉDICO - DIA DEL INGENIE" u="1"/>
        <s v="CORO GARZON, América Roxana (q.e" u="1"/>
        <s v="EDICTO SUCESORIO.-  - - -  EL JU" u="1"/>
        <s v="PROTOCOLOS Cerámica Clínicos y T" u="1"/>
        <s v="ISJ  COLECTA DE SANGRE..." u="1"/>
        <s v="+ LAVAYEN, Reynado Diomedes (q.e" u="1"/>
        <s v="CENTRO EMPLEADOS DE COMERCIO DIA" u="1"/>
        <s v="EDICTO ---Dra. MARISA E. RONDON " u="1"/>
        <s v="FARMACIA SAN CAYETANO  ANIV. CLI" u="1"/>
        <s v="IMPRENTA ZISI..." u="1"/>
        <s v="CONVOCATORIA  La Comisión de la " u="1"/>
        <s v="EDICTO SUCESORIO  ------JUZGADO " u="1"/>
        <s v="JUNTA ELECTORAL  Unidad Partidar" u="1"/>
        <s v="aviso con logo, en carpeta de la fecha 12-10-2018_x000d__x000a__x000d__x000a_Estudio Juridico Siles &amp; Asociados- 12-10-2018_x000d__x000a__x000d__x000a_logo en margen izquierdo, gracias" u="1"/>
        <s v="+ MAGDALENA PEPE  Q.E.P.D.  Fall" u="1"/>
        <s v="- -EDICTOS- -  Ref. Expte. Nº D-" u="1"/>
        <s v="E D I C T O S ---JUZGADO DE PRIM" u="1"/>
        <s v="EDICTOS El Dr. Esteban Arias Cau" u="1"/>
        <s v="SEX  SHOP RINDA MAS Necochea 338" u="1"/>
        <s v="TERESA ZARATE  1X3" u="1"/>
        <s v="  D   I   C   T   O   S ====El J" u="1"/>
        <s v="ATENCION  DUEÑO VENDE  LOCAL COM" u="1"/>
        <s v="EDICTO SUCESORIO   --EL  JUZGADO" u="1"/>
        <s v="OPORTUNIDAD DUEÑO VENDE TERRENO " u="1"/>
        <s v="+ SEBASTIÁN AGUILERA  (q.e.p.d.)" u="1"/>
        <s v="EMPRESA ENERGIA BUSCA - GERENTE " u="1"/>
        <s v="OVANDO, Vidal (q.e.p.d.) Se durm" u="1"/>
        <s v="PASCUAL RICARDO LLAMPA (Q.E.P.D." u="1"/>
        <s v="+ TELL, Rosa Angélica (q.e.p.d.)" u="1"/>
        <s v="ASAMBLEA GENERAL ORDINARIA La Co" u="1"/>
        <s v="ESCRIBANIA TORRES  ANIV. 42 EL T" u="1"/>
        <s v="MRD FERRETERIA INDUSTRIAL ..." u="1"/>
        <s v="(PAG. 9 )Gobierno de JUJUY   MIS" u="1"/>
        <s v="CONSEJO DE MEDICOS DE LA PROVINC" u="1"/>
        <s v="EL CENTRO RESIDENTES BARREÑO (Dp" u="1"/>
        <s v="GOBIERNO ANIVERSARIO FALLEC. LIB" u="1"/>
        <s v="aniversario del Diario El Tribuno de Jujuy _x000d__x000a__x000d__x000a_///LOGO EN CARPETA DE LA FECHA////" u="1"/>
        <s v="SINDICATO DOCENTES PRIVADOS 3" u="1"/>
        <s v="EL CAMPEON LIBRERIA ESP APPACE" u="1"/>
        <s v="CONCEJO DELIBERANTE  DIA DE LA L" u="1"/>
        <s v="NUEVO DESARROLLO  “VALLE VERDE&quot; " u="1"/>
        <s v="MUNI JUJUY-" u="1"/>
        <s v="GOBIERNO  SAN SALVADOR..." u="1"/>
        <s v="+ BACILISA ANASTACIA PATAGUA Q.E" u="1"/>
        <s v="+ BRABO, Libero (q.e.p.d.) 05-07" u="1"/>
        <s v="UNJU  UNJU - SEPARATA 4 PAGINAS " u="1"/>
        <s v="+ ANGEL RAUL GIMENEZ (PAPUCHO)  " u="1"/>
        <s v="+ DIONICIO, PEDRO ALVARADO Falle" u="1"/>
        <s v="EFECTIVO EN EL ACTO  CON TODAS L" u="1"/>
        <s v="se modifica !!! al aviso rojo agregando _x000d__x000a_Escuchanos en Radio 103.5 y 105.1 a horas 23." u="1"/>
        <s v="misa catedral" u="1"/>
        <s v="ASOCIACION CIVIL “LA CASA DE LA " u="1"/>
        <s v="NEXAR VENDE CASAS  Dptos. Chijra" u="1"/>
        <s v="Nuestra Provincia, el país y el " u="1"/>
        <s v="TUA ROSELLA- ANIV. 42 DIARIO EL " u="1"/>
        <s v="VENDO TERRENOS  de 15x40 Higueri" u="1"/>
        <s v="ACUERDO ESCOLAR EDICION 2022" u="1"/>
        <s v="UNION CAÑEROS INDEPEND. ANUARIO" u="1"/>
        <s v="COMODIN - DIA DE LA MUJER" u="1"/>
        <s v="UPCN  ADHESION TRABAJO ..." u="1"/>
        <s v="CÁMARA CIVIL Y COMERCIAL - SALA " u="1"/>
        <s v="EJESA ANIVERSARIO LUZ Y FUERZA.." u="1"/>
        <s v="TAVERNITI  ESP NAVIDAD" u="1"/>
        <s v="E D I C T O   S U C E S O R I O." u="1"/>
        <s v="+ ANGELA PAULA GARCIA  1X3" u="1"/>
        <s v="LA RABIOLA - CHOCOLATTE ANUARIO" u="1"/>
        <s v="CENTRO VECINAL B° 9 DE JULIO - P" u="1"/>
        <s v="se modifica el logo" u="1"/>
        <s v="+ SARA MARTINEZ DE MIRANDA  q.e." u="1"/>
        <s v="LA TERMINAL (bonif plan 3x1 de o" u="1"/>
        <s v="CENTRO VECINAL DE RODERO HUMAHUA" u="1"/>
        <s v="CLUB JUJUY HOCKEY EDICTO La Comi" u="1"/>
        <s v="con  foto" u="1"/>
        <s v="GOBIERNO TELEFILIM DOCUMENTAL .." u="1"/>
        <s v="SOCIEDAD RURAL ESP. C.C. EXT." u="1"/>
        <s v="Cedula Exenta N°        Sindico " u="1"/>
        <s v="CLINICA NTRA. SRA. DE FATIMA.  I" u="1"/>
        <s v="ARCHIVO COMPLETO EN CARPETA DE NOTABLES DE LA FECHA_x000d__x000a__x000d__x000a__x000d__x000a__x000d__x000a_EL DÍA 22 AGREGAR LEYENDA &quot;HOY&quot;" u="1"/>
        <s v="ENVIA POR MAIL" u="1"/>
        <s v=" PINTURERIA EXODO  ULI" u="1"/>
        <s v="CON IMAGEN CARP. 31-03" u="1"/>
        <s v="ASOCIAC. DE SANMARINENS  ESP SAN" u="1"/>
        <s v="GRIDO FNE" u="1"/>
        <s v="BINGO HOSPITAL" u="1"/>
        <s v="SOCIEDAD SIRIO LIBANESA-CIUDAD P" u="1"/>
        <s v="GOBIERNOPACHAMAMA..." u="1"/>
        <s v="+ RODRÍGUEZ, MANUEL ÁNGEL OSVALD" u="1"/>
        <s v="LA MAGALI S.R.L  ANIVERSARIO SAN" u="1"/>
        <s v="EDICTOS: El Dr. Esteban Arias Ca" u="1"/>
        <s v="VIRGEN DE GUADALUPE  GRACIAS. C." u="1"/>
        <s v="$$$ DINERO $$$ $$$ EFECTIVO $$$ " u="1"/>
        <s v="=EDICTO SUCESORIO  = = =EL JUZGA" u="1"/>
        <s v="+ SEVERINA BRAVO MENDOZA 08/11/5" u="1"/>
        <s v="= =EDICTO SUCESORIO = =     Juzg" u="1"/>
        <s v="CARMOTO ESP CONSULTORIOS BRISA" u="1"/>
        <s v="+ APARICIO SANTIAGO ANGEL  Q.E.P" u="1"/>
        <s v="ATENCION JUJUY-SALTA  Obtene tu " u="1"/>
        <s v="E D I C T O     S U C E S O R I " u="1"/>
        <s v="MARTILLERA LAURA BLANCO CALLE AL" u="1"/>
        <s v=" ASOCIACIÓN CIVIL DE SEPELIO AZU" u="1"/>
        <s v="AVISO ARMADO_x000d__x000a__x000d__x000a_UBICACION: PIE DE PAGINA" u="1"/>
        <s v="IMPORTANTE EMPRESA  INCORPORA  S" u="1"/>
        <s v="V   E   N   D   O TOYOTA-HILUX M" u="1"/>
        <s v="YAMAHA VIRAGO 535C.C MOD/1993-MU" u="1"/>
        <s v=" EDICTO  SUCESORIO EL Juzgado de" u="1"/>
        <s v=" EDICTO SUCESORIO  ===JUZGADO DE" u="1"/>
        <s v="Asociación de San Marinenses ESP" u="1"/>
        <s v="AUTOJUJUY  1" u="1"/>
        <s v="EDICTOS ------En el Expte, Nº C-" u="1"/>
        <s v="SANTERIA SAN EXPEDITO  ANIV. B° " u="1"/>
        <s v="ANUNCIO A COLOR IDEM 1476193" u="1"/>
        <s v="+ ANA MARIA CASTILLO q.e.p.d. Fa" u="1"/>
        <s v="Cámara en lo Civil y Comercia Sa" u="1"/>
        <s v="COCIO, Fabricio Germán (Q.E.P.D." u="1"/>
        <s v="MELLI AUTOMOTORES - 42 ANIV. EL " u="1"/>
        <s v="JOSE MARIA JURE ... ZAFRA" u="1"/>
        <s v=" ASAMBLEA GENERAL ORDINARIA La C" u="1"/>
        <s v="ISJ  GOBIERNO ASEGURATE CUANDO Y" u="1"/>
        <s v="con foto en carpeta de la fecha y fondo cielo plis!!!!" u="1"/>
        <s v="GOBIERNO CALL CENTER 0800-..." u="1"/>
        <s v="SINDICATO DOCENTES PRIVADOS 2" u="1"/>
        <s v="                E D I C T O   S " u="1"/>
        <s v="- - - - - - - - - - - - - - -  E" u="1"/>
        <s v="ANIVERSARIO TRANSAMERICA   TORI " u="1"/>
        <s v="ASOCIAC. DE SANMARINENS  ESP ANU" u="1"/>
        <s v="IMPAR - SANATORIO LAVALLE ESP MU" u="1"/>
        <s v="LIMSA  INFORMA  MODALIDAD DE TRA" u="1"/>
        <s v="MARTILLERA LAURA BLANCO CONSULTO" u="1"/>
        <s v="Centro Vecinal Social General Be" u="1"/>
        <s v="SANTIAGO JAVIER PONZETTI EXPTE N" u="1"/>
        <s v="+ HIPÓLITO MENDOZA  (Q.E.P.D.)  " u="1"/>
        <s v="FIAT SIENA FULL mod. 2015,  naft" u="1"/>
        <s v="Vendo Lotes a minutos de San Sal" u="1"/>
        <s v="con foto color y marco de flores en carpeta dia 10 de julio atencion al cliente" u="1"/>
        <s v="CLINICA DEL NIÑO Y EL RECIEN NAC" u="1"/>
        <s v="MARIA TORREJON  DE CHOROLQUE Tu " u="1"/>
        <s v="MODOFICA TEXTO PARA EL 22/10" u="1"/>
        <s v="ELECTROMECANICA OBANDO Y REPUEST" u="1"/>
        <s v="TELESFORO SILISQUE    (q.e.p.D.)" u="1"/>
        <s v="Vendo departamento en el edifici" u="1"/>
        <s v="EDICTO  SUCESORIO   .-.-.-. JUZG" u="1"/>
        <s v="LUNES 04 /10  PONER LEYENDA ---------&quot;MAÑANA&quot;------_x000d__x000a_EL REMATE ES EL DIA 05/10" u="1"/>
        <s v=" INFOMERCIAL UNJU ELECCIONES ING" u="1"/>
        <s v="MODUL ARTE   //REPITE AVISO//// " u="1"/>
        <s v="QATAR QR" u="1"/>
        <s v="PROTESISTA DENTAL" u="1"/>
        <s v="EDICTO SUCESORIO  -- -- -- EL JU" u="1"/>
        <s v="PANADERIA DON IZQUIERDO ESP MONA" u="1"/>
        <s v="EJES CORTE ..." u="1"/>
        <s v="   EDICTO --En el Expte. N° D-03" u="1"/>
        <s v="GOBIERNO DE JUJUY  DIA DE LA AUT" u="1"/>
        <s v="NUEVO PROFESIONAL MARIA VALERIA " u="1"/>
        <s v="GOBIERNO ...." u="1"/>
        <s v="Adhesión a la Fiesta Patronal Vi" u="1"/>
        <s v="+ GRACIELA PILAR TEJERINA “CHELA" u="1"/>
        <s v="=  =  =  =  =  =    EDICTO  SUCE" u="1"/>
        <s v="CARNAVAL DE ABLANDE Y TEKIS (bon" u="1"/>
        <s v="hoy en sociedad espoañolaLiga su" u="1"/>
        <s v="+ NICOLAS REYNAGA   (Q.E.P.D.)  " u="1"/>
        <s v="D.F.D. REPUESTOS DIA DEL MECANIC" u="1"/>
        <s v="Cine Teatro Altos Hornos Zapla" u="1"/>
        <s v="+ FÉLIX VARGAS  q.e.p.d. Falleci" u="1"/>
        <s v="DISTRIBUIDORA RIVAROLA  CELEBRAC" u="1"/>
        <s v="VENDEDOR/A   -Con experiencia co" u="1"/>
        <s v="VENDO TERRENO  PERICO 250m2. Con" u="1"/>
        <s v="hotel Artaza" u="1"/>
        <s v="ATE CENTRO DE JUBILADOS Y PENSIO" u="1"/>
        <s v="FE DE ERRATAS El &quot;Centro Interdi" u="1"/>
        <s v="PROMOCION 1991   COLEGIO NACIONA" u="1"/>
        <s v="MUNIC. PALPALA CARRUSEL DE BANDA" u="1"/>
        <s v="FOTO GUARDAD EN LA CARPETA DE LA FECHA DE AT,. AL CLIENTE_x000d__x000a__x000d__x000a__x000d__x000a_CON EL BORDE DEL RECUADERO A COLOR Y CON FLORES...." u="1"/>
        <s v="BINGO HOSPITAL..." u="1"/>
        <s v="TIENDA DE LIBROS DIA DEL PADRE" u="1"/>
        <s v="BOSIO PROPIEDADES  DIA DE LA MAD" u="1"/>
        <s v="MUNICIPALIDAD DE PALPALÁ  1° DE " u="1"/>
        <s v="VTA. DE PARABRISAS USADOS  CEL. " u="1"/>
        <s v="AVISO PUBLICADO EL 7-8-2021_x000d__x000a__x000d__x000a_SOLO FALTABA FACTURAR" u="1"/>
        <s v="LOGO CARPETA DIA  1RO DE AGOSTO" u="1"/>
        <s v="+ ERNESTO GIRALDO Falleció el 14" u="1"/>
        <s v="COLEGIO DE KINESIOLOGOS ESP ING." u="1"/>
        <s v="Fé de Erratas.            Por un" u="1"/>
        <s v="PAPEL - MUNICIPALIDAD DE SAN PED" u="1"/>
        <s v="+ EVANGELISTA CUSSE Q.E.P.D. 22-" u="1"/>
        <s v="HILUX SR 2017, 2.4, D/Cab. 4x2 ." u="1"/>
        <s v="+ RENATO LERA  (q.e.p.d.) Fallec" u="1"/>
        <s v="EDICTO   - - - El tribunal de la" u="1"/>
        <s v="&quot;BAGUALERO DE YALA&quot; CONVOCATORIA" u="1"/>
        <s v="CARNICERIA LIZARRAGA  SALUDO DE " u="1"/>
        <s v="COLEGIO MEDICO - dia del graduad" u="1"/>
        <s v="COLEGIO MÉDICO - DIA DEL GRADUAD" u="1"/>
        <s v="B° LAS MARIAS  VENDO CASA  (10x4" u="1"/>
        <s v="VALVERDI PROPIEDADES  VENTA - AL" u="1"/>
        <s v="EDICTO DR. DIEGO PUCA, JUEZ, en lo C" u="1"/>
        <s v="AVISO ARMADO CARP 09-06" u="1"/>
        <s v="EL CAMPEON LIBRERIA ESP ANUARIO" u="1"/>
        <s v="ESTUDIO GROSSO JUAREZ - ESP CS E" u="1"/>
        <s v="VILLA JARDIN DE REYES  VENDO CAS" u="1"/>
        <s v="SE BUSCA JEFE DE COCINA con expe" u="1"/>
        <s v="AVISO A COLOR, PREFERENTEMENTE VERDE CON LETRAS NEGRAS" u="1"/>
        <s v="ALBINA CALIZAYA   AVISO ARMADO" u="1"/>
        <s v="D.F.D. REPUESTOS  ESP VIRGEN DE " u="1"/>
        <s v="EL HERMANO FRANCICO  TU AMOR - T" u="1"/>
        <s v="MOD 2C2 COLOR CON FOTO GUARDADA EN CARPETA DE LA FECHA" u="1"/>
        <s v="aviso para repetir idem 1501445 a color autorizado por claudio aviso ubicado en pag. 1" u="1"/>
        <s v="aviso para repetir idem 1502881 a color autorizado por claudio aviso ubicado en pag. 1" u="1"/>
        <s v="aviso para repetir idem 1512610 a color autorizado por claudio aviso ubicado en pag. 1" u="1"/>
        <s v="MUNI JUJUY - Teatro Mitre" u="1"/>
        <s v="MUNICIPALIDAD DE SAN PEDRO - CAR" u="1"/>
        <s v="TERRENO &quot;LOTEO EL PORTAL 1&quot;   A " u="1"/>
        <s v="Fortín Gaucho EL OREJANO CONVOCA" u="1"/>
        <s v="PELUQUERIA LA MARTINA - dia del " u="1"/>
        <s v="ALTO LA VIÑA Vendo casa importan" u="1"/>
        <s v="AUTOLUX - dia de la seguridad vi" u="1"/>
        <s v="a color aviso para renonar idem 1476061 (3x5)" u="1"/>
        <s v="MAGMA  CONSTRUCCIONES ...." u="1"/>
        <s v="+ ARMANDO WILFREDO RIVERO q.e.p." u="1"/>
        <s v="+ NÉSTOR CHOQUE Q.E.P.D. Falleci" u="1"/>
        <s v="JMS MAQUINAS AGROVIALES ESP AGRI" u="1"/>
        <s v="FOTOS EN CARPETA 22 DE MARZO DE 2017-ATENCION AL CLIENTE +NELLY CARDOZO + BRENDA NOELIA VILLATARCO 2X2 COLOR ." u="1"/>
        <s v="SINDICATO DOCENTES PRIVADOS 1" u="1"/>
        <s v="GMG LUBRICENTRO ESP DIA DEL CAMI" u="1"/>
        <s v="TEXTO ENVIA RICARDO TORREJON POR MAIL" u="1"/>
        <s v="BINO LOBO ..." u="1"/>
        <s v="E D I C T O    = = = = =El Juzga" u="1"/>
        <s v="+ FUNES, Alvaro Gonzalo  (q.e.p." u="1"/>
        <s v="DERGAM SUP ESP. COMPLEJO MINIST." u="1"/>
        <s v="La Liga Independiente invita a l" u="1"/>
        <s v="PERICO VENDO CASAS  Bº JM DE ROS" u="1"/>
        <s v="POR CINCO DIAS: El Juzgado de Pr" u="1"/>
        <s v="SPRINTER - ROLCAR" u="1"/>
        <s v="CAPSAP ANIV COL DE ABOG." u="1"/>
        <s v="INFOMERCIAL LA VACA LOLA" u="1"/>
        <s v="LOS LAPACHOS DIA DE LA MUJER" u="1"/>
        <s v="aviso para reno var idem 1493148" u="1"/>
        <s v="+ Ortencia Sains  (q.e.p.d.) Fal" u="1"/>
        <s v="======================EDICTO SUC" u="1"/>
        <s v="ASOCIACIÓN CIVIL CRUZ DEL SUR “A" u="1"/>
        <s v="Convocatoria- Comunidad de Miraf" u="1"/>
        <s v="DANIEL AUGUSTO AMANTE MOD 1X3 BY" u="1"/>
        <s v="CARUSO SEGUROS ANUARIO" u="1"/>
        <s v="CLUB SOCIAL Y CULTURAL ISLAS MAL" u="1"/>
        <s v="LOGO   AGUADO INMOBILIARIA      " u="1"/>
        <s v="BIBLIOTECA POPULAR DE SUSQUES Ca" u="1"/>
        <s v="BLANCO Y NEGRO AVISO CARP. 10-03" u="1"/>
        <s v="FARMACIA YRIGOYEN DIA PANAM. DE " u="1"/>
        <s v="CARTELERA CINE A. H. ZAPLA" u="1"/>
        <s v="+ CARLOS ENRIQUE BARRIONUEVO  Q." u="1"/>
        <s v="+ MARCELO RAUL ZERPA q.e.p.d.  F" u="1"/>
        <s v="DIEZMADOS  SUP ESTILOS (PUBLICA " u="1"/>
        <s v="CLUB AMIGOS DEL TANGO de SAN SAL" u="1"/>
        <s v="EL NUEVO TONEL VINERIA ..   ADHE" u="1"/>
        <s v="SINDICATO OBREROS PASTELEROS ESP" u="1"/>
        <s v="SUTIAGA  ANIVERSARIO SAN CAYETAN" u="1"/>
        <s v="VENDO DPTOS  CENTRO S.S DE JUJUY" u="1"/>
        <s v="FOTO GUARADA EN LA CARPETA DE AT. AL CLIENTE_x000d__x000a__x000d__x000a_CON EL MARCO A COLOR Y ALGUN FIRULETE EN LAS ESQUINAS DEL RECUADRO" u="1"/>
        <s v="FULGENCIO ARIAS 1X3" u="1"/>
        <s v="                        EDICTO D" u="1"/>
        <s v="aviso 5x3 mod - SIND. DE LUZ Y F" u="1"/>
        <s v="CENTRO VECINAL B° BELGRANO - PAL" u="1"/>
        <s v="+ VALE, Maximiliano “Chacho” Q.E" u="1"/>
        <s v="PAG. IMPAR - COOPERATIVA DE TABA" u="1"/>
        <s v="GOBIERNO -..." u="1"/>
        <s v=" (enfrentadas) - NICO FIAMBRES" u="1"/>
        <s v="PONER UN CORAZON ****COLOR****" u="1"/>
        <s v="+ CARRILLO GONZALEZ, Luis Albert" u="1"/>
        <s v="+ PAREDES, CATALINO  Falleció el" u="1"/>
        <s v="FIAD HECTOR PRODUCTOR DE SAL PAP" u="1"/>
        <s v="PODOLOGIA  Uñas encarnadas - Mic" u="1"/>
        <s v="PRO-EMPLEO PARA DESOCUPADOS “31 " u="1"/>
        <s v="DISTRIBUIDORA MALU  DIA DEL TRAB" u="1"/>
        <s v="EXPECTATIVA BLACK CHANGOMAS ...." u="1"/>
        <s v="VEXAR  INCORPORA PERSONAL DE INS" u="1"/>
        <s v="COLOR CON FOTO (ENVIADA POR EMAIL)" u="1"/>
        <s v="LOGO COLOR ROJO Y DONDE DICE VARIEDAD EN AUDIFONO FONDO ROJO_x000d__x000a_CAMBIO EL NUMERO DE TELEFONO" u="1"/>
        <s v="ELECTROMAT..." u="1"/>
        <s v="CON LOGO DE AVISO Nº 1424468" u="1"/>
        <s v="EMPRESA DEL MEDIO        BUSCA  " u="1"/>
        <s v="AGREGAR MEMBRETE _x000d__x000a__x000d__x000a_ARCHIVO EN CARPETA DE NOTABLES DEL 29/ABRIL" u="1"/>
        <s v="OPORTUNIDADA DE TRABAJO SE BUSCA" u="1"/>
        <s v="TIERRA DEL FUEGO - RIO GRANDE VE" u="1"/>
        <s v="VINERIA SAN JUAN  dia de la madr" u="1"/>
        <s v="PRODUGAS  GNC  - NAFTA..." u="1"/>
        <s v="PANIF. ALAMEDA ESP PANADERO" u="1"/>
        <s v="ACTA N° 21 ASAMBLEA GENERAL EXTR" u="1"/>
        <s v="APACHETA - los izquierdos de la " u="1"/>
        <s v="DROGUERIA PAPPA  ANIVERSARIO CLI" u="1"/>
        <s v="GOBIERNO   DIA DEL TRABAJADOR  2" u="1"/>
        <s v=" NECESITO CARNICERO con experiencia " u="1"/>
        <s v="APARICIO,  Genoveva inocencia (q" u="1"/>
        <s v="E  D  I  C  T  O S  ---La Dra. M" u="1"/>
        <s v="EDICTO: ---La Sala I del Tribuna" u="1"/>
        <s v="TURBOS SALUZZO - ESP SAN SALVADO" u="1"/>
        <s v="COMUNICADO AL PUEBLO DE JUJUY" u="1"/>
        <s v="                 EDICTO  SUCESOR" u="1"/>
        <s v="a color fondo rosado claro letras negras" u="1"/>
        <s v="DM - Cortinas y Sistemas _x000d__x000a__x000d__x000a_/// REPITE AVISO ////" u="1"/>
        <s v=" Ref. Expte. Nº C-196460/2022 ca" u="1"/>
        <s v=" Ref. Expte. Nº C-204020/2022 ca" u="1"/>
        <s v="incotedes ASAMBLEA GRAL. ORDINAR" u="1"/>
        <s v="MARTILLERO PÚBLICO JUDICIAL Pocl" u="1"/>
        <s v="CARS CITY SERVISE" u="1"/>
        <s v="CAJUTAC ESP SAN CAYETANO" u="1"/>
        <s v="GOBIERNO DIA DE LA ENERGIA" u="1"/>
        <s v="5749/2021 - VELASQUEZ ZARATE, AN" u="1"/>
        <s v="CLINICA VETERINARIA MEDI VET ANU" u="1"/>
        <s v="VENDO  *TERRENO 50x50 En UQUÍA  " u="1"/>
        <s v="EJESA CORTE .." u="1"/>
        <s v="+ PEDRO ARTURO TABOADA (Q.E.P.D." u="1"/>
        <s v="ASOCIAC. DE SANMARINENS ESP HUED" u="1"/>
        <s v="GARELY SACI INICIO ZAFRA LEDESMA" u="1"/>
        <s v="PODOLOGIA A DOMICILIO_x000d__x000a_letras rojas" u="1"/>
        <s v="CONVOCATORIA EJESA ..." u="1"/>
        <s v="EDICTO SUCESORIO .-.-.-.- El Juz" u="1"/>
        <s v="NUEVO PROFESIONAL EVANGELINA G. " u="1"/>
        <s v="JUANA BALDIVIEZO CARI 1X3" u="1"/>
        <s v="&quot;CENTRO GAUCHO CMTE PEDRO J.PERE" u="1"/>
        <s v="ATENCIÓN PERICO  VENDO CASAS *Bº" u="1"/>
        <s v="CANAL 2 PERICO TECNOVISION... SA" u="1"/>
        <s v="CENTRO VECINAL DE RODERO CONVOCA" u="1"/>
        <s v="PROYECTO DE GASNOR SEGÚN RESOLUC" u="1"/>
        <s v="RENTAS PAGO ANUAL ANTICIPADO 202" u="1"/>
        <s v="TRABAJOS DE ALBAÑILERIA Revoque-" u="1"/>
        <s v="+ CHILALI, Mario (q.e.p.d) Falle" u="1"/>
        <s v="RUBEN RIVAROLA - DIA DEL TRABAJA" u="1"/>
        <s v="UNION CAÑEROS INDEPEND. ESP SAN " u="1"/>
        <s v="AGRO RURAL ESP COOP. DE TABAC." u="1"/>
        <s v="+ RENE RAIMUNDO BAZÁN  (Q.E.P.D." u="1"/>
        <s v="///LOGO/// VENDE  LOS PERALES.  " u="1"/>
        <s v="///LOGO/// VENDE SAN PABLO DE RE" u="1"/>
        <s v="SE SOLICITA para empresa Constru" u="1"/>
        <s v="FOTO GUARDAD EN LA CARPETA DE LA FECHA DE AT. AL CLIENTE_x000d__x000a__x000d__x000a_CON EL MARCO DEL RECUADRO CON ALGUN DETALLE LINDO A COLOR" u="1"/>
        <s v="CINE  ZAPLA ...." u="1"/>
        <s v="MRD INDUSTRIAL .... ADHESION 90 " u="1"/>
        <s v="FM  LICENCIA ..." u="1"/>
        <s v="VINERIA SAN JUAN - ESP ARQ" u="1"/>
        <s v="(LOGO BARCENA) ALQUILO AMPLIO GA" u="1"/>
        <s v="EDICTO SUCESORIO  ---JUZGADO MUL" u="1"/>
        <s v="MAXIMO ALBERTO TELL - TERESA SAR" u="1"/>
        <s v="“La Comunidad de Perico honra ho" u="1"/>
        <s v="EDICTO INSCRIPCION DE MARTILLERO  LUIS A" u="1"/>
        <s v="COLEGIO DE ABOGADOS - ESP ARQ." u="1"/>
        <s v="CONVOCATORIA DESOCUPADOS SAN FRA" u="1"/>
        <s v="BINGO LOBO" u="1"/>
        <s v="   EDICTO EL JUZGADO MULTIFUERO-" u="1"/>
        <s v="+ TEJERINA, Florentino (q.e.p.d." u="1"/>
        <s v="FOTO GUARDAD EN LA CARPETA DEV LA FECHA DE AT. AL CLIENTE_x000d__x000a__x000d__x000a__x000d__x000a_CON EL MARCO DEL RECUADRO IGUAL AL ANTERIOR_x000d__x000a__x000d__x000a_FOTO DE CUEPO ENTERO" u="1"/>
        <s v="E  D  I  C  T  O   = = = CÁMARA " u="1"/>
        <s v="CRILLON ESP EMPRES." u="1"/>
        <s v="+ RAMON RUBEN ALVERO “Paco” q.e." u="1"/>
        <s v="BINGO LIGA" u="1"/>
        <s v="+ COLQUI CRUZ, José Ismael Matía" u="1"/>
        <s v="+ VELASQUES, Florencio (Q.E.P.D." u="1"/>
        <s v="PACHAMAMA  DEL 29 CHANGOMAS ...." u="1"/>
        <s v="+ ECHENIQUE, Eduardo Alberto “Pi" u="1"/>
        <s v="EL SEOM TRISTE Y LLORA  Se fue J" u="1"/>
        <s v="EMPRESA DEL MEDIO - ASESORES COM" u="1"/>
        <s v="SIND. DE LUZ Y FUERZA SUP. ENERG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COLSA CAJERO" u="1"/>
        <s v="+ MOYA, Elvia Catalina (q.e.p.d)" u="1"/>
        <s v="+ SILVINA MELINDA RAMOS q.e.p.d." u="1"/>
        <s v="NOR TRADING SRL  DIA DE LA MINER" u="1"/>
        <s v="VENDO DPTO. 2 DORM CENTRO - S.S." u="1"/>
        <s v="DISTRIBUIDORA E.C. RIVAROLA  DÍA" u="1"/>
        <s v="EMPRESA DEL MEDIO - ASESORES DE " u="1"/>
        <s v="GOBIERNO LAPACHOS ... ." u="1"/>
        <s v="CARNAVAL DE ABLANDE Y TEKIS - pr" u="1"/>
        <s v="PARADOR 9 PARRILLADA  se encuent" u="1"/>
        <s v="PAEZ S.R.L.  PATRONAL DE PERICO" u="1"/>
        <s v="EDTUDIO JURÍDICO DR. SEGOVIA Cas" u="1"/>
        <s v="LABORATORIOS SLEIBE ESP. BIOQ." u="1"/>
        <s v="PRODUCCIONES DEL NORTE  CARNAVAL" u="1"/>
        <s v="SOCIEDAD SIRIO LIBANESA  CONVOCA" u="1"/>
        <s v="DIARIO EL TRIBUNO DE JUJUY - PAL" u="1"/>
        <s v="FRANQUICIA MULTINACIONAL       I" u="1"/>
        <s v="MARIO IBARRA VIAJES ..." u="1"/>
        <s v="BULDOG .... (aviso armado)" u="1"/>
        <s v="ISJ  GOBIERNO DIABESNOA ..." u="1"/>
        <s v="  --EL  JUZGADO DE PRIMERA INSTA" u="1"/>
        <s v="+ VILMA MARIELA MAMANI  q.e.p.d." u="1"/>
        <s v="-LA DIRECCION DE REGULARIZACION " u="1"/>
        <s v="UNION CAÑEROS -ESP COOP. DE TABA" u="1"/>
        <s v="+ GUEVARA ORELLANA CARLOS q.e.p." u="1"/>
        <s v="+ OLGA ADRIANA SANDOVAL MOD 1X3 " u="1"/>
        <s v="Importante Empresa de Salud, se " u="1"/>
        <s v="SALTA CAPITAL vendo casa a 15 cu" u="1"/>
        <s v="GOBIERNO XUMA ..." u="1"/>
        <s v="TAVERNITI  ESP MUJER" u="1"/>
        <s v="GOBIERNO 2 DE ABRIL .." u="1"/>
        <s v="  = = = = = = = = = = = = = =  E" u="1"/>
        <s v="(CON NOTA) IMPRENTA ALBERDI PATR" u="1"/>
        <s v="+ EDUARDO SALAZAR “Lalo”  (Q.E.P" u="1"/>
        <s v="EDICTO EN EL EXPTE. Nª C-198754/" u="1"/>
        <s v="PANADERIA SANTO ANTONIO - PASCUA" u="1"/>
        <s v="SIN DE LUZ Y FUERZA ESP SAN SALV" u="1"/>
        <s v="diagramación (5x3) por corrreo al Sr. Claudio y Franco _x000d__x000a_UBICAR EN PAGINA IMPAR DEL SUPLENTO ESPECIAL SAN JOSE" u="1"/>
        <s v="SE CORRIGIO !!!" u="1"/>
        <s v="+ CASTILLO GUTIÉRREZ, Inés  (Q. " u="1"/>
        <s v="+NESTOR RAMON HINOJOSA Q.E.P.D. " u="1"/>
        <s v="--------------------------EDICTO" u="1"/>
        <s v="VENDO TERRENO  MONTERRICO  250m2" u="1"/>
        <s v="CLUB GIMNASIA Y ESGRIMA DE JUJUY" u="1"/>
        <s v="DUEÑO VENDE DTO. EN PALPALÁ  ZON" u="1"/>
        <s v="GOBIERNO CONVOCATORIA BOSQUES..." u="1"/>
        <s v="GRUPO EMPRESARIAL INCORPORA A SU" u="1"/>
        <s v="MELLI AUTOMOTORES - SALUDO FIN D" u="1"/>
        <s v="SOLICITADA PJ" u="1"/>
        <s v="PAGO ANUAL ANTICIPADO 2023" u="1"/>
        <s v="EDICTO  EN EL EXPTE N°: B-07110/" u="1"/>
        <s v="JUJUY MATERIALES..." u="1"/>
        <s v="FONDO AMARILLO LETRAS NEGRAS" u="1"/>
        <s v="CANAL  2  PERICO PROGRAMACION..." u="1"/>
        <s v="CARGAR CUENTA WERCHOW VARGAS JOS" u="1"/>
        <s v="FEDERACION GAUCHA JUJEÑA.... cla" u="1"/>
        <s v="GOBIERNO DISTANCIATE ..." u="1"/>
        <s v="ALEMAR   ANIV. SAN CAYETANO" u="1"/>
        <s v="SE BUSCA MEDICO/A de guardia par" u="1"/>
        <s v="+TAPIA GARZON, FEDERICO   //AVIS" u="1"/>
        <s v="cambia modelo si puede ser a color por favor" u="1"/>
        <s v="Elecciones Políticas 2022 Mensaj" u="1"/>
        <s v="LLAMADO A RESIDENCIA CLINICA MED" u="1"/>
        <s v="“WAIKI TINKINA”  C O N V O C A T" u="1"/>
        <s v="Genaro Gimenez Q. E. P. D. Se du" u="1"/>
        <s v="MAMANI, Gabriela (q.e.p.d.) Fall" u="1"/>
        <s v="VINERIA VARIETALES  DIA DEL PADR" u="1"/>
        <s v="a color aviso para renonar (3x5) IDEM AVISO 1491604 CON MODIF. SACAR EL NUMERO 388 4648931" u="1"/>
        <s v="GARELY  SACI .." u="1"/>
        <s v=" ESTUDIO JURIDICO LOPEZ SALGADO " u="1"/>
        <s v="ASOCIACION JUDICIAL ESP TRABAJAD" u="1"/>
        <s v="E D I C T O ===El Juzgado de 1ra" u="1"/>
        <s v="PERICO VENDO CASA Bº Santa Ana F" u="1"/>
        <s v="PUBLINOTA PAGINA WEB LUNES 3 MAY" u="1"/>
        <s v="+ CAROLA CALIZAYA DE BURGOS “YAY" u="1"/>
        <s v="CLEMENTINA KEMPA (q.e.p.d.) Fall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IMPORTANTE EMPRESA  Incorpora pa" u="1"/>
        <s v="FOTO GUARDAD EN LA CARPETA DE LA FECHA DE AT. AL CLIENTE_x000d__x000a__x000d__x000a_CON EL MARCO DEL RECUADRO A COLOR Y CON UN LINDO DETALLE..." u="1"/>
        <s v="ASOCIAC. DE SANMARINENS ESP AGRI" u="1"/>
        <s v="con fondo celeste y foto" u="1"/>
        <s v="+ AYALA ENRIQUE MARTIN Q.E.P.D. " u="1"/>
        <s v="GOBIERNO  PUEBLOS INDIGENS  ...." u="1"/>
        <s v="SALUTEM MEDICINA PRIVADA Nos enc" u="1"/>
        <s v="VERONICA REYNAGA (q.e.p.d.) Fall" u="1"/>
        <s v="DIA 15/12****LEYENDA MAÑANA*****_x000d__x000a_DIA 16/12 ***LEYENDO HOY******" u="1"/>
        <s v="GOBIERNO VACUNATE ...EMILIA" u="1"/>
        <s v="+ OCHOA, Leonardo Q.E.P.D.  Fall" u="1"/>
        <s v="Anuncio Dr. Faila carpeta 28 de " u="1"/>
        <s v="CARMOTO ESP ARQUITECTO Y URBANIS" u="1"/>
        <s v="aviso idem publi. anterior color rojo 1428468 con imagen de san jose" u="1"/>
        <s v="EL FORTIN ...." u="1"/>
        <s v="GOBIERNO XUMA ...." u="1"/>
        <s v="+ CALIXTO URZAGASTI (q.e.p.d.) F" u="1"/>
        <s v="+ MORCILLO, Telmo Alberto  (q.e." u="1"/>
        <s v="EDICTO El Juzgado Federal  De Ju" u="1"/>
        <s v="LOPEZ PIERRE FARMACIA ESP GRAN M" u="1"/>
        <s v="MARTILLERA LAURA BLANCO VENDO TE" u="1"/>
        <s v="GOBIERNO TELEFIM ..." u="1"/>
        <s v="Convocatoria- Club Kocolandia de" u="1"/>
        <s v="ISJ   MEDIDAS DE PREVENSION ..." u="1"/>
        <s v="+ SERAFIN CRUZ          Q.E.P.D " u="1"/>
        <s v="+AMBROCIO PUCA Falleció el 25 de" u="1"/>
        <s v="PERMUTO  EN PALPALA  CASA 2 D. y" u="1"/>
        <s v="a color aviso para renonar idem 1475173 (3x5)" u="1"/>
        <s v="AGRO EL CARMEN" u="1"/>
        <s v="   EDICTO SUCESORIO  ------EN EL" u="1"/>
        <s v="MUNDO MAGICO  1° DE MAYO DIA DEL" u="1"/>
        <s v="MUNDO MAGICO  SALUDO DE FIN DE A" u="1"/>
        <s v="ALFREDO ANDRES Y FAMILIA SALUDAN" u="1"/>
        <s v="E  D  I  C  T  O  S  - - - EL JU" u="1"/>
        <s v="letra negrita y agregar unas girnaldas o referente a las fiestas" u="1"/>
        <s v="con foto color carpeta de la fecha jose antonio palomo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Ledesma SAAI - Arrieta" u="1"/>
        <s v="CUATRO GOBIERNO FNE ..." u="1"/>
        <s v="NILSON ORTEGA DIA DE LA MUJER" u="1"/>
        <s v="BONILLO ORGANIZACION DE SEGUROS " u="1"/>
        <s v="BUSCO ALQUILAR  HERRAMIENTAS DE " u="1"/>
        <s v="GOBIERNO FESTIVAL D ELA NIÑEZ .." u="1"/>
        <s v="TRAME S.R.L.  CELEBRACIÓN DE LA " u="1"/>
        <s v="Fundación &quot;La Quiaca&quot; Per.Jur. N" u="1"/>
        <s v="aviso para repetir idem 1501444 a color" u="1"/>
        <s v="aviso para repetir idme 1512614 a color" u="1"/>
        <s v="UCASAL INGRESO CARRERAS 1" u="1"/>
        <s v="+ ALIA ELIAS q.e.p.d. Falleció e" u="1"/>
        <s v="ATENCIÓN EL CARMEN  VENDO  * 4 H" u="1"/>
        <s v="CENTRO VECINAL &quot;EL TORO&quot; Persone" u="1"/>
        <s v="PESCADERIA EL DORADO CON MOTIVO " u="1"/>
        <s v="RUBEN RIVAROLA - DIA DE LA TRADI" u="1"/>
        <s v="CORREGIR AVISO, LLAMO LA SEÑORA Y QUIERE QUE SALGA_x000d__x000a_CON RECUADRO COLOR AMARILO Y LETRA NEGRA" u="1"/>
        <s v="NUESTRA PROPUESTA ..." u="1"/>
        <s v="MASKOTAS ESP PATRONAL DE PERICO" u="1"/>
        <s v="+ JULIO HUARACHI Q.E.P.D. 31/01/" u="1"/>
        <s v="AG AGRO GALLEGO  - ESP CAMARA TA" u="1"/>
        <s v="--EDICTO SUCESORIO-- ---JUZGADO " u="1"/>
        <s v="///CON FOTO/// Cachorro Mini Sch" u="1"/>
        <s v="FE DE ERRATA  EL SOL CORRALON PÚ" u="1"/>
        <s v="GOBIERNO SALUDO GOBERNADOR Y FAM" u="1"/>
        <s v="IMPORTANTE EMPRESA  Busca:  Cont" u="1"/>
        <s v="ORTIZ, José Humberto “Coco” (q.e" u="1"/>
        <s v=" SINDICATO DE TRABAJADORES VIALE" u="1"/>
        <s v="+ Dra. JUANA ALCIRA ARANCIBIA (q" u="1"/>
        <s v="-----------------------EDICTO---" u="1"/>
        <s v="GOBIERNO DIA DEL SOLDADO ARGENTI" u="1"/>
        <s v="IMPORTANTE EMPRESA  DEL MEDIO  B" u="1"/>
        <s v="Pálpala Golf Tenis Club  El Inti" u="1"/>
        <s v="COMUNICADO    ADECCO RECURSOS HU" u="1"/>
        <s v="PIZPIRETA  FM JUJUY...." u="1"/>
        <s v="AVISO ENVIADO POR MARIO MEALLA" u="1"/>
        <s v="+ AMBROCIA CARLOS DE PALACIO   (" u="1"/>
        <s v="+JUANA JOSEFA IBAÑEZ  (q.e.p.d.)" u="1"/>
        <s v="LIC.PRIVADA Nº 08/2021. BOLSONES" u="1"/>
        <s v="PERICO  ALQUILO  GALPONES  NUEVO" u="1"/>
        <s v="PRESTAMOS POR EMPEÑO (AVISO ARMA" u="1"/>
        <s v="RICARDO BENICIO GARCIA EXPTE D 0" u="1"/>
        <s v="AVISO CON LOGO DE NOR TRADING SRL" u="1"/>
        <s v="+ ELVA ROJAS q.e.p.d. Falleció e" u="1"/>
        <s v="+ ROSSA, Guadalupe Soledad (q.e." u="1"/>
        <s v="EFECTIVO PLUS Todas las Tarjetas" u="1"/>
        <s v="SHELL PERESSIN ESP EMPRES." u="1"/>
        <s v=" EDICTO DE CITACION LA DIRECCION" u="1"/>
        <s v="CORRALON EL PROGRESO I Y II  ANI" u="1"/>
        <s v="BOTAN ALMANAQUE EL TRIBUNO" u="1"/>
        <s v="FONDO CELESTE LETRA BLANCA" u="1"/>
        <s v="COOPERATIVA DE TABACALEROS DE JU" u="1"/>
        <s v="fondo rojas letras amarrilas notables" u="1"/>
        <s v="ARNEDO VENDE DPTO. Céntrico 3 do" u="1"/>
        <s v="Friar Jujuy busca “encargado de " u="1"/>
        <s v="FUND. PROJUJUY AGROP. ESP. CAMAR" u="1"/>
        <s v="MUNIC. S.S. DE JUJUY - LIC N ° 4" u="1"/>
        <s v="HORMIGONERA -VENTA DE HORMIGON EN MI" u="1"/>
        <s v="GOBIERNO INCENDIOS FORESTALES SU" u="1"/>
        <s v="CARNICERIA CONSTITUCIO ANIVERSAR" u="1"/>
        <s v="OPTICA EL GALLO - SUPLE 23 AGOST" u="1"/>
        <s v="ADEP ASAMBLEA" u="1"/>
        <s v="GOBIERNO ANUARIO ..." u="1"/>
        <s v="GOBIERNO RESTRINCIONES ..." u="1"/>
        <s v="   +REINALDI, ESTEBAN ANTONIO   " u="1"/>
        <s v="GOBIERNO CONSULTA PUBLICA - INFE" u="1"/>
        <s v="SINDICATO DE LA ALIMENTACION CON" u="1"/>
        <s v="ROMELIA GALLARDO 1X3" u="1"/>
        <s v="+MARIA PAULA RODRÍGUEZ  + PABLO " u="1"/>
        <s v="SOCIEDAD SIRIO LIBANESA-CIUAD PE" u="1"/>
        <s v="8 SEPTIEMBRE DE 2016- ATENCION AL CLIENTE_x000d__x000a__x000d__x000a__x000d__x000a__x000d__x000a_LOGO DE TRABAJADORES  DE CORREOS Y TELECOMUNICACIONES DE JUJUY" u="1"/>
        <s v=" Ref. Expte. Nº C-157690/2020 ca" u="1"/>
        <s v="EL MILAGRO MARMOLES PATRONAL DE " u="1"/>
        <s v="DANIEL ROMERO   WERCHOW..." u="1"/>
        <s v="EL PUNTAZO MILONGA" u="1"/>
        <s v="INAUGURACION PINTURERIA EXODO  A" u="1"/>
        <s v="+ CHAVEZ, Héctor Luis (q.e.p.d.)" u="1"/>
        <s v="OSCAR CRUZ Q.E.P.D. Falleció el " u="1"/>
        <s v="VENDO CITROEN C3 VTI 115 Origins" u="1"/>
        <s v="cambiar horario  República de Siria 172 de 9 a 13.30 - 17 a 21.30_x000d__x000a_                          Necochea 338 de 9.30 a 13.30 - 17.30 a 22" u="1"/>
        <s v="LA AFRICANA ...." u="1"/>
        <s v="EDDIT CARMEN MEALLA Mamita de mi" u="1"/>
        <s v="+ JOSE HERMOGENES COLPARI  (Q.E." u="1"/>
        <s v="///LOGO/// VENTA * Terreno en Uq" u="1"/>
        <s v="GOBIERNO RENTAS MEDIOS DE PAGO ." u="1"/>
        <s v="LOS PERALESZona Escuela VENDO CASA G" u="1"/>
        <s v="13/16 PAGO SOLICITADA PUBLICADA " u="1"/>
        <s v="aniversario del Diario El Tribun" u="1"/>
        <s v="LOS TIPITOS EN JUJUY COMBO LA NO" u="1"/>
        <s v="LETRAS NEGRAS FONDO AMARILLO" u="1"/>
        <s v="Vendo Minicargadora Bull Mot Kub" u="1"/>
        <s v="CARNICERIA CONSTITUCION   DIA DE" u="1"/>
        <s v="Dn ERAZO ASUNCION  CARGAR CUENTA" u="1"/>
        <s v="EMPRESA CONSTRUCTORA NECESITA  A" u="1"/>
        <s v="Expte. N° C-165537/2020  caratul" u="1"/>
        <s v="JEMSE JUJUY ENERGIA Y MINERIA  L" u="1"/>
        <s v="con foto en carpeta dia 4 de marzo, solo foto texto nuevo_x000d__x000a__x000d__x000a_fondo detexto color amarillo" u="1"/>
        <s v="CARLOS PEDRO BLAQUIER  q.e.p.d. " u="1"/>
        <s v="´´SUBASTA DE ANIMALES-SIN BASE´´" u="1"/>
        <s v="DYMEC...." u="1"/>
        <s v="BODEGA EL TRANSITO" u="1"/>
        <s v="IMPORTANTE EMPRESA DEL MEDIO sol" u="1"/>
        <s v="JMS MAQUINAS AGROVIALES ESP COOP" u="1"/>
        <s v="PROFESIONAL RRHH" u="1"/>
        <s v="+ ESTER VILLAFAÑE DE SERAPIO ALV" u="1"/>
        <s v="+ VACA, Juan Carlos (q.e.p.d.) F" u="1"/>
        <s v="MICHEL GRUPO ASEGURADOR  SALUDO " u="1"/>
        <s v="SUPERMAT (bonif  plan 3x1 de op " u="1"/>
        <s v="EDICTO DE CITACION LA DIRECCION DE HABIT" u="1"/>
        <s v="TOYOJUY - CHEVROJUY ESP REPUESTE" u="1"/>
        <s v="CON FOTO EN CARPETA DE LA FECHA 9 /02" u="1"/>
        <s v=" DETOX MENTAL" u="1"/>
        <s v="+ BATALLA, Noemí Fabiola Q.E.P.D" u="1"/>
        <s v=" RODRÍGUEZ MANUEL ÁNGEL OSVALDO " u="1"/>
        <s v="PUNA METALS S.A. Ref.: Expte. DP" u="1"/>
        <s v="Parrillada La Yapa" u="1"/>
        <s v="+ Crio. Insp. CARDOZO, José Anto" u="1"/>
        <s v="EDICTO La Sra. Juez del Tribunal" u="1"/>
        <s v="(PAG.3) GOBIERNO UNO" u="1"/>
        <s v="COLEGIO DE KINESIOLOGOS - ESP OD" u="1"/>
        <s v="CONCEJO DELIBERANTE   -  SAN MAR" u="1"/>
        <s v="FARMACIA SAN ESTEBAN  I y II  DÍ" u="1"/>
        <s v="MUNIC. S.S. DE JUJUY - DIA DE LO" u="1"/>
        <s v="SOLICITADA - LISTA VISIÓN" u="1"/>
        <s v="VENDO CASA FRENTE Dique La Ciéna" u="1"/>
        <s v="PETERS HNOS" u="1"/>
        <s v="EDICTO SUCESORIO. Juzgado de 1ª " u="1"/>
        <s v="LCB POLARIZADOS ..." u="1"/>
        <s v="+ HERRERA DE CORONEL, SUSANA  Fa" u="1"/>
        <s v="AVISO NUEVO EN CARPETA DE NOTABLES DE LA FECHA" u="1"/>
        <s v="4- T E   GOBIERNO" u="1"/>
        <s v="FE DE ERRATAS  SOEAIL..." u="1"/>
        <s v="por favor poner a color (ROJO)" u="1"/>
        <s v="se agrego un numero de telefono!!!" u="1"/>
        <s v="+ FABIO ANTONIO PANIAGUA Q.E.P.D" u="1"/>
        <s v="ERNESTO CRISTIAN RIVAROLA ADHESI" u="1"/>
        <s v="SUSANA MARINO" u="1"/>
        <s v="3A PROPIEDADES VENDE casa Alto C" u="1"/>
        <s v="EDICTO   = = = Dra.  Maria Del H" u="1"/>
        <s v="FASTA  1° DE MAYO - DÍA DEL TRAB" u="1"/>
        <s v="con logo y datos del final" u="1"/>
        <s v="CARNE DE FEEDLOT Media res de feedlo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CONVOCATORIA ASAMBLEA GENERAL EX" u="1"/>
        <s v="TODO GOMAS... ADHEISON 90º ANIV," u="1"/>
        <s v="FEDERACION GAUCHA" u="1"/>
        <s v=" Asociación Civil Club Deportivo" u="1"/>
        <s v="+ ARAMAYO, Liliana Cristina (q.e" u="1"/>
        <s v="////LOGO EN CARPETA DE LA FECHA " u="1"/>
        <s v="LAVADERO LOS AMIGOS - ESP EL MOJ" u="1"/>
        <s v="aviso para renovar a color con logo Sepelios San Jose" u="1"/>
        <s v=" + LUCILA SANCHEZ DE APARICIO Q." u="1"/>
        <s v=" Ref. Expte. Nº C-189082/2021 ca" u="1"/>
        <s v="/// FOTO/// SE PERDIO EN LOS NOG" u="1"/>
        <s v="BALBI DISTRIBUIDORA ANUARIO" u="1"/>
        <s v="=========================== EDIC" u="1"/>
        <s v="MUNI JUJUY - 2 DE ABRIL DIA DE L" u="1"/>
        <s v="TOMAR EL AVISO COMPLETO DE LA CARPETA DE NOTABLES DE LA FECHA_x000d__x000a__x000d__x000a__x000d__x000a__x000d__x000a_TODOS LOS DIAS AGREGAR LEYENDA &quot;VIERNES 29&quot;" u="1"/>
        <s v="BINGO HOSPITAL DE NIÑOS" u="1"/>
        <s v="CONVOCATORIA A ASAMBLEA  LA ASOC" u="1"/>
        <s v="WAHASAP DIARIO ..." u="1"/>
        <s v="CANAL4 PROGRAMACION.." u="1"/>
        <s v="           CONVOCATORIA A ASAMBL" u="1"/>
        <s v="IMAGEN SAN EXPEDITO" u="1"/>
        <s v="+ SEDRON CRISTINA DEL VALLE  (q." u="1"/>
        <s v="ATSA   DIA DE LA ENFERMERIA...." u="1"/>
        <s v="SE SOLICITA PARA PUESTO TECNICO " u="1"/>
        <s v="BINGO LOBO CONTRATAPA..." u="1"/>
        <s v="+ FRANCISCO GERARDO BRAJEDA Q.E." u="1"/>
        <s v="COLEGIO DE ARQUITECTOS ANIV. UCA" u="1"/>
        <s v="CONVOCATORIA   ASAMBLEA GENERAL " u="1"/>
        <s v="CONVOCATORIA  ASAMBLEA  GENERAL " u="1"/>
        <s v="CONVOCATORIA A ASAMBLEA GENERAL " u="1"/>
        <s v="CONVOVACATORIA ASAMBLEA GENERAL " u="1"/>
        <s v="EL CUMPITA NECESITA Vendedores e" u="1"/>
        <s v="foto en caerpeta de la fecha 2 de junio murilllo eduardo 2x3 color" u="1"/>
        <s v="VILLANUEVA - BRISA" u="1"/>
        <s v="EDICTO SUCESORIO  - - -El Juzgad" u="1"/>
        <s v="EDICTO SUCESORIO ------El Juzgad" u="1"/>
        <s v="EDICTO Tengo el agrado de dirigi" u="1"/>
        <s v="LLAMADO A ELECCIONES SINDICATO D" u="1"/>
        <s v="YPF GAS LA DISTRIBUIDORA SRL. av" u="1"/>
        <s v="                              ED" u="1"/>
        <s v="JUZGADO FEDERAL DE JUJUY 1 3013/" u="1"/>
        <s v="Llamado a concurso para Residenc" u="1"/>
        <s v="RESERVA LOS ANDES" u="1"/>
        <s v="fecha solicitada por el cliente" u="1"/>
        <s v="CIRCULO DE RETIRADOS DE LAS FUER" u="1"/>
        <s v="EDICTOS SUCESORIO    EN EL EXPTE" u="1"/>
        <s v="+ BERTA VICTORIA HUANCA  09/06/5" u="1"/>
        <s v="MEDICO PEDIATRA" u="1"/>
        <s v="UNJU DIA DE LA MEMORIA" u="1"/>
        <s v="carpa de las comadres   aviso ar" u="1"/>
        <s v="NUEVO PROFESIONAL DR. FRANCO LUI" u="1"/>
        <s v="DUEÑA VENDE  DEPATAMENTO Guemes al 900  " u="1"/>
        <s v="ROLCAR BUSQUEDA LABORAL" u="1"/>
        <s v="ADN PRO ......" u="1"/>
        <s v="+ VASQUEZ, PAULO IGNACIO      (q" u="1"/>
        <s v="MUNI JUJUY - SEMANA DE LA FUNDAC" u="1"/>
        <s v="I.M.D." u="1"/>
        <s v="MEGA FIESTA DEL RECUERDO" u="1"/>
        <s v="     EDICTO SUCESORIO   - JUZGAD" u="1"/>
        <s v="EDICTO  La Dra. Claudia Ibañez d" u="1"/>
        <s v="SE INFORMA QUE EL BINGO REALIZAD" u="1"/>
        <s v="URGENTE VENDO  TERRENO 50x50 En " u="1"/>
        <s v="PARA EL VIERNES 13 /8 CON LEYENDA _x000d__x000a_//////HOY//////" u="1"/>
        <s v="DOS  EJESA CORTE...." u="1"/>
        <s v="ALBERTO ANTONIO GOMEZ  1X3" u="1"/>
        <s v="CONCEJO DELIBERANTE - san martin" u="1"/>
        <s v="ELECTROMECANICA SANCHEZ  ANIV. B" u="1"/>
        <s v="FLORES, Adrian Orlando (q.e.p.d." u="1"/>
        <s v="APACHEta nacho padro" u="1"/>
        <s v="EDICTO DRA. NORMA BEATRIZ ISSA, " u="1"/>
        <s v="MAIDANA 1X3" u="1"/>
        <s v="a color y negrita" u="1"/>
        <s v="ESTUDIO JURIDICO LOPEZ SALGADO  &amp; Asoc. " u="1"/>
        <s v="TOMAR EL AVISO COMPLETO DE LA CARPETA DE NOTABLES DE LA FECHA_x000d__x000a__x000d__x000a__x000d__x000a__x000d__x000a_EL DÍA 22 AGREGAR LEYENDA _x000d__x000a__x000d__x000a_&quot;HOY&quot;" u="1"/>
        <s v="FASTA  SALUDO DE FIN DE  AÑO" u="1"/>
        <s v="SUPER CARNES RUBEN - ANUARIO" u="1"/>
        <s v="+ FRIAS, Magali  (q.e.p.d.) Fall" u="1"/>
        <s v="AGRADECIMIENTO     Ines Padilla " u="1"/>
        <s v="COLEGIO DE ABOGADOS EMP JUDICIAL" u="1"/>
        <s v="COLEGIO DE ABOGADOS ESP JUDICIAL" u="1"/>
        <s v="CON FOTO EN CARPETA DE LA FECHA 27/04 CARMEN VEGA DE GASPAR" u="1"/>
        <s v="VALENTINA ESP GRAN MONARCA" u="1"/>
        <s v="Convocatoria Club 20 de Enero   " u="1"/>
        <s v="Querida mamá: --Mami, nos enseña" u="1"/>
        <s v="ANGEL LUBRICANTES . ..." u="1"/>
        <s v="+ Marta Emilia Montaño    QEPD  " u="1"/>
        <s v="CONCEJAL DR. HUGO SOSA  DÍA DE T" u="1"/>
        <s v="Toyota Corolla 1.8 XEI  (tapizad" u="1"/>
        <s v="GENERAL DE LA FE" u="1"/>
        <s v="CONSORCIO DE RIEGO  ESP SAN MARI" u="1"/>
        <s v="UCASAL JUJUY - oferta marzo 2021" u="1"/>
        <s v="VENDO VW PASSET  2.0 mod 2008 tu" u="1"/>
        <s v="VENDO TOYOTA SW4" u="1"/>
        <s v="+ ANAGUA, Virginia “Vicky” (q.e." u="1"/>
        <s v="Muchos días y noches pasaron hoy" u="1"/>
        <s v="ACOSTA MUEBLES ESP POLICIAS" u="1"/>
        <s v="Carniceria C A B R O N  busca ca" u="1"/>
        <s v="VENDO FONDO de Comercio (Panific" u="1"/>
        <s v="con fotooo!!!" u="1"/>
        <s v="Se necesita Personal de Limpieza" u="1"/>
        <s v="WERCHOW  EDITH MORALES" u="1"/>
        <s v="OPTICA SAN CAYETANO  ANIV. B° 9 " u="1"/>
        <s v="TITULO CON MAYUSCULA Y NEGRITA (INCLUIDO EL Nº PERSONERIA _x000d__x000a__x000d__x000a_si seria posible en pag. jujuy" u="1"/>
        <s v="FINCA DON ARMANDO" u="1"/>
        <s v="cargar cuenta cte. werchow  1x3 " u="1"/>
        <s v="COMPRO AUTOS  CHOCADOS-USADOS a " u="1"/>
        <s v="PUNA DE ATACAMA SRL adhesion LEN" u="1"/>
        <s v="VENDO DPTO en Lavalle 1619, Micr" u="1"/>
        <s v="ViLLANUEVA - AMBAR" u="1"/>
        <s v="------------------EDICTO  ------" u="1"/>
        <s v="EMPRESA EDITORIAL BUSCA DISEÑADO" u="1"/>
        <s v="con foto  (MAS VISIBLE) enviado a correo de pablo (obituario) a color" u="1"/>
        <s v="ALTOS DEL ZAPLA" u="1"/>
        <s v="                         CONVOCA" u="1"/>
        <s v="CENTRO VECINAL SAN PEDRITO La Co" u="1"/>
        <s v="LUCHIN MATERIALES  CELEBRACIÓN V" u="1"/>
        <s v="                       EDICTO SU" u="1"/>
        <s v="BALBI DISTRIBUIDORA ESP TRABAJAD" u="1"/>
        <s v="CONVOCATORIA El Consejo Directiv" u="1"/>
        <s v="ELECTRICIDADA JUJUY  ADHESION AN" u="1"/>
        <s v="UNION CAÑEROS INDEPEND. ESP PERI" u="1"/>
        <s v="CONCEJO DELIBERANTE  - Anuario" u="1"/>
        <s v="+ DURAN DE ASMUZI GUDELIA Q.E.P." u="1"/>
        <s v="CAMBRIDE ENGLISH SCHOOL  AVISO A" u="1"/>
        <s v="VETERINARIA GENESIS" u="1"/>
        <s v="GARELY SACI ESP HUEDA" u="1"/>
        <s v=" FELICES FIESTAS SALUDO..." u="1"/>
        <s v="+ BIANCO, LUCIO GUIDO (q.e.p.d.)" u="1"/>
        <s v="/////CON LOGO /////// CONVOCATOR" u="1"/>
        <s v="BRAMED SRL COMUNICA A SUS AFILIA" u="1"/>
        <s v="HAFID ESP TAXISTA" u="1"/>
        <s v="+ MIRTA EVANGELINA SANDOVAL  MOD" u="1"/>
        <s v="TAMANGO CALZADOS ESP GRAN MONARC" u="1"/>
        <s v="UNION DE EMPRESARIOS ESP EMPRES." u="1"/>
        <s v="1 COLEGIO DE ARQUITECTOS" u="1"/>
        <s v="FRENOS Y EMBRAGUES JUJUY" u="1"/>
        <s v="CHACHO MENDEZ  ///AVISO ARMADO//" u="1"/>
        <s v="EDICTO  --------JUZGADO DE PRIME" u="1"/>
        <s v="EDICTO - - - El Juzgado de Prime" u="1"/>
        <s v="EDICTO ---------JUZGADO DE PRIME" u="1"/>
        <s v="EDICTO --------“JUZGADO DE PRIME" u="1"/>
        <s v="COLEGIO DE PSICOPEDGOGOS. ...  A" u="1"/>
        <s v="SE BUSCA CARPINTERO  EN MELAMINA" u="1"/>
        <s v="VDO. CAMION M. BENZ. 16/34. Mod." u="1"/>
        <s v="foto pendiente" u="1"/>
        <s v="ABANS RECURSOS HUMANOS" u="1"/>
        <s v="CHANGO MAS OFERTAS NAVIDAD...." u="1"/>
        <s v="HAFIP ESP SEG. VIAL" u="1"/>
        <s v="ISJ  COVID 19 .... GOBIERNO" u="1"/>
        <s v="Contreras SA  USA LA MISMA IMAGE" u="1"/>
        <s v="a color aviso para renonar idem 1466187 (3x5)" u="1"/>
        <s v="EMMA “FANNY” SAAVEDRA Falleció e" u="1"/>
        <s v="TALLER DE MUSICA Acelerados al m" u="1"/>
        <s v="REPITE EL MISMO AVISO" u="1"/>
        <s v="TERESA MATILDE CHAUQUE" u="1"/>
        <s v="+ OSCAR CARDOZO   q.e.p.d       " u="1"/>
        <s v="CAÑAS VENTA *Excluisiva propieda" u="1"/>
        <s v="MUNIC. S.S. DE JUJUY - FICHA MUN" u="1"/>
        <s v="SUBASTA PRIVADA DE RODADOS SIN B" u="1"/>
        <s v="ASOCIACIÓN CIVIL FUTBOL FEMENINO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223461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VEN01"/>
        <s v="JEDICT"/>
        <s v="JASAMB"/>
        <s v="JAGRUP"/>
        <s v="SUDC"/>
        <s v="SU"/>
        <s v="SER"/>
        <s v="PES"/>
        <s v="PAG11"/>
        <s v="PAC"/>
        <s v="IAC"/>
        <s v="CTAPA"/>
        <s v="JGPSICO"/>
        <s v="JGPODOL"/>
        <s v="JGKINES"/>
        <s v="JGESTET"/>
        <s v="JGCLIM"/>
        <s v="JGABOGA"/>
        <s v="OBIMOD"/>
        <m u="1"/>
        <s v="JGARTRO" u="1"/>
        <s v="JGOTRPRO" u="1"/>
        <s v="JARRIE" u="1"/>
        <s v="JGECOGR" u="1"/>
        <s v="JREPYA" u="1"/>
        <s v="JCOM01" u="1"/>
        <s v="JPDOME" u="1"/>
        <s v="PDC" u="1"/>
        <s v="JCOM02" u="1"/>
        <s v="PAG19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JCOM07" u="1"/>
        <s v="OREIZQ" u="1"/>
        <s v="JCOM08" u="1"/>
        <s v="JALMI" u="1"/>
        <s v="PAG7" u="1"/>
        <s v="JINSPR" u="1"/>
        <s v="JGALERG" u="1"/>
        <s v="JCOMP" u="1"/>
        <s v="JEMPCO" u="1"/>
        <s v="JEXTRA" u="1"/>
        <s v="JOFREC" u="1"/>
        <s v="JVETER" u="1"/>
        <s v="PAG5" u="1"/>
        <s v="JAGRIC" u="1"/>
        <s v="JGODONT" u="1"/>
        <s v="JMOTOS" u="1"/>
        <s v="JTALLG" u="1"/>
        <s v="JGDERMA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PAG3" u="1"/>
        <s v="JOTRSE" u="1"/>
        <s v="OBI" u="1"/>
        <s v="JVEN06" u="1"/>
        <s v="JGPSICPE" u="1"/>
        <s v="JALP05" u="1"/>
        <s v="JGCONT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0"/>
        <n v="34"/>
        <n v="18"/>
        <n v="26"/>
        <n v="33"/>
        <n v="5"/>
        <n v="35"/>
        <n v="11"/>
        <n v="29"/>
        <n v="28"/>
        <n v="30"/>
        <n v="27"/>
        <n v="9"/>
        <n v="17"/>
        <n v="7"/>
        <n v="4"/>
        <n v="3"/>
        <n v="13"/>
        <n v="15"/>
        <n v="36"/>
        <n v="6"/>
        <n v="8"/>
        <n v="2"/>
        <n v="1"/>
        <n v="57" u="1"/>
        <n v="59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52" u="1"/>
        <n v="19" u="1"/>
        <n v="54" u="1"/>
        <n v="56" u="1"/>
        <n v="21" u="1"/>
        <n v="58" u="1"/>
        <n v="22" u="1"/>
        <n v="60" u="1"/>
        <n v="37" u="1"/>
        <n v="23" u="1"/>
        <n v="62" u="1"/>
        <n v="39" u="1"/>
        <n v="24" u="1"/>
        <n v="64" u="1"/>
        <n v="41" u="1"/>
        <n v="25" u="1"/>
        <n v="43" u="1"/>
        <n v="45" u="1"/>
        <n v="10" u="1"/>
        <n v="47" u="1"/>
        <n v="49" u="1"/>
        <n v="51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2x09"/>
        <s v="2x20"/>
        <s v="2x12"/>
        <s v="2x15"/>
        <s v="3x16"/>
        <s v="3x05"/>
        <s v="2x13"/>
        <s v="2x10"/>
        <s v="3x10"/>
        <s v="1x06"/>
        <s v="5x10"/>
        <s v="3x13"/>
        <s v="3x03"/>
        <s v="5x17"/>
        <s v="2x03"/>
        <s v="5x03"/>
        <s v="5x35"/>
        <s v="3x15"/>
        <s v="5x13"/>
        <s v="2x02"/>
        <s v="2x05"/>
        <s v="2x04"/>
        <s v="2x07"/>
        <s v="2x06"/>
        <s v="4x13"/>
        <s v="5x06"/>
        <s v="1x10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7x22" u="1"/>
        <s v="3x25" u="1"/>
        <s v="4x19" u="1"/>
        <s v="1x16" u="1"/>
        <s v="3x35" u="1"/>
        <s v="3x04" u="1"/>
        <s v="7x11" u="1"/>
        <s v="3x14" u="1"/>
        <s v="4x08" u="1"/>
        <s v="7x21" u="1"/>
        <s v="1x05" u="1"/>
        <s v="3x24" u="1"/>
        <s v="4x18" u="1"/>
        <s v="5x12" u="1"/>
        <s v="1x15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">
  <r>
    <x v="0"/>
    <x v="0"/>
    <s v="Bellen Oller"/>
    <x v="0"/>
    <s v="vendo inmueble alte brown"/>
    <x v="0"/>
    <s v="Notables - Jujuy +1 Col"/>
    <x v="0"/>
    <n v="907.9"/>
    <x v="0"/>
    <x v="0"/>
    <m/>
    <x v="0"/>
    <x v="0"/>
    <n v="2"/>
    <n v="8.9999999987222221"/>
    <x v="0"/>
    <n v="9"/>
    <x v="0"/>
  </r>
  <r>
    <x v="0"/>
    <x v="1"/>
    <s v="PODER JUDICIAL DE LA PCIA JUJUY"/>
    <x v="1"/>
    <s v="EDICTO DE NOTIFICACION  EL SUPERIOR TRIBUNAL DE JUSTICA DE Lo. MPN. Pedro Omar Bernal, Jefe del Depósito de Sec8  312798"/>
    <x v="1"/>
    <s v="Remates/Edictos Cm- Jujuy OFICIAL"/>
    <x v="1"/>
    <n v="9226.75"/>
    <x v="0"/>
    <x v="1"/>
    <m/>
    <x v="0"/>
    <x v="0"/>
    <n v="2"/>
    <n v="20.000000001472223"/>
    <x v="0"/>
    <n v="20"/>
    <x v="1"/>
  </r>
  <r>
    <x v="0"/>
    <x v="2"/>
    <s v="Aguilar Jaquelina"/>
    <x v="0"/>
    <s v="EDICTO DE CITACION     LA COORDINACION DE HABITAT, en el Exp 27 de Julio del 2023- Coord, Sra. Ruth Liliana Gut8 0619373"/>
    <x v="2"/>
    <s v="Remates/Edictos Cm- Jujuy"/>
    <x v="0"/>
    <n v="664.06000000000006"/>
    <x v="0"/>
    <x v="1"/>
    <m/>
    <x v="0"/>
    <x v="0"/>
    <n v="2"/>
    <n v="11.999999999472221"/>
    <x v="0"/>
    <n v="12"/>
    <x v="2"/>
  </r>
  <r>
    <x v="0"/>
    <x v="3"/>
    <s v="Caja Asist. Prev. Soc. de Abog. y Procu. Jujuy- CAPSAP"/>
    <x v="2"/>
    <s v="SARMIENTO SERGIO ANTONIO EXPTE C155305/208  155305"/>
    <x v="3"/>
    <s v="Remates/Edictos Cm- Jujuy"/>
    <x v="1"/>
    <n v="830.07666666666671"/>
    <x v="0"/>
    <x v="1"/>
    <m/>
    <x v="0"/>
    <x v="0"/>
    <n v="2"/>
    <n v="15.000000000222226"/>
    <x v="0"/>
    <n v="15"/>
    <x v="3"/>
  </r>
  <r>
    <x v="0"/>
    <x v="4"/>
    <s v="Gareca Laura"/>
    <x v="0"/>
    <s v="EDICTO DE CITACION   LA COORDINACION DE HABITAT, en el Expedy, 31 de julio de 2023- Coord. Sra. Ruth Liliana Gu8 0619312"/>
    <x v="4"/>
    <s v="Remates/Edictos Cm- Jujuy"/>
    <x v="0"/>
    <n v="664.06000000000006"/>
    <x v="0"/>
    <x v="1"/>
    <m/>
    <x v="0"/>
    <x v="0"/>
    <n v="2"/>
    <n v="11.999999999472221"/>
    <x v="0"/>
    <n v="12"/>
    <x v="2"/>
  </r>
  <r>
    <x v="0"/>
    <x v="5"/>
    <s v="Donoso  Yolanda Maria Jose"/>
    <x v="0"/>
    <s v="EDICTO DE CITACION   LA COORDINACION DE HABITAT, en el Exped de Jujuy, 16 DE JUNIO DE 2023- Coordinadora Ruth G8 0619147"/>
    <x v="4"/>
    <s v="Remates/Edictos Cm- Jujuy"/>
    <x v="0"/>
    <n v="664.06000000000006"/>
    <x v="0"/>
    <x v="1"/>
    <m/>
    <x v="0"/>
    <x v="0"/>
    <n v="2"/>
    <n v="11.999999999472221"/>
    <x v="0"/>
    <n v="12"/>
    <x v="2"/>
  </r>
  <r>
    <x v="0"/>
    <x v="6"/>
    <s v="Coop. de Viv. Cred. Consumo La Esperanza Ltda"/>
    <x v="0"/>
    <s v="COOPERATIVA DE VIVIENDA, CRÉDITO Y CONSUMO LA ESPERANZA LIMItitucional y de los Asociados   El Consejo de Admin8  024554"/>
    <x v="5"/>
    <s v="Asamblea Cm- Jujuy"/>
    <x v="0"/>
    <n v="1550.0900000000001"/>
    <x v="0"/>
    <x v="2"/>
    <m/>
    <x v="0"/>
    <x v="0"/>
    <n v="2"/>
    <n v="15.000000000222226"/>
    <x v="0"/>
    <n v="15"/>
    <x v="3"/>
  </r>
  <r>
    <x v="0"/>
    <x v="7"/>
    <s v="Colegio De Graduados En Ciencia De La Nutricion"/>
    <x v="0"/>
    <s v="COLEGIO DE GRADUADOS EN CIENCIAS DE LA NUTRICIÓN DE LA PROVI de la Nutrición y Lic. VALERIA JOSEFINA QUISPE- Secretaria."/>
    <x v="6"/>
    <s v="Asamblea Cm- Jujuy"/>
    <x v="0"/>
    <n v="3223.77"/>
    <x v="0"/>
    <x v="2"/>
    <m/>
    <x v="0"/>
    <x v="0"/>
    <n v="3"/>
    <n v="16.000000000472223"/>
    <x v="0"/>
    <n v="16"/>
    <x v="4"/>
  </r>
  <r>
    <x v="0"/>
    <x v="8"/>
    <s v="Jairo Montes"/>
    <x v="0"/>
    <s v="COSEJERO y HECHICERO DEL AMOR JAIRO 388 4670393"/>
    <x v="7"/>
    <s v="Notables - Jujuy +1 Col"/>
    <x v="0"/>
    <n v="705.66399999999999"/>
    <x v="0"/>
    <x v="3"/>
    <m/>
    <x v="0"/>
    <x v="0"/>
    <n v="3"/>
    <n v="5.0000000012500001"/>
    <x v="0"/>
    <n v="5"/>
    <x v="5"/>
  </r>
  <r>
    <x v="0"/>
    <x v="9"/>
    <s v="Abanto  Freddy"/>
    <x v="0"/>
    <s v="MAGIA CHAMANICA - LOS APUS  MAESTRA LASHMY"/>
    <x v="8"/>
    <s v="Notables - Jujuy +1 Col"/>
    <x v="0"/>
    <n v="720.06571428571431"/>
    <x v="0"/>
    <x v="3"/>
    <m/>
    <x v="0"/>
    <x v="0"/>
    <n v="3"/>
    <n v="5.0000000012500001"/>
    <x v="0"/>
    <n v="5"/>
    <x v="5"/>
  </r>
  <r>
    <x v="1"/>
    <x v="10"/>
    <s v="Editora Sociedad Anonima"/>
    <x v="3"/>
    <s v="PIZPIRETA  FM JUJUY ...."/>
    <x v="9"/>
    <s v="Editorial Comercial - Jujuy"/>
    <x v="2"/>
    <n v="2596.6999999999998"/>
    <x v="1"/>
    <x v="4"/>
    <s v="SUDC"/>
    <x v="1"/>
    <x v="0"/>
    <n v="2"/>
    <n v="13.433777777777777"/>
    <x v="0"/>
    <n v="13"/>
    <x v="6"/>
  </r>
  <r>
    <x v="1"/>
    <x v="11"/>
    <s v="Editora Sociedad Anonima"/>
    <x v="4"/>
    <s v="LA MAGIA DE LAS PALABRAS - FM SOL"/>
    <x v="10"/>
    <s v="Editorial Comercial - Jujuy"/>
    <x v="2"/>
    <n v="2337.0300000000002"/>
    <x v="1"/>
    <x v="4"/>
    <s v="SUDC"/>
    <x v="2"/>
    <x v="0"/>
    <n v="2"/>
    <n v="9.8777777777777782"/>
    <x v="0"/>
    <n v="10"/>
    <x v="7"/>
  </r>
  <r>
    <x v="1"/>
    <x v="12"/>
    <s v="Editora Sociedad Anonima"/>
    <x v="5"/>
    <s v="FM JUJUY UN DIA PERFECTO"/>
    <x v="11"/>
    <s v="Editorial Comercial - Jujuy"/>
    <x v="2"/>
    <n v="3505.55"/>
    <x v="1"/>
    <x v="4"/>
    <s v="SUDC"/>
    <x v="3"/>
    <x v="0"/>
    <n v="3"/>
    <n v="9.8777777777777782"/>
    <x v="0"/>
    <n v="10"/>
    <x v="8"/>
  </r>
  <r>
    <x v="1"/>
    <x v="13"/>
    <s v="Rodriguez  Javier"/>
    <x v="0"/>
    <s v="SEX SHOP ///AVISO ARMADO////"/>
    <x v="12"/>
    <s v="Editorial Comercial - Jujuy"/>
    <x v="0"/>
    <n v="0"/>
    <x v="1"/>
    <x v="4"/>
    <s v="SUDC"/>
    <x v="4"/>
    <x v="0"/>
    <n v="1"/>
    <n v="6.3217777777777773"/>
    <x v="0"/>
    <n v="6"/>
    <x v="9"/>
  </r>
  <r>
    <x v="1"/>
    <x v="14"/>
    <s v=" COLSA SOCIEDAD DE RESPONSABILIDAD LIMITADA (FRIAR)"/>
    <x v="6"/>
    <s v="FRIAR"/>
    <x v="13"/>
    <s v="Editorial Comercial - Jujuy"/>
    <x v="1"/>
    <n v="5613.95"/>
    <x v="0"/>
    <x v="4"/>
    <s v="SUDC"/>
    <x v="5"/>
    <x v="0"/>
    <n v="5"/>
    <n v="9.8777777777777782"/>
    <x v="0"/>
    <n v="10"/>
    <x v="10"/>
  </r>
  <r>
    <x v="1"/>
    <x v="15"/>
    <s v="Maria Cristina Garcia"/>
    <x v="0"/>
    <s v="COMUNICADO Sociedades Médicas Científicas  Las sociedades mé, Radiología, Alergia e Inmunología, Neumología y Pediatría."/>
    <x v="14"/>
    <s v="Editorial Solicitadas - Jujuy"/>
    <x v="0"/>
    <n v="24439.920000000002"/>
    <x v="0"/>
    <x v="4"/>
    <s v="SUDC"/>
    <x v="6"/>
    <x v="0"/>
    <n v="3"/>
    <n v="13.433777777777777"/>
    <x v="0"/>
    <n v="13"/>
    <x v="11"/>
  </r>
  <r>
    <x v="1"/>
    <x v="16"/>
    <s v="La Cocheria S.r.l."/>
    <x v="7"/>
    <s v="LA COCHERIA SRL"/>
    <x v="15"/>
    <s v="Editorial Comercial - Jujuy"/>
    <x v="1"/>
    <n v="989.19"/>
    <x v="1"/>
    <x v="5"/>
    <s v="SU"/>
    <x v="7"/>
    <x v="0"/>
    <n v="3"/>
    <n v="2.7657777777777777"/>
    <x v="0"/>
    <n v="3"/>
    <x v="12"/>
  </r>
  <r>
    <x v="1"/>
    <x v="17"/>
    <s v="Direccion De Prensa Y Medios De Comunicacion"/>
    <x v="8"/>
    <s v="TOMBOLA....  Gobierno de JUJUY al norte a seguir  RESULTADOSTE  ES PERJUDICIAL PARA LA SALUD  LEY PROVINCIAL Nº 5663...."/>
    <x v="16"/>
    <s v="Editorial Comercial - Jujuy cm OFICIAL"/>
    <x v="1"/>
    <n v="153076.92000000001"/>
    <x v="1"/>
    <x v="5"/>
    <s v="SU"/>
    <x v="8"/>
    <x v="1"/>
    <n v="5"/>
    <n v="17.000000000722224"/>
    <x v="0"/>
    <n v="17"/>
    <x v="13"/>
  </r>
  <r>
    <x v="1"/>
    <x v="18"/>
    <s v="Farmacia Yrigoyen S C S"/>
    <x v="9"/>
    <s v="FARMACIA YRIGOYEN"/>
    <x v="17"/>
    <s v="Editorial Comercial - Jujuy"/>
    <x v="1"/>
    <n v="364.94"/>
    <x v="1"/>
    <x v="6"/>
    <m/>
    <x v="0"/>
    <x v="0"/>
    <n v="2"/>
    <n v="2.7657777777777777"/>
    <x v="0"/>
    <n v="3"/>
    <x v="14"/>
  </r>
  <r>
    <x v="1"/>
    <x v="19"/>
    <s v="WERCHOW MEDICINA PRIVADA S.A."/>
    <x v="10"/>
    <s v="WERCHOW OBITUARIO"/>
    <x v="18"/>
    <s v="Editorial Comercial - Jujuy"/>
    <x v="1"/>
    <n v="1131.22"/>
    <x v="1"/>
    <x v="6"/>
    <s v="SER"/>
    <x v="7"/>
    <x v="0"/>
    <n v="5"/>
    <n v="2.7657777777777777"/>
    <x v="0"/>
    <n v="3"/>
    <x v="15"/>
  </r>
  <r>
    <x v="1"/>
    <x v="20"/>
    <s v="Servicios Sociales Futuro S R L"/>
    <x v="11"/>
    <s v="SERIVICIO SOCIALES FUTURO..."/>
    <x v="19"/>
    <s v="Editorial Comercial - Jujuy"/>
    <x v="1"/>
    <n v="876.18000000000006"/>
    <x v="1"/>
    <x v="6"/>
    <s v="SER"/>
    <x v="7"/>
    <x v="0"/>
    <n v="5"/>
    <n v="2.7657777777777777"/>
    <x v="0"/>
    <n v="3"/>
    <x v="15"/>
  </r>
  <r>
    <x v="1"/>
    <x v="21"/>
    <s v="Martinez  Cesar Antonio"/>
    <x v="12"/>
    <s v="JUJUY MODELS (SUP ESTILOS) bonif 7x3"/>
    <x v="20"/>
    <s v="Editorial Comercial - Jujuy"/>
    <x v="2"/>
    <n v="5211.95"/>
    <x v="1"/>
    <x v="7"/>
    <s v="PES"/>
    <x v="9"/>
    <x v="0"/>
    <n v="5"/>
    <n v="16.989777777777778"/>
    <x v="0"/>
    <n v="17"/>
    <x v="13"/>
  </r>
  <r>
    <x v="1"/>
    <x v="22"/>
    <s v="Pablo Zamora"/>
    <x v="13"/>
    <s v="NEW FOX"/>
    <x v="21"/>
    <s v="Editorial Comercial - Jujuy"/>
    <x v="1"/>
    <n v="0"/>
    <x v="1"/>
    <x v="7"/>
    <s v="PES"/>
    <x v="10"/>
    <x v="0"/>
    <n v="3"/>
    <n v="9.8777777777777782"/>
    <x v="0"/>
    <n v="10"/>
    <x v="8"/>
  </r>
  <r>
    <x v="1"/>
    <x v="23"/>
    <s v="Colegio De Opticos Prov De Jujuy"/>
    <x v="14"/>
    <s v="COLEGIO DE OPTICOS ESP ESTILOS /bonif plan 3x1 283848"/>
    <x v="22"/>
    <s v="Editorial Comercial - Jujuy"/>
    <x v="2"/>
    <n v="1667.57"/>
    <x v="1"/>
    <x v="7"/>
    <s v="PES"/>
    <x v="10"/>
    <x v="0"/>
    <n v="2"/>
    <n v="13.433777777777777"/>
    <x v="0"/>
    <n v="13"/>
    <x v="6"/>
  </r>
  <r>
    <x v="1"/>
    <x v="24"/>
    <s v="Salinas  Roberto German"/>
    <x v="15"/>
    <s v="COMPLEJO RETRO - LA TERMINAL"/>
    <x v="23"/>
    <s v="Editorial Comercial - Jujuy"/>
    <x v="1"/>
    <n v="6097.85"/>
    <x v="1"/>
    <x v="7"/>
    <s v="PES"/>
    <x v="11"/>
    <x v="0"/>
    <n v="5"/>
    <n v="16.989777777777778"/>
    <x v="0"/>
    <n v="17"/>
    <x v="13"/>
  </r>
  <r>
    <x v="1"/>
    <x v="25"/>
    <s v="Instituto Salteño de Intercambio Argentino Norteamericano"/>
    <x v="0"/>
    <s v="I nstituto Salteño de Intercambio Argentino Norteamericano"/>
    <x v="24"/>
    <s v="Editorial Comercial - Jujuy"/>
    <x v="0"/>
    <n v="6425.34"/>
    <x v="1"/>
    <x v="7"/>
    <s v="PES"/>
    <x v="12"/>
    <x v="1"/>
    <n v="5"/>
    <n v="16.989777777777778"/>
    <x v="0"/>
    <n v="17"/>
    <x v="13"/>
  </r>
  <r>
    <x v="1"/>
    <x v="26"/>
    <s v="Editora Sociedad Anonima"/>
    <x v="16"/>
    <s v="VOTO RUBEN RIVAROLA - SENADOR"/>
    <x v="25"/>
    <s v="Editorial Comercial - Jujuy"/>
    <x v="2"/>
    <n v="12195.7"/>
    <x v="1"/>
    <x v="7"/>
    <s v="PES"/>
    <x v="13"/>
    <x v="0"/>
    <n v="5"/>
    <n v="34.769777777777783"/>
    <x v="0"/>
    <n v="35"/>
    <x v="16"/>
  </r>
  <r>
    <x v="1"/>
    <x v="27"/>
    <s v="LOZANO ROQUE LUIS - INST. QUINOA"/>
    <x v="17"/>
    <s v="QUINOA - GASTRONOMICO"/>
    <x v="26"/>
    <s v="Editorial Comercial - Jujuy"/>
    <x v="1"/>
    <n v="4756.29"/>
    <x v="1"/>
    <x v="7"/>
    <s v="PES"/>
    <x v="14"/>
    <x v="0"/>
    <n v="5"/>
    <n v="9.8777777777777782"/>
    <x v="0"/>
    <n v="10"/>
    <x v="10"/>
  </r>
  <r>
    <x v="1"/>
    <x v="28"/>
    <s v="Caballero Virginia."/>
    <x v="18"/>
    <s v="PANCHAMAMA..."/>
    <x v="27"/>
    <s v="Editorial Comercial - Jujuy"/>
    <x v="0"/>
    <n v="4756.29"/>
    <x v="1"/>
    <x v="7"/>
    <s v="PES"/>
    <x v="14"/>
    <x v="0"/>
    <n v="5"/>
    <n v="9.8777777777777782"/>
    <x v="0"/>
    <n v="10"/>
    <x v="10"/>
  </r>
  <r>
    <x v="1"/>
    <x v="29"/>
    <s v="Direccion De Prensa Y Medios De Comunicacion"/>
    <x v="8"/>
    <s v="CENTRO de ATENCION RENTAS JUJUY linea telefonica 0 8 0 0 - 5 seguir - Direccion Provincial de RENTAS  rentasjujuy.gob.ar"/>
    <x v="28"/>
    <s v="Editorial Comercial - Jujuy cm OFICIAL"/>
    <x v="1"/>
    <n v="223461.54"/>
    <x v="1"/>
    <x v="8"/>
    <s v="PAG11"/>
    <x v="15"/>
    <x v="0"/>
    <n v="5"/>
    <n v="35.000000001694445"/>
    <x v="1"/>
    <n v="35"/>
    <x v="16"/>
  </r>
  <r>
    <x v="1"/>
    <x v="30"/>
    <s v="Tecno Express S.r.l."/>
    <x v="0"/>
    <s v="TECNO EXPRESS S.R.L. Informa a sus afiliados que a partir de de 2023, la cuota de Servicio será de $ 1500,00 La Gerencia"/>
    <x v="29"/>
    <s v="Editorial Comercial - Jujuy"/>
    <x v="0"/>
    <n v="783.62"/>
    <x v="0"/>
    <x v="9"/>
    <s v="PAC"/>
    <x v="16"/>
    <x v="0"/>
    <n v="2"/>
    <n v="2.7657777777777777"/>
    <x v="0"/>
    <n v="3"/>
    <x v="14"/>
  </r>
  <r>
    <x v="1"/>
    <x v="31"/>
    <s v="Editora Sociedad Anonima"/>
    <x v="19"/>
    <s v="RUBEN RIVAROLA SENADOR"/>
    <x v="30"/>
    <s v="Editorial Comercial - Jujuy"/>
    <x v="2"/>
    <n v="24344.350000000002"/>
    <x v="1"/>
    <x v="10"/>
    <s v="IAC"/>
    <x v="17"/>
    <x v="0"/>
    <n v="5"/>
    <n v="34.769777777777783"/>
    <x v="0"/>
    <n v="35"/>
    <x v="16"/>
  </r>
  <r>
    <x v="1"/>
    <x v="32"/>
    <s v="Ministerio de Edcucacion"/>
    <x v="8"/>
    <s v="Programa de mejoras de acceso y calidad Educativa 8PROMACE)  LICITACIÓN PÚBLICA NACIONAL N° 11-UCP/2023"/>
    <x v="31"/>
    <s v="Editorial Comercial - Jujuy cm OFICIAL"/>
    <x v="1"/>
    <n v="81040.72"/>
    <x v="0"/>
    <x v="10"/>
    <s v="IAC"/>
    <x v="18"/>
    <x v="0"/>
    <n v="3"/>
    <n v="15.000000000222226"/>
    <x v="0"/>
    <n v="15"/>
    <x v="17"/>
  </r>
  <r>
    <x v="1"/>
    <x v="33"/>
    <s v="TELAM SOCIEDAD DEL ESTADO"/>
    <x v="20"/>
    <s v="ELECCIONES 2023 CHICA  - TELAM SECRETARIA DE MEDIOS Y COMUN. PUBLICA."/>
    <x v="32"/>
    <s v="Editorial Comercial - Jujuy OFICIAL"/>
    <x v="2"/>
    <n v="10260"/>
    <x v="1"/>
    <x v="10"/>
    <s v="IAC"/>
    <x v="19"/>
    <x v="0"/>
    <n v="5"/>
    <n v="34.769777777777783"/>
    <x v="0"/>
    <n v="35"/>
    <x v="16"/>
  </r>
  <r>
    <x v="1"/>
    <x v="34"/>
    <s v="MURCIA SRL"/>
    <x v="0"/>
    <s v="MURCIA S.R.L. INFORMA Se comunica al personal temporario y cntro de los cinco (5) días de publicado el presente anuncio."/>
    <x v="33"/>
    <s v="Editorial Comercial - Jujuy"/>
    <x v="0"/>
    <n v="3962.88"/>
    <x v="0"/>
    <x v="10"/>
    <s v="IAC"/>
    <x v="6"/>
    <x v="0"/>
    <n v="2"/>
    <n v="9.8777777777777782"/>
    <x v="0"/>
    <n v="10"/>
    <x v="7"/>
  </r>
  <r>
    <x v="1"/>
    <x v="35"/>
    <s v="Fundación Magister"/>
    <x v="21"/>
    <s v="DERECHO CIVIL Y PROCESAL - FUNDACION MAGISTER S21"/>
    <x v="34"/>
    <s v="Editorial Comercial - Jujuy"/>
    <x v="1"/>
    <n v="15191.04"/>
    <x v="1"/>
    <x v="10"/>
    <s v="IAC"/>
    <x v="14"/>
    <x v="0"/>
    <n v="5"/>
    <n v="13.433777777777777"/>
    <x v="1"/>
    <n v="13"/>
    <x v="18"/>
  </r>
  <r>
    <x v="1"/>
    <x v="36"/>
    <s v="Club Atletico Gimnasia y Esgrima"/>
    <x v="22"/>
    <s v="BINGO LOBO...."/>
    <x v="35"/>
    <s v="Editorial Comercial - Jujuy"/>
    <x v="1"/>
    <n v="18988.8"/>
    <x v="1"/>
    <x v="10"/>
    <s v="IAC"/>
    <x v="8"/>
    <x v="0"/>
    <n v="5"/>
    <n v="16.989777777777778"/>
    <x v="0"/>
    <n v="17"/>
    <x v="13"/>
  </r>
  <r>
    <x v="1"/>
    <x v="37"/>
    <s v="CAMBIA JUJUY - AG. POL. - ALIANZA TRANSITORIA"/>
    <x v="8"/>
    <s v="RIZZOTTI - FIAD - HL - GM - ZIGARAN FIAD - GM - RIZZOTTI RIZIAD- GM - ZIGARAN   RIZZOTTI LA UCR REPUDIA LA IRRUPCION ..."/>
    <x v="36"/>
    <s v="Editorial Comercial - Jujuy"/>
    <x v="1"/>
    <n v="87231.900000000009"/>
    <x v="1"/>
    <x v="11"/>
    <s v="CTAPA"/>
    <x v="20"/>
    <x v="0"/>
    <n v="5"/>
    <n v="16.989777777777778"/>
    <x v="1"/>
    <n v="17"/>
    <x v="13"/>
  </r>
  <r>
    <x v="1"/>
    <x v="38"/>
    <s v="Direccion De Prensa Y Medios De Comunicacion"/>
    <x v="8"/>
    <s v="GOBIERNO ISJ INTERNACIONES Y CIRUGIAS A CARGO DEL ISJ...."/>
    <x v="37"/>
    <s v="Editorial Comercial - Jujuy cm OFICIAL"/>
    <x v="1"/>
    <n v="192769.23"/>
    <x v="1"/>
    <x v="11"/>
    <s v="CTAPA"/>
    <x v="20"/>
    <x v="0"/>
    <n v="5"/>
    <n v="17.000000000722224"/>
    <x v="1"/>
    <n v="17"/>
    <x v="13"/>
  </r>
  <r>
    <x v="2"/>
    <x v="39"/>
    <s v="Orellana  Adriana"/>
    <x v="0"/>
    <s v="LIC. ADRIANA PATRICIA ORELLANA  PSICOLOGA M.P. 126 PSICOTERAICIAS) BELGRANO 860  SEXTO PISO  SOLICITAR TURNOS 3885013996"/>
    <x v="38"/>
    <s v="Guia Prof 2 Col - Jujuy"/>
    <x v="0"/>
    <n v="71.564333333333337"/>
    <x v="0"/>
    <x v="12"/>
    <m/>
    <x v="0"/>
    <x v="0"/>
    <n v="2"/>
    <n v="2.0000000005"/>
    <x v="0"/>
    <n v="2"/>
    <x v="19"/>
  </r>
  <r>
    <x v="2"/>
    <x v="40"/>
    <s v="Calpanchay Adolfina"/>
    <x v="0"/>
    <s v="PODOLOGIA Uñas encarnadas - Micosis (hongos) Pie diabético- . Juana Manuela Gorriti N° 16 y Alte Brown - Tel. 3884852247"/>
    <x v="39"/>
    <s v="Guia Prof 2 Col - Jujuy"/>
    <x v="0"/>
    <n v="178.91066666666666"/>
    <x v="1"/>
    <x v="13"/>
    <m/>
    <x v="0"/>
    <x v="0"/>
    <n v="2"/>
    <n v="5.0000000012500001"/>
    <x v="0"/>
    <n v="5"/>
    <x v="20"/>
  </r>
  <r>
    <x v="2"/>
    <x v="41"/>
    <s v="Romero  Gabriel"/>
    <x v="0"/>
    <s v="CONSULTORIO DE PODOLOGIA UÑAS ENCARNADAS - Micosis (hongos)-DOS ALVEAR 730 PLATA ALTA “UÑAS ENCARNADAS / HONGOS8 4834040"/>
    <x v="40"/>
    <s v="Guia Prof 2 Col - Jujuy"/>
    <x v="0"/>
    <n v="178.91066666666666"/>
    <x v="0"/>
    <x v="13"/>
    <m/>
    <x v="0"/>
    <x v="0"/>
    <n v="2"/>
    <n v="5.0000000012500001"/>
    <x v="0"/>
    <n v="5"/>
    <x v="20"/>
  </r>
  <r>
    <x v="2"/>
    <x v="42"/>
    <s v="CRUZ DIEGO FERNANDO"/>
    <x v="0"/>
    <s v="LIC. DIEGO CRUZ QUIROPRAXIA  ////CAMBIAR DIRECCION///  OTERO Piso, Consultorio 15 Cel 388-154096585  REPITE ULTIMO AVISO"/>
    <x v="41"/>
    <s v="Guia Prof 2 Col - Jujuy"/>
    <x v="0"/>
    <n v="71.564166666666679"/>
    <x v="0"/>
    <x v="14"/>
    <m/>
    <x v="0"/>
    <x v="0"/>
    <n v="2"/>
    <n v="2.0000000005"/>
    <x v="0"/>
    <n v="2"/>
    <x v="19"/>
  </r>
  <r>
    <x v="2"/>
    <x v="43"/>
    <s v="Empresa La Piedad S.A."/>
    <x v="23"/>
    <s v="CEMER..."/>
    <x v="42"/>
    <s v="Guia Prof 2 Col - Jujuy"/>
    <x v="1"/>
    <n v="188.58064516129033"/>
    <x v="0"/>
    <x v="15"/>
    <m/>
    <x v="0"/>
    <x v="0"/>
    <n v="2"/>
    <n v="4.0000000010000001"/>
    <x v="0"/>
    <n v="4"/>
    <x v="21"/>
  </r>
  <r>
    <x v="2"/>
    <x v="44"/>
    <s v="Cabezas Laura"/>
    <x v="0"/>
    <s v="Dra. CABEZAS, Laura E. Especialista en Medicina General CnelApp: 0388-4080191 Web: http://www.consultoriodelpla8 4315604"/>
    <x v="43"/>
    <s v="Guia Prof 2 Col - Jujuy"/>
    <x v="0"/>
    <n v="107.34633333333335"/>
    <x v="0"/>
    <x v="16"/>
    <m/>
    <x v="0"/>
    <x v="0"/>
    <n v="2"/>
    <n v="3.0000000007500001"/>
    <x v="0"/>
    <n v="3"/>
    <x v="14"/>
  </r>
  <r>
    <x v="2"/>
    <x v="45"/>
    <s v="Reyes  Arturo Rodrigo"/>
    <x v="0"/>
    <s v="JUBILACIONES, PENSIONES, REAJUSTE DE HABERES.- Dr. Reyes Gonzalo Fabricio 3884867965 Hipólito Yrigoyen N° 680"/>
    <x v="44"/>
    <s v="Guia Prof 2 Col - Jujuy"/>
    <x v="0"/>
    <n v="107.34633333333335"/>
    <x v="0"/>
    <x v="17"/>
    <m/>
    <x v="0"/>
    <x v="0"/>
    <n v="2"/>
    <n v="3.0000000007500001"/>
    <x v="0"/>
    <n v="3"/>
    <x v="14"/>
  </r>
  <r>
    <x v="2"/>
    <x v="46"/>
    <s v="Lopez  Jose Rafael Martin"/>
    <x v="0"/>
    <s v="Jubilaciones y Pensiones  Familia - Sucesiones  Divorcio - Lpez abogada  Manantiales 674 B° Chijra  3884843535 CON TURNO"/>
    <x v="45"/>
    <s v="Guia Prof 2 Col - Jujuy"/>
    <x v="0"/>
    <n v="143.12833333333336"/>
    <x v="0"/>
    <x v="17"/>
    <m/>
    <x v="0"/>
    <x v="0"/>
    <n v="2"/>
    <n v="4.0000000010000001"/>
    <x v="0"/>
    <n v="4"/>
    <x v="21"/>
  </r>
  <r>
    <x v="2"/>
    <x v="47"/>
    <s v="Armada  Ailen"/>
    <x v="0"/>
    <s v="-ALIMENTOS- SUCESIONES- -DIVORCIOS- RÉGIMEN DE COMUNICACIÓN OS EN HUMAHUACA- SAN PEDRO- LEDESMA  Tu consulta no molesta."/>
    <x v="46"/>
    <s v="Guia Prof 2 Col - Jujuy"/>
    <x v="0"/>
    <n v="153.35178571428574"/>
    <x v="0"/>
    <x v="17"/>
    <m/>
    <x v="0"/>
    <x v="0"/>
    <n v="2"/>
    <n v="4.0000000010000001"/>
    <x v="0"/>
    <n v="4"/>
    <x v="21"/>
  </r>
  <r>
    <x v="2"/>
    <x v="48"/>
    <s v="Michel  Natalia"/>
    <x v="0"/>
    <s v="MICHEL ESTUDIO JURIDICO AVISO ARMADO"/>
    <x v="47"/>
    <s v="Guia Prof 2 Col - Jujuy"/>
    <x v="0"/>
    <n v="250.47466666666665"/>
    <x v="0"/>
    <x v="17"/>
    <m/>
    <x v="0"/>
    <x v="0"/>
    <n v="2"/>
    <n v="7.0000000017499984"/>
    <x v="0"/>
    <n v="7"/>
    <x v="22"/>
  </r>
  <r>
    <x v="2"/>
    <x v="49"/>
    <s v="Ficoseco  Noelia"/>
    <x v="0"/>
    <s v="ESTUDIO JURÍDICO INTEGRAL  Morales Agustina MP 4258 Ficoseco4095886  3885186089 Jorge Newbery 695 Tu consulta no molesta"/>
    <x v="48"/>
    <s v="Guia Prof 2 Col - Jujuy"/>
    <x v="0"/>
    <n v="143.12833333333336"/>
    <x v="0"/>
    <x v="17"/>
    <m/>
    <x v="0"/>
    <x v="0"/>
    <n v="2"/>
    <n v="4.0000000010000001"/>
    <x v="0"/>
    <n v="4"/>
    <x v="21"/>
  </r>
  <r>
    <x v="3"/>
    <x v="50"/>
    <s v="Lima  Marina Norma"/>
    <x v="0"/>
    <s v="+ LIMA, Néstor (q.e.p.d.) Falleció el día 2 de agosto de 202 San Francisco para rogar por el eterno descanso de su alma."/>
    <x v="49"/>
    <s v="Obituario Modulo - Jujuy"/>
    <x v="0"/>
    <n v="3052.6200000000008"/>
    <x v="1"/>
    <x v="18"/>
    <m/>
    <x v="0"/>
    <x v="0"/>
    <n v="2"/>
    <n v="9.8777777777777782"/>
    <x v="0"/>
    <n v="10"/>
    <x v="7"/>
  </r>
  <r>
    <x v="3"/>
    <x v="51"/>
    <s v="Alvarado  Victor Hugo"/>
    <x v="0"/>
    <s v="+ GARCIA ORLANDO DEL VALLE (LU7OKK) q.e.p.d.  Falleció el 1 a dura situación, rogando por el eterno descanso de su alma."/>
    <x v="50"/>
    <s v="Obituario Modulo - Jujuy"/>
    <x v="0"/>
    <n v="3450.78"/>
    <x v="0"/>
    <x v="18"/>
    <m/>
    <x v="0"/>
    <x v="0"/>
    <n v="2"/>
    <n v="9.8777777777777782"/>
    <x v="0"/>
    <n v="10"/>
    <x v="7"/>
  </r>
  <r>
    <x v="3"/>
    <x v="52"/>
    <s v="Luna Laura"/>
    <x v="0"/>
    <s v="+ NELSO FAUSTINO LUNA  q.e.p.d.  Se durmió en la Paz del Señ San Francisco para rogar por el eterno descanso de su alma."/>
    <x v="51"/>
    <s v="Obituario Modulo - Jujuy"/>
    <x v="0"/>
    <n v="2645.6"/>
    <x v="1"/>
    <x v="18"/>
    <m/>
    <x v="0"/>
    <x v="0"/>
    <n v="2"/>
    <n v="6.3217777777777773"/>
    <x v="0"/>
    <n v="6"/>
    <x v="23"/>
  </r>
  <r>
    <x v="3"/>
    <x v="53"/>
    <s v="Brenda Cabana"/>
    <x v="0"/>
    <s v="RAUL LEANDRO CABANA 14/09/1956  21/07/2023 Partiste de este ena BUITRAGO, Fernando, Natalia, Brenda, Santiago y Martino."/>
    <x v="52"/>
    <s v="Obituario Modulo - Jujuy"/>
    <x v="0"/>
    <n v="3968.4"/>
    <x v="1"/>
    <x v="18"/>
    <m/>
    <x v="0"/>
    <x v="0"/>
    <n v="2"/>
    <n v="9.8777777777777782"/>
    <x v="0"/>
    <n v="10"/>
    <x v="7"/>
  </r>
  <r>
    <x v="3"/>
    <x v="54"/>
    <s v="Arrueta  Alfredo Jose"/>
    <x v="0"/>
    <s v="+ CLAUDIA APAZA DE ARRUETA 18-02-1935 / 02-08-2022 &quot;La muertizar una misa en memoria de mi mamá hoy 2 de agosto8  021935"/>
    <x v="53"/>
    <s v="Obituario Modulo - Jujuy"/>
    <x v="0"/>
    <n v="5952.6"/>
    <x v="1"/>
    <x v="18"/>
    <m/>
    <x v="0"/>
    <x v="0"/>
    <n v="3"/>
    <n v="9.8777777777777782"/>
    <x v="0"/>
    <n v="10"/>
    <x v="8"/>
  </r>
  <r>
    <x v="4"/>
    <x v="55"/>
    <s v="Cine Teatro Alfa S.R.L."/>
    <x v="24"/>
    <s v="CINE ALFA..."/>
    <x v="54"/>
    <s v="Editorial Comercial - Jujuy"/>
    <x v="2"/>
    <n v="6597.2"/>
    <x v="1"/>
    <x v="4"/>
    <m/>
    <x v="0"/>
    <x v="0"/>
    <n v="5"/>
    <n v="13.433777777777777"/>
    <x v="0"/>
    <n v="13"/>
    <x v="18"/>
  </r>
  <r>
    <x v="4"/>
    <x v="56"/>
    <s v="MANCINI HORACIO FEDERICO"/>
    <x v="25"/>
    <s v="PORKMAN - DÍA DEL GASTRONOMICO"/>
    <x v="55"/>
    <s v="Editorial Comercial - Jujuy"/>
    <x v="1"/>
    <n v="6097.85"/>
    <x v="1"/>
    <x v="5"/>
    <s v="SU"/>
    <x v="17"/>
    <x v="0"/>
    <n v="5"/>
    <n v="16.989777777777778"/>
    <x v="0"/>
    <n v="17"/>
    <x v="13"/>
  </r>
  <r>
    <x v="4"/>
    <x v="57"/>
    <s v="Mamani Irene Cecilia"/>
    <x v="26"/>
    <s v="FIAMBRERIA IRENE  ESP GASTRONOMICOS"/>
    <x v="56"/>
    <s v="Editorial Comercial - Jujuy"/>
    <x v="1"/>
    <n v="1951.31"/>
    <x v="1"/>
    <x v="5"/>
    <s v="SU"/>
    <x v="21"/>
    <x v="0"/>
    <n v="2"/>
    <n v="13.433777777777777"/>
    <x v="0"/>
    <n v="13"/>
    <x v="6"/>
  </r>
  <r>
    <x v="4"/>
    <x v="58"/>
    <s v="AGUZZI VALENTINA"/>
    <x v="27"/>
    <s v="IMPAR - LA RABIOLA CHOCOLATE ESP GASTRONOMICOS"/>
    <x v="57"/>
    <s v="Editorial Comercial - Jujuy"/>
    <x v="1"/>
    <n v="3902.62"/>
    <x v="1"/>
    <x v="5"/>
    <s v="SU"/>
    <x v="22"/>
    <x v="0"/>
    <n v="4"/>
    <n v="13.433777777777777"/>
    <x v="0"/>
    <n v="13"/>
    <x v="24"/>
  </r>
  <r>
    <x v="4"/>
    <x v="59"/>
    <s v="Quinteros Marcos."/>
    <x v="28"/>
    <s v="IMPAR - LUISIÑO ESP GASTRONOMICOS"/>
    <x v="58"/>
    <s v="Editorial Comercial - Jujuy"/>
    <x v="1"/>
    <n v="3658.71"/>
    <x v="1"/>
    <x v="5"/>
    <s v="SU"/>
    <x v="23"/>
    <x v="0"/>
    <n v="5"/>
    <n v="9.8777777777777782"/>
    <x v="0"/>
    <n v="10"/>
    <x v="10"/>
  </r>
  <r>
    <x v="4"/>
    <x v="60"/>
    <s v="FRIGORIFICO VILLALBA S.R.L."/>
    <x v="29"/>
    <s v="FRIGORIFICO VILLALBA ESP GASTRONOMICOS"/>
    <x v="59"/>
    <s v="Editorial Comercial - Jujuy"/>
    <x v="1"/>
    <n v="2926.9700000000003"/>
    <x v="1"/>
    <x v="5"/>
    <s v="SU"/>
    <x v="21"/>
    <x v="0"/>
    <n v="3"/>
    <n v="13.433777777777777"/>
    <x v="0"/>
    <n v="13"/>
    <x v="11"/>
  </r>
  <r>
    <x v="4"/>
    <x v="61"/>
    <s v=" CRILLON JUJUY SOCIEDAD DE RESPONSABILIDAD LIMITADA"/>
    <x v="30"/>
    <s v="CONFITERIA CRILLON ESP GASTRONOMICOS"/>
    <x v="60"/>
    <s v="Editorial Comercial - Jujuy"/>
    <x v="1"/>
    <n v="1463.48"/>
    <x v="1"/>
    <x v="5"/>
    <s v="SU"/>
    <x v="21"/>
    <x v="0"/>
    <n v="2"/>
    <n v="9.8777777777777782"/>
    <x v="0"/>
    <n v="10"/>
    <x v="7"/>
  </r>
  <r>
    <x v="4"/>
    <x v="62"/>
    <s v="Lopez Carlos"/>
    <x v="31"/>
    <s v="EL MOJON EMPANADAS"/>
    <x v="61"/>
    <s v="Editorial Comercial - Jujuy"/>
    <x v="1"/>
    <n v="2853.77"/>
    <x v="1"/>
    <x v="5"/>
    <s v="SU"/>
    <x v="23"/>
    <x v="0"/>
    <n v="3"/>
    <n v="9.8777777777777782"/>
    <x v="0"/>
    <n v="10"/>
    <x v="8"/>
  </r>
  <r>
    <x v="4"/>
    <x v="63"/>
    <s v="Proyección SACIFI"/>
    <x v="32"/>
    <s v="LOLA M DIA DEL GASTRONÓMICO"/>
    <x v="62"/>
    <s v="Editorial Comercial - Jujuy"/>
    <x v="1"/>
    <n v="4756.29"/>
    <x v="1"/>
    <x v="5"/>
    <s v="SU"/>
    <x v="16"/>
    <x v="0"/>
    <n v="5"/>
    <n v="9.8777777777777782"/>
    <x v="0"/>
    <n v="10"/>
    <x v="10"/>
  </r>
  <r>
    <x v="4"/>
    <x v="64"/>
    <s v="SENCO AVICOLA - MOLOUNY PABLO VICENTE"/>
    <x v="33"/>
    <s v=" SENCO - DIA DEL GASTRONÓMICO"/>
    <x v="63"/>
    <s v="Editorial Comercial - Jujuy"/>
    <x v="1"/>
    <n v="7927.1500000000005"/>
    <x v="1"/>
    <x v="5"/>
    <s v="SU"/>
    <x v="6"/>
    <x v="0"/>
    <n v="5"/>
    <n v="16.989777777777778"/>
    <x v="0"/>
    <n v="17"/>
    <x v="13"/>
  </r>
  <r>
    <x v="4"/>
    <x v="65"/>
    <s v="Baldiviezo Luis Ermand"/>
    <x v="34"/>
    <s v="BALDI FIAMBRERIA ESP GASTRONOMICOS"/>
    <x v="64"/>
    <s v="Editorial Comercial - Jujuy"/>
    <x v="1"/>
    <n v="2439.1"/>
    <x v="1"/>
    <x v="5"/>
    <s v="SU"/>
    <x v="16"/>
    <x v="0"/>
    <n v="5"/>
    <n v="6.3217777777777773"/>
    <x v="0"/>
    <n v="6"/>
    <x v="25"/>
  </r>
  <r>
    <x v="4"/>
    <x v="66"/>
    <s v="DUMON NICOLAS JUAN PABLO"/>
    <x v="35"/>
    <s v="PAGINA IMPAR - GUAJIRA"/>
    <x v="65"/>
    <s v="Editorial Comercial - Jujuy"/>
    <x v="1"/>
    <n v="6097.74"/>
    <x v="1"/>
    <x v="5"/>
    <s v="SU"/>
    <x v="15"/>
    <x v="0"/>
    <n v="5"/>
    <n v="16.989777777777778"/>
    <x v="0"/>
    <n v="17"/>
    <x v="13"/>
  </r>
  <r>
    <x v="4"/>
    <x v="67"/>
    <s v="Union Trabajadores Gastronomicos"/>
    <x v="36"/>
    <s v="UTHGRA DIA DEL GASTRONOMICO"/>
    <x v="66"/>
    <s v="Editorial Comercial - Jujuy"/>
    <x v="1"/>
    <n v="6341.72"/>
    <x v="1"/>
    <x v="5"/>
    <s v="SU"/>
    <x v="24"/>
    <x v="0"/>
    <n v="5"/>
    <n v="13.433777777777777"/>
    <x v="0"/>
    <n v="13"/>
    <x v="18"/>
  </r>
  <r>
    <x v="4"/>
    <x v="68"/>
    <s v="Escuela Argentina De Formación Profesional Srl"/>
    <x v="37"/>
    <s v="IGA - DIA DEL TRABAJADOR GASTRONÓMICO"/>
    <x v="67"/>
    <s v="Editorial Comercial - Jujuy"/>
    <x v="1"/>
    <n v="4756.29"/>
    <x v="1"/>
    <x v="5"/>
    <s v="SU"/>
    <x v="22"/>
    <x v="0"/>
    <n v="5"/>
    <n v="9.8777777777777782"/>
    <x v="0"/>
    <n v="1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104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6530"/>
        <item m="1" x="7378"/>
        <item m="1" x="5003"/>
        <item m="1" x="4961"/>
        <item m="1" x="7164"/>
        <item m="1" x="2965"/>
        <item m="1" x="3676"/>
        <item m="1" x="6743"/>
        <item m="1" x="6083"/>
        <item m="1" x="2454"/>
        <item m="1" x="2905"/>
        <item m="1" x="4759"/>
        <item m="1" x="7513"/>
        <item m="1" x="7201"/>
        <item m="1" x="7225"/>
        <item m="1" x="790"/>
        <item m="1" x="4569"/>
        <item m="1" x="7235"/>
        <item m="1" x="4124"/>
        <item m="1" x="4413"/>
        <item m="1" x="927"/>
        <item m="1" x="2339"/>
        <item m="1" x="6286"/>
        <item m="1" x="2040"/>
        <item m="1" x="6744"/>
        <item m="1" x="5938"/>
        <item m="1" x="1678"/>
        <item m="1" x="7755"/>
        <item m="1" x="571"/>
        <item m="1" x="2056"/>
        <item m="1" x="4125"/>
        <item m="1" x="1610"/>
        <item m="1" x="5321"/>
        <item m="1" x="6722"/>
        <item m="1" x="357"/>
        <item m="1" x="1096"/>
        <item m="1" x="4181"/>
        <item m="1" x="4698"/>
        <item m="1" x="4394"/>
        <item m="1" x="1845"/>
        <item m="1" x="4241"/>
        <item m="1" x="6016"/>
        <item m="1" x="1657"/>
        <item m="1" x="6761"/>
        <item m="1" x="1409"/>
        <item m="1" x="7485"/>
        <item m="1" x="683"/>
        <item m="1" x="5947"/>
        <item m="1" x="4719"/>
        <item m="1" x="333"/>
        <item m="1" x="394"/>
        <item m="1" x="1384"/>
        <item m="1" x="2480"/>
        <item m="1" x="1069"/>
        <item m="1" x="2109"/>
        <item m="1" x="7756"/>
        <item m="1" x="142"/>
        <item m="1" x="2510"/>
        <item m="1" x="1127"/>
        <item m="1" x="2131"/>
        <item m="1" x="5461"/>
        <item m="1" x="2547"/>
        <item m="1" x="684"/>
        <item m="1" x="2110"/>
        <item m="1" x="220"/>
        <item m="1" x="1761"/>
        <item m="1" x="1712"/>
        <item m="1" x="1434"/>
        <item m="1" x="5740"/>
        <item m="1" x="5423"/>
        <item m="1" x="2614"/>
        <item m="1" x="5150"/>
        <item m="1" x="5805"/>
        <item m="1" x="7519"/>
        <item m="1" x="2158"/>
        <item m="1" x="3347"/>
        <item m="1" x="5850"/>
        <item m="1" x="6497"/>
        <item m="1" x="5513"/>
        <item m="1" x="2661"/>
        <item m="1" x="515"/>
        <item m="1" x="3784"/>
        <item m="1" x="7654"/>
        <item m="1" x="6998"/>
        <item m="1" x="3824"/>
        <item m="1" x="4523"/>
        <item m="1" x="4189"/>
        <item m="1" x="3074"/>
        <item m="1" x="3906"/>
        <item m="1" x="5184"/>
        <item m="1" x="3095"/>
        <item m="1" x="4882"/>
        <item m="1" x="2679"/>
        <item m="1" x="874"/>
        <item m="1" x="5133"/>
        <item m="1" x="1885"/>
        <item m="1" x="5806"/>
        <item m="1" x="5782"/>
        <item m="1" x="2702"/>
        <item m="1" x="4643"/>
        <item m="1" x="1981"/>
        <item m="1" x="5226"/>
        <item m="1" x="7217"/>
        <item m="1" x="5151"/>
        <item m="1" x="1559"/>
        <item m="1" x="5885"/>
        <item m="1" x="5514"/>
        <item m="1" x="6549"/>
        <item m="1" x="4824"/>
        <item m="1" x="6910"/>
        <item m="1" x="2703"/>
        <item m="1" x="5911"/>
        <item m="1" x="2764"/>
        <item m="1" x="3507"/>
        <item m="1" x="3159"/>
        <item m="1" x="6676"/>
        <item m="1" x="3866"/>
        <item m="1" x="3960"/>
        <item m="1" x="4524"/>
        <item m="1" x="5912"/>
        <item m="1" x="3959"/>
        <item m="1" x="4665"/>
        <item m="1" x="5276"/>
        <item m="1" x="2355"/>
        <item m="1" x="5374"/>
        <item m="1" x="5556"/>
        <item m="1" x="2820"/>
        <item m="1" x="4577"/>
        <item m="1" x="3444"/>
        <item m="1" x="1776"/>
        <item m="1" x="2492"/>
        <item m="1" x="7693"/>
        <item m="1" x="7051"/>
        <item m="1" x="3865"/>
        <item m="1" x="4563"/>
        <item m="1" x="4208"/>
        <item m="1" x="5953"/>
        <item m="1" x="1982"/>
        <item m="1" x="2795"/>
        <item m="1" x="4030"/>
        <item m="1" x="5306"/>
        <item m="1" x="5227"/>
        <item m="1" x="6319"/>
        <item m="1" x="6697"/>
        <item m="1" x="4320"/>
        <item m="1" x="7354"/>
        <item m="1" x="5170"/>
        <item m="1" x="7093"/>
        <item m="1" x="5307"/>
        <item m="1" x="7480"/>
        <item m="1" x="1650"/>
        <item m="1" x="4600"/>
        <item m="1" x="2410"/>
        <item m="1" x="2821"/>
        <item m="1" x="3937"/>
        <item m="1" x="1674"/>
        <item m="1" x="3593"/>
        <item m="1" x="4628"/>
        <item m="1" x="6346"/>
        <item m="1" x="2002"/>
        <item m="1" x="7472"/>
        <item m="1" x="6698"/>
        <item m="1" x="5330"/>
        <item m="1" x="6089"/>
        <item m="1" x="1725"/>
        <item m="1" x="799"/>
        <item m="1" x="2021"/>
        <item m="1" x="631"/>
        <item m="1" x="5557"/>
        <item m="1" x="2099"/>
        <item m="1" x="1376"/>
        <item m="1" x="5913"/>
        <item m="1" x="434"/>
        <item m="1" x="1451"/>
        <item m="1" x="651"/>
        <item m="1" x="3651"/>
        <item m="1" x="169"/>
        <item m="1" x="1805"/>
        <item m="1" x="4424"/>
        <item m="1" x="937"/>
        <item m="1" x="7140"/>
        <item m="1" x="4079"/>
        <item m="1" x="5347"/>
        <item m="1" x="7811"/>
        <item m="1" x="7549"/>
        <item m="1" x="3506"/>
        <item m="1" x="2628"/>
        <item m="1" x="1425"/>
        <item m="1" x="7721"/>
        <item m="1" x="170"/>
        <item m="1" x="5395"/>
        <item m="1" x="5397"/>
        <item m="1" x="154"/>
        <item m="1" x="6000"/>
        <item m="1" x="1143"/>
        <item m="1" x="5440"/>
        <item m="1" x="7218"/>
        <item m="1" x="1452"/>
        <item m="1" x="7849"/>
        <item m="1" x="203"/>
        <item m="1" x="820"/>
        <item m="1" x="3863"/>
        <item m="1" x="1533"/>
        <item m="1" x="3110"/>
        <item m="1" x="3462"/>
        <item m="1" x="221"/>
        <item m="1" x="171"/>
        <item m="1" x="802"/>
        <item m="1" x="3771"/>
        <item m="1" x="7599"/>
        <item m="1" x="3616"/>
        <item m="1" x="3089"/>
        <item m="1" x="7944"/>
        <item m="1" x="7671"/>
        <item m="1" x="1469"/>
        <item m="1" x="2256"/>
        <item m="1" x="222"/>
        <item m="1" x="2751"/>
        <item m="1" x="863"/>
        <item m="1" x="528"/>
        <item m="1" x="1324"/>
        <item m="1" x="987"/>
        <item m="1" x="7904"/>
        <item m="1" x="7640"/>
        <item m="1" x="2752"/>
        <item m="1" x="1974"/>
        <item m="1" x="3315"/>
        <item m="1" x="3900"/>
        <item m="1" x="1046"/>
        <item m="1" x="2333"/>
        <item m="1" x="350"/>
        <item m="1" x="3518"/>
        <item m="1" x="2906"/>
        <item m="1" x="7036"/>
        <item m="1" x="6683"/>
        <item m="1" x="1635"/>
        <item m="1" x="615"/>
        <item m="1" x="7113"/>
        <item m="1" x="4319"/>
        <item m="1" x="1668"/>
        <item m="1" x="4282"/>
        <item m="1" x="3652"/>
        <item m="1" x="6379"/>
        <item m="1" x="1318"/>
        <item m="1" x="5663"/>
        <item m="1" x="973"/>
        <item m="1" x="2027"/>
        <item m="1" x="4451"/>
        <item m="1" x="632"/>
        <item m="1" x="3575"/>
        <item m="1" x="4673"/>
        <item m="1" x="5664"/>
        <item m="1" x="1293"/>
        <item m="1" x="2366"/>
        <item m="1" x="4263"/>
        <item m="1" x="6715"/>
        <item m="1" x="6516"/>
        <item m="1" x="5315"/>
        <item m="1" x="3700"/>
        <item m="1" x="652"/>
        <item m="1" x="7084"/>
        <item m="1" x="6521"/>
        <item m="1" x="3228"/>
        <item m="1" x="6068"/>
        <item m="1" x="4364"/>
        <item m="1" x="4018"/>
        <item m="1" x="2948"/>
        <item m="1" x="3625"/>
        <item m="1" x="3748"/>
        <item m="1" x="3721"/>
        <item m="1" x="3701"/>
        <item m="1" x="2100"/>
        <item m="1" x="5044"/>
        <item m="1" x="5352"/>
        <item m="1" x="6380"/>
        <item m="1" x="2152"/>
        <item m="1" x="4976"/>
        <item m="1" x="5333"/>
        <item m="1" x="4425"/>
        <item m="1" x="5060"/>
        <item m="1" x="6144"/>
        <item m="1" x="1093"/>
        <item m="1" x="1450"/>
        <item m="1" x="2075"/>
        <item m="1" x="5642"/>
        <item m="1" x="3749"/>
        <item m="1" x="4745"/>
        <item m="1" x="5353"/>
        <item m="1" x="6407"/>
        <item m="1" x="4452"/>
        <item m="1" x="5377"/>
        <item m="1" x="5798"/>
        <item m="1" x="1512"/>
        <item m="1" x="4382"/>
        <item m="1" x="5106"/>
        <item m="1" x="5079"/>
        <item m="1" x="2993"/>
        <item m="1" x="7165"/>
        <item m="1" x="3802"/>
        <item m="1" x="6769"/>
        <item m="1" x="5707"/>
        <item m="1" x="5708"/>
        <item m="1" x="6735"/>
        <item m="1" x="5665"/>
        <item m="1" x="6042"/>
        <item m="1" x="3978"/>
        <item m="1" x="6572"/>
        <item m="1" x="1403"/>
        <item m="1" x="2173"/>
        <item m="1" x="5107"/>
        <item m="1" x="4403"/>
        <item m="1" x="7754"/>
        <item m="1" x="2416"/>
        <item m="1" x="6591"/>
        <item m="1" x="7314"/>
        <item m="1" x="6406"/>
        <item m="1" x="7037"/>
        <item m="1" x="5130"/>
        <item m="1" x="5732"/>
        <item m="1" x="6828"/>
        <item m="1" x="5844"/>
        <item m="1" x="7210"/>
        <item m="1" x="3386"/>
        <item m="1" x="5444"/>
        <item m="1" x="803"/>
        <item m="1" x="6492"/>
        <item m="1" x="6195"/>
        <item m="1" x="3508"/>
        <item m="1" x="6223"/>
        <item m="1" x="7390"/>
        <item m="1" x="1918"/>
        <item m="1" x="7408"/>
        <item m="1" x="7959"/>
        <item m="1" x="5439"/>
        <item m="1" x="938"/>
        <item m="1" x="7407"/>
        <item m="1" x="3475"/>
        <item m="1" x="582"/>
        <item m="1" x="1651"/>
        <item m="1" x="5413"/>
        <item m="1" x="2728"/>
        <item m="1" x="3224"/>
        <item m="1" x="2472"/>
        <item m="1" x="516"/>
        <item m="1" x="1699"/>
        <item m="1" x="1286"/>
        <item m="1" x="4296"/>
        <item m="1" x="2411"/>
        <item m="1" x="5167"/>
        <item m="1" x="96"/>
        <item m="1" x="1010"/>
        <item m="1" x="1959"/>
        <item m="1" x="3509"/>
        <item m="1" x="6968"/>
        <item m="1" x="2625"/>
        <item m="1" x="3407"/>
        <item m="1" x="4445"/>
        <item m="1" x="132"/>
        <item m="1" x="1058"/>
        <item m="1" x="7391"/>
        <item m="1" x="7946"/>
        <item m="1" x="7473"/>
        <item m="1" x="7358"/>
        <item m="1" x="7324"/>
        <item m="1" x="7329"/>
        <item m="1" x="7313"/>
        <item m="1" x="6542"/>
        <item m="1" x="3617"/>
        <item m="1" x="239"/>
        <item m="1" x="666"/>
        <item m="1" x="1676"/>
        <item m="1" x="718"/>
        <item m="1" x="2433"/>
        <item m="1" x="1675"/>
        <item m="1" x="3643"/>
        <item m="1" x="6987"/>
        <item m="1" x="7730"/>
        <item m="1" x="368"/>
        <item m="1" x="2003"/>
        <item m="1" x="81"/>
        <item m="1" x="2796"/>
        <item m="1" x="7226"/>
        <item m="1" x="957"/>
        <item m="1" x="315"/>
        <item m="1" x="5843"/>
        <item m="1" x="7992"/>
        <item m="1" x="2536"/>
        <item m="1" x="7493"/>
        <item m="1" x="345"/>
        <item m="1" x="5202"/>
        <item m="1" x="6284"/>
        <item m="1" x="5487"/>
        <item m="1" x="2878"/>
        <item m="1" x="739"/>
        <item m="1" x="82"/>
        <item m="1" x="667"/>
        <item m="1" x="2493"/>
        <item m="1" x="3670"/>
        <item m="1" x="6471"/>
        <item m="1" x="150"/>
        <item m="1" x="7343"/>
        <item m="1" x="3283"/>
        <item m="1" x="7993"/>
        <item m="1" x="5886"/>
        <item m="1" x="1393"/>
        <item m="1" x="4342"/>
        <item m="1" x="2597"/>
        <item m="1" x="6408"/>
        <item m="1" x="6381"/>
        <item m="1" x="7545"/>
        <item m="1" x="7789"/>
        <item m="1" x="2560"/>
        <item m="1" x="1328"/>
        <item m="1" x="1509"/>
        <item m="1" x="3744"/>
        <item m="1" x="2093"/>
        <item m="1" x="3716"/>
        <item m="1" x="7038"/>
        <item m="1" x="116"/>
        <item m="1" x="767"/>
        <item m="1" x="7008"/>
        <item m="1" x="97"/>
        <item m="1" x="1543"/>
        <item m="1" x="7494"/>
        <item m="1" x="2970"/>
        <item m="1" x="386"/>
        <item m="1" x="7416"/>
        <item m="1" x="133"/>
        <item m="1" x="1820"/>
        <item m="1" x="1584"/>
        <item m="1" x="1435"/>
        <item m="1" x="3267"/>
        <item m="1" x="2481"/>
        <item m="1" x="1980"/>
        <item m="1" x="5533"/>
        <item m="1" x="5185"/>
        <item m="1" x="4789"/>
        <item m="1" x="1683"/>
        <item m="1" x="7190"/>
        <item m="1" x="2147"/>
        <item m="1" x="4040"/>
        <item m="1" x="4709"/>
        <item m="1" x="4730"/>
        <item m="1" x="5339"/>
        <item m="1" x="4116"/>
        <item m="1" x="5425"/>
        <item m="1" x="6214"/>
        <item m="1" x="7108"/>
        <item m="1" x="3052"/>
        <item m="1" x="4845"/>
        <item m="1" x="464"/>
        <item m="1" x="1739"/>
        <item m="1" x="1152"/>
        <item m="1" x="5571"/>
        <item m="1" x="2680"/>
        <item m="1" x="3825"/>
        <item m="1" x="5152"/>
        <item m="1" x="3847"/>
        <item m="1" x="4235"/>
        <item m="1" x="3397"/>
        <item m="1" x="6890"/>
        <item m="1" x="4138"/>
        <item m="1" x="6125"/>
        <item m="1" x="3445"/>
        <item m="1" x="6215"/>
        <item m="1" x="5492"/>
        <item m="1" x="2662"/>
        <item m="1" x="495"/>
        <item m="1" x="1919"/>
        <item m="1" x="2292"/>
        <item m="1" x="3419"/>
        <item m="1" x="2729"/>
        <item m="1" x="4906"/>
        <item m="1" x="5868"/>
        <item m="1" x="5558"/>
        <item m="1" x="6607"/>
        <item m="1" x="4164"/>
        <item m="1" x="1791"/>
        <item m="1" x="7786"/>
        <item m="1" x="4093"/>
        <item m="1" x="4753"/>
        <item m="1" x="4774"/>
        <item m="1" x="5386"/>
        <item m="1" x="4950"/>
        <item m="1" x="6233"/>
        <item m="1" x="2765"/>
        <item m="1" x="4601"/>
        <item m="1" x="4883"/>
        <item m="1" x="2263"/>
        <item m="1" x="4846"/>
        <item m="1" x="4861"/>
        <item m="1" x="5493"/>
        <item m="1" x="6867"/>
        <item m="1" x="535"/>
        <item m="1" x="1560"/>
        <item m="1" x="2704"/>
        <item m="1" x="1287"/>
        <item m="1" x="5515"/>
        <item m="1" x="3566"/>
        <item m="1" x="6980"/>
        <item m="1" x="3867"/>
        <item m="1" x="5228"/>
        <item m="1" x="4271"/>
        <item m="1" x="2730"/>
        <item m="1" x="6181"/>
        <item m="1" x="4989"/>
        <item m="1" x="4884"/>
        <item m="1" x="1983"/>
        <item m="1" x="5251"/>
        <item m="1" x="4358"/>
        <item m="1" x="4343"/>
        <item m="1" x="6608"/>
        <item m="1" x="4629"/>
        <item m="1" x="6234"/>
        <item m="1" x="6868"/>
        <item m="1" x="3961"/>
        <item m="1" x="3476"/>
        <item m="1" x="5348"/>
        <item m="1" x="3594"/>
        <item m="1" x="6297"/>
        <item m="1" x="4885"/>
        <item m="1" x="4928"/>
        <item m="1" x="3618"/>
        <item m="1" x="5441"/>
        <item m="1" x="4400"/>
        <item m="1" x="5331"/>
        <item m="1" x="7346"/>
        <item m="1" x="5601"/>
        <item m="1" x="2879"/>
        <item m="1" x="4810"/>
        <item m="1" x="5424"/>
        <item m="1" x="5024"/>
        <item m="1" x="4272"/>
        <item m="1" x="5659"/>
        <item m="1" x="3671"/>
        <item m="1" x="1016"/>
        <item m="1" x="6375"/>
        <item m="1" x="5600"/>
        <item m="1" x="1705"/>
        <item m="1" x="4971"/>
        <item m="1" x="2101"/>
        <item m="1" x="1426"/>
        <item m="1" x="6972"/>
        <item m="1" x="6005"/>
        <item m="1" x="5058"/>
        <item m="1" x="3534"/>
        <item m="1" x="5010"/>
        <item m="1" x="7812"/>
        <item m="1" x="7825"/>
        <item m="1" x="997"/>
        <item m="1" x="476"/>
        <item m="1" x="1104"/>
        <item m="1" x="186"/>
        <item m="1" x="4844"/>
        <item m="1" x="5471"/>
        <item m="1" x="1082"/>
        <item m="1" x="2503"/>
        <item m="1" x="455"/>
        <item m="1" x="1470"/>
        <item m="1" x="506"/>
        <item m="1" x="1144"/>
        <item m="1" x="7068"/>
        <item m="1" x="5099"/>
        <item m="1" x="553"/>
        <item m="1" x="1193"/>
        <item m="1" x="1573"/>
        <item m="1" x="5041"/>
        <item m="1" x="1105"/>
        <item m="1" x="7850"/>
        <item m="1" x="1163"/>
        <item m="1" x="1209"/>
        <item m="1" x="599"/>
        <item m="1" x="7826"/>
        <item m="1" x="1083"/>
        <item m="1" x="1806"/>
        <item m="1" x="2651"/>
        <item m="1" x="407"/>
        <item m="1" x="2957"/>
        <item m="1" x="7851"/>
        <item m="1" x="1325"/>
        <item m="1" x="1782"/>
        <item m="1" x="204"/>
        <item m="1" x="7578"/>
        <item m="1" x="7813"/>
        <item m="1" x="1164"/>
        <item m="1" x="2629"/>
        <item m="1" x="3364"/>
        <item m="1" x="2285"/>
        <item m="1" x="7888"/>
        <item m="1" x="1856"/>
        <item m="1" x="1359"/>
        <item m="1" x="3413"/>
        <item m="1" x="1194"/>
        <item m="1" x="3439"/>
        <item m="1" x="1492"/>
        <item m="1" x="7114"/>
        <item m="1" x="5074"/>
        <item m="1" x="1254"/>
        <item m="1" x="7840"/>
        <item m="1" x="7942"/>
        <item m="1" x="2598"/>
        <item m="1" x="475"/>
        <item m="1" x="1210"/>
        <item m="1" x="908"/>
        <item m="1" x="1896"/>
        <item m="1" x="1550"/>
        <item m="1" x="2753"/>
        <item m="1" x="7600"/>
        <item m="1" x="247"/>
        <item m="1" x="7927"/>
        <item m="1" x="3588"/>
        <item m="1" x="7867"/>
        <item m="1" x="7642"/>
        <item m="1" x="76"/>
        <item m="1" x="1231"/>
        <item m="1" x="7889"/>
        <item m="1" x="507"/>
        <item m="1" x="300"/>
        <item m="1" x="77"/>
        <item m="1" x="4205"/>
        <item m="1" x="7422"/>
        <item m="1" x="7887"/>
        <item m="1" x="1897"/>
        <item m="1" x="488"/>
        <item m="1" x="3464"/>
        <item m="1" x="4315"/>
        <item m="1" x="5141"/>
        <item m="1" x="1208"/>
        <item m="1" x="1551"/>
        <item m="1" x="3495"/>
        <item m="1" x="111"/>
        <item m="1" x="1145"/>
        <item m="1" x="2132"/>
        <item m="1" x="489"/>
        <item m="1" x="7544"/>
        <item m="1" x="7421"/>
        <item m="1" x="449"/>
        <item m="1" x="2754"/>
        <item m="1" x="4269"/>
        <item m="1" x="3589"/>
        <item m="1" x="1319"/>
        <item m="1" x="2009"/>
        <item m="1" x="1247"/>
        <item m="1" x="2380"/>
        <item m="1" x="4612"/>
        <item m="1" x="2755"/>
        <item m="1" x="3463"/>
        <item m="1" x="4157"/>
        <item m="1" x="7039"/>
        <item m="1" x="1279"/>
        <item m="1" x="6328"/>
        <item m="1" x="6647"/>
        <item m="1" x="5920"/>
        <item m="1" x="5294"/>
        <item m="1" x="5939"/>
        <item m="1" x="3653"/>
        <item m="1" x="3496"/>
        <item m="1" x="3494"/>
        <item m="1" x="5940"/>
        <item m="1" x="3702"/>
        <item m="1" x="653"/>
        <item m="1" x="1333"/>
        <item m="1" x="5045"/>
        <item m="1" x="3626"/>
        <item m="1" x="1253"/>
        <item m="1" x="1326"/>
        <item m="1" x="3229"/>
        <item m="1" x="7365"/>
        <item m="1" x="1930"/>
        <item m="1" x="5643"/>
        <item m="1" x="2438"/>
        <item m="1" x="1872"/>
        <item m="1" x="2391"/>
        <item m="1" x="5982"/>
        <item m="1" x="5401"/>
        <item m="1" x="6006"/>
        <item m="1" x="5776"/>
        <item m="1" x="3205"/>
        <item m="1" x="4404"/>
        <item m="1" x="2928"/>
        <item m="1" x="6117"/>
        <item m="1" x="1360"/>
        <item m="1" x="554"/>
        <item m="1" x="3677"/>
        <item m="1" x="3561"/>
        <item m="1" x="3703"/>
        <item m="1" x="5666"/>
        <item m="1" x="7639"/>
        <item m="1" x="5295"/>
        <item m="1" x="4426"/>
        <item m="1" x="5061"/>
        <item m="1" x="3750"/>
        <item m="1" x="4229"/>
        <item m="1" x="5733"/>
        <item m="1" x="6791"/>
        <item m="1" x="6472"/>
        <item m="1" x="1306"/>
        <item m="1" x="4746"/>
        <item m="1" x="4453"/>
        <item m="1" x="2977"/>
        <item m="1" x="6829"/>
        <item m="1" x="1414"/>
        <item m="1" x="7403"/>
        <item m="1" x="1975"/>
        <item m="1" x="5689"/>
        <item m="1" x="7166"/>
        <item m="1" x="3256"/>
        <item m="1" x="5260"/>
        <item m="1" x="6145"/>
        <item m="1" x="6862"/>
        <item m="1" x="4134"/>
        <item m="1" x="5799"/>
        <item m="1" x="2195"/>
        <item m="1" x="746"/>
        <item m="1" x="3008"/>
        <item m="1" x="6905"/>
        <item m="1" x="5825"/>
        <item m="1" x="1471"/>
        <item m="1" x="5414"/>
        <item m="1" x="6949"/>
        <item m="1" x="3387"/>
        <item m="1" x="6916"/>
        <item m="1" x="1464"/>
        <item m="1" x="4036"/>
        <item m="1" x="733"/>
        <item m="1" x="5080"/>
        <item m="1" x="6069"/>
        <item m="1" x="1493"/>
        <item m="1" x="6792"/>
        <item m="1" x="5466"/>
        <item m="1" x="6172"/>
        <item m="1" x="7184"/>
        <item m="1" x="6843"/>
        <item m="1" x="472"/>
        <item m="1" x="6118"/>
        <item m="1" x="4106"/>
        <item m="1" x="4785"/>
        <item m="1" x="3610"/>
        <item m="1" x="3803"/>
        <item m="1" x="6999"/>
        <item m="1" x="917"/>
        <item m="1" x="4946"/>
        <item m="1" x="1239"/>
        <item m="1" x="226"/>
        <item m="1" x="559"/>
        <item m="1" x="7557"/>
        <item m="1" x="6917"/>
        <item m="1" x="1576"/>
        <item m="1" x="6264"/>
        <item m="1" x="4017"/>
        <item m="1" x="2412"/>
        <item m="1" x="7626"/>
        <item m="1" x="6897"/>
        <item m="1" x="2326"/>
        <item m="1" x="1984"/>
        <item m="1" x="804"/>
        <item m="1" x="5867"/>
        <item m="1" x="7672"/>
        <item m="1" x="7689"/>
        <item m="1" x="6940"/>
        <item m="1" x="3666"/>
        <item m="1" x="3492"/>
        <item m="1" x="7427"/>
        <item m="1" x="2094"/>
        <item m="1" x="3840"/>
        <item m="1" x="7510"/>
        <item m="1" x="83"/>
        <item m="1" x="7641"/>
        <item m="1" x="3200"/>
        <item m="1" x="6988"/>
        <item m="1" x="6667"/>
        <item m="1" x="2494"/>
        <item m="1" x="7546"/>
        <item m="1" x="7746"/>
        <item m="1" x="2463"/>
        <item m="1" x="7574"/>
        <item m="1" x="7529"/>
        <item m="1" x="1366"/>
        <item m="1" x="5775"/>
        <item m="1" x="7761"/>
        <item m="1" x="7511"/>
        <item m="1" x="369"/>
        <item m="1" x="117"/>
        <item m="1" x="3307"/>
        <item m="1" x="7617"/>
        <item m="1" x="7777"/>
        <item m="1" x="1444"/>
        <item m="1" x="2615"/>
        <item m="1" x="412"/>
        <item m="1" x="846"/>
        <item m="1" x="7655"/>
        <item m="1" x="5426"/>
        <item m="1" x="5905"/>
        <item m="1" x="3255"/>
        <item m="1" x="5759"/>
        <item m="1" x="4165"/>
        <item m="1" x="5451"/>
        <item m="1" x="2561"/>
        <item m="1" x="2409"/>
        <item m="1" x="7694"/>
        <item m="1" x="7837"/>
        <item m="1" x="939"/>
        <item m="1" x="3016"/>
        <item m="1" x="2133"/>
        <item m="1" x="1861"/>
        <item m="1" x="7722"/>
        <item m="1" x="5869"/>
        <item m="1" x="5472"/>
        <item m="1" x="2998"/>
        <item m="1" x="2663"/>
        <item m="1" x="4482"/>
        <item m="1" x="3053"/>
        <item m="1" x="7900"/>
        <item m="1" x="1834"/>
        <item m="1" x="5516"/>
        <item m="1" x="4862"/>
        <item m="1" x="5559"/>
        <item m="1" x="5517"/>
        <item m="1" x="7926"/>
        <item m="1" x="5824"/>
        <item m="1" x="3054"/>
        <item m="1" x="7965"/>
        <item m="1" x="6235"/>
        <item m="1" x="5602"/>
        <item m="1" x="5851"/>
        <item m="1" x="5560"/>
        <item m="1" x="1260"/>
        <item m="1" x="890"/>
        <item m="1" x="5948"/>
        <item m="1" x="5639"/>
        <item m="1" x="4908"/>
        <item m="1" x="3567"/>
        <item m="1" x="4952"/>
        <item m="1" x="2822"/>
        <item m="1" x="3316"/>
        <item m="1" x="977"/>
        <item m="1" x="5683"/>
        <item m="1" x="7458"/>
        <item m="1" x="3848"/>
        <item m="1" x="4254"/>
        <item m="1" x="1795"/>
        <item m="1" x="5579"/>
        <item m="1" x="6957"/>
        <item m="1" x="454"/>
        <item m="1" x="678"/>
        <item m="1" x="6657"/>
        <item m="1" x="1084"/>
        <item m="1" x="1783"/>
        <item m="1" x="7018"/>
        <item m="1" x="7814"/>
        <item m="1" x="1106"/>
        <item m="1" x="1322"/>
        <item m="1" x="699"/>
        <item m="1" x="4907"/>
        <item m="1" x="7841"/>
        <item m="1" x="3493"/>
        <item m="1" x="1472"/>
        <item m="1" x="5770"/>
        <item m="1" x="435"/>
        <item m="1" x="7905"/>
        <item m="1" x="5866"/>
        <item m="1" x="7532"/>
        <item m="1" x="6699"/>
        <item m="1" x="7579"/>
        <item m="1" x="774"/>
        <item m="1" x="155"/>
        <item m="1" x="1857"/>
        <item m="1" x="1119"/>
        <item m="1" x="7094"/>
        <item m="1" x="6571"/>
        <item m="1" x="5994"/>
        <item m="1" x="7619"/>
        <item m="1" x="847"/>
        <item m="1" x="7135"/>
        <item m="1" x="1011"/>
        <item m="1" x="6798"/>
        <item m="1" x="6051"/>
        <item m="1" x="3027"/>
        <item m="1" x="6078"/>
        <item m="1" x="6776"/>
        <item m="1" x="3353"/>
        <item m="1" x="7342"/>
        <item m="1" x="6731"/>
        <item m="1" x="4951"/>
        <item m="1" x="1195"/>
        <item m="1" x="7103"/>
        <item m="1" x="7069"/>
        <item m="1" x="7404"/>
        <item m="1" x="205"/>
        <item m="1" x="1592"/>
        <item m="1" x="3067"/>
        <item m="1" x="4894"/>
        <item m="1" x="577"/>
        <item m="1" x="3170"/>
        <item m="1" x="4632"/>
        <item m="1" x="7397"/>
        <item m="1" x="1669"/>
        <item m="1" x="891"/>
        <item m="1" x="1574"/>
        <item m="1" x="2381"/>
        <item m="1" x="2870"/>
        <item m="1" x="5904"/>
        <item m="1" x="7449"/>
        <item m="1" x="6723"/>
        <item m="1" x="2455"/>
        <item m="1" x="7383"/>
        <item m="1" x="1361"/>
        <item m="1" x="1383"/>
        <item m="1" x="7866"/>
        <item m="1" x="4966"/>
        <item m="1" x="650"/>
        <item m="1" x="2041"/>
        <item m="1" x="2587"/>
        <item m="1" x="5322"/>
        <item m="1" x="4246"/>
        <item m="1" x="7120"/>
        <item m="1" x="645"/>
        <item m="1" x="2839"/>
        <item m="1" x="4947"/>
        <item m="1" x="7185"/>
        <item m="1" x="6308"/>
        <item m="1" x="6458"/>
        <item m="1" x="1059"/>
        <item m="1" x="4990"/>
        <item m="1" x="2646"/>
        <item m="1" x="5018"/>
        <item m="1" x="3562"/>
        <item m="1" x="6390"/>
        <item m="1" x="6360"/>
        <item m="1" x="4797"/>
        <item m="1" x="6341"/>
        <item m="1" x="1696"/>
        <item m="1" x="2871"/>
        <item m="1" x="6342"/>
        <item m="1" x="6392"/>
        <item m="1" x="3602"/>
        <item m="1" x="711"/>
        <item m="1" x="4414"/>
        <item m="1" x="5089"/>
        <item m="1" x="6531"/>
        <item m="1" x="6057"/>
        <item m="1" x="7075"/>
        <item m="1" x="4798"/>
        <item m="1" x="5433"/>
        <item m="1" x="3790"/>
        <item m="1" x="5408"/>
        <item m="1" x="7098"/>
        <item m="1" x="5114"/>
        <item m="1" x="4779"/>
        <item m="1" x="6391"/>
        <item m="1" x="4490"/>
        <item m="1" x="5345"/>
        <item m="1" x="791"/>
        <item m="1" x="5139"/>
        <item m="1" x="2246"/>
        <item m="1" x="1606"/>
        <item m="1" x="2668"/>
        <item m="1" x="4817"/>
        <item m="1" x="4153"/>
        <item m="1" x="5194"/>
        <item m="1" x="5090"/>
        <item m="1" x="4854"/>
        <item m="1" x="5238"/>
        <item m="1" x="5837"/>
        <item m="1" x="5175"/>
        <item m="1" x="7348"/>
        <item m="1" x="3874"/>
        <item m="1" x="812"/>
        <item m="1" x="4510"/>
        <item m="1" x="7151"/>
        <item m="1" x="3763"/>
        <item m="1" x="3365"/>
        <item m="1" x="4925"/>
        <item m="1" x="3524"/>
        <item m="1" x="5390"/>
        <item m="1" x="965"/>
        <item m="1" x="3892"/>
        <item m="1" x="5366"/>
        <item m="1" x="1745"/>
        <item m="1" x="7074"/>
        <item m="1" x="6459"/>
        <item m="1" x="5858"/>
        <item m="1" x="6196"/>
        <item m="1" x="2301"/>
        <item m="1" x="7986"/>
        <item m="1" x="5857"/>
        <item m="1" x="5838"/>
        <item m="1" x="5211"/>
        <item m="1" x="3967"/>
        <item m="1" x="7439"/>
        <item m="1" x="5261"/>
        <item m="1" x="2367"/>
        <item m="1" x="1515"/>
        <item m="1" x="1375"/>
        <item m="1" x="7379"/>
        <item m="1" x="7939"/>
        <item m="1" x="2832"/>
        <item m="1" x="2424"/>
        <item m="1" x="5296"/>
        <item m="1" x="2111"/>
        <item m="1" x="1019"/>
        <item m="1" x="755"/>
        <item m="1" x="322"/>
        <item m="1" x="3684"/>
        <item m="1" x="7956"/>
        <item m="1" x="3830"/>
        <item m="1" x="5462"/>
        <item m="1" x="1323"/>
        <item m="1" x="5159"/>
        <item m="1" x="7736"/>
        <item m="1" x="685"/>
        <item m="1" x="1001"/>
        <item m="1" x="2417"/>
        <item m="1" x="572"/>
        <item m="1" x="3635"/>
        <item m="1" x="2032"/>
        <item m="1" x="966"/>
        <item m="1" x="2010"/>
        <item m="1" x="125"/>
        <item m="1" x="1713"/>
        <item m="1" x="4816"/>
        <item m="1" x="2889"/>
        <item m="1" x="2511"/>
        <item m="1" x="7486"/>
        <item m="1" x="1792"/>
        <item m="1" x="1945"/>
        <item m="1" x="143"/>
        <item m="1" x="2033"/>
        <item m="1" x="334"/>
        <item m="1" x="1385"/>
        <item m="1" x="4335"/>
        <item m="1" x="379"/>
        <item m="1" x="2473"/>
        <item m="1" x="1070"/>
        <item m="1" x="3685"/>
        <item m="1" x="2958"/>
        <item m="1" x="7535"/>
        <item m="1" x="7520"/>
        <item m="1" x="4390"/>
        <item m="1" x="395"/>
        <item m="1" x="3733"/>
        <item m="1" x="3658"/>
        <item m="1" x="1628"/>
        <item m="1" x="5481"/>
        <item m="1" x="7682"/>
        <item m="1" x="1846"/>
        <item m="1" x="3354"/>
        <item m="1" x="4436"/>
        <item m="1" x="5053"/>
        <item m="1" x="7211"/>
        <item m="1" x="2932"/>
        <item m="1" x="7501"/>
        <item m="1" x="7554"/>
        <item m="1" x="7800"/>
        <item m="1" x="7598"/>
        <item m="1" x="2537"/>
        <item m="1" x="3757"/>
        <item m="1" x="1815"/>
        <item m="1" x="6272"/>
        <item m="1" x="2999"/>
        <item m="1" x="5059"/>
        <item m="1" x="2178"/>
        <item m="1" x="3826"/>
        <item m="1" x="3732"/>
        <item m="1" x="4059"/>
        <item m="1" x="3876"/>
        <item m="1" x="5504"/>
        <item m="1" x="5193"/>
        <item m="1" x="4853"/>
        <item m="1" x="6822"/>
        <item m="1" x="2599"/>
        <item m="1" x="6920"/>
        <item m="1" x="3809"/>
        <item m="1" x="3360"/>
        <item m="1" x="4472"/>
        <item m="1" x="5861"/>
        <item m="1" x="2057"/>
        <item m="1" x="6200"/>
        <item m="1" x="4674"/>
        <item m="1" x="4572"/>
        <item m="1" x="4497"/>
        <item m="1" x="3868"/>
        <item m="1" x="5162"/>
        <item m="1" x="1902"/>
        <item m="1" x="1510"/>
        <item m="1" x="6823"/>
        <item m="1" x="6618"/>
        <item m="1" x="6945"/>
        <item m="1" x="1544"/>
        <item m="1" x="2591"/>
        <item m="1" x="4895"/>
        <item m="1" x="2395"/>
        <item m="1" x="1993"/>
        <item m="1" x="5879"/>
        <item m="1" x="6879"/>
        <item m="1" x="2670"/>
        <item m="1" x="257"/>
        <item m="1" x="2763"/>
        <item m="1" x="3024"/>
        <item m="1" x="3818"/>
        <item m="1" x="2232"/>
        <item m="1" x="4856"/>
        <item m="1" x="2562"/>
        <item m="1" x="5636"/>
        <item m="1" x="2215"/>
        <item m="1" x="3025"/>
        <item m="1" x="2959"/>
        <item m="1" x="6201"/>
        <item m="1" x="3907"/>
        <item m="1" x="6901"/>
        <item m="1" x="4941"/>
        <item m="1" x="2340"/>
        <item m="1" x="5344"/>
        <item m="1" x="1936"/>
        <item m="1" x="6688"/>
        <item m="1" x="5176"/>
        <item m="1" x="5197"/>
        <item m="1" x="5572"/>
        <item m="1" x="4573"/>
        <item m="1" x="4200"/>
        <item m="1" x="4634"/>
        <item m="1" x="3919"/>
        <item m="1" x="3785"/>
        <item m="1" x="1985"/>
        <item m="1" x="3920"/>
        <item m="1" x="5548"/>
        <item m="1" x="5237"/>
        <item m="1" x="943"/>
        <item m="1" x="4678"/>
        <item m="1" x="2022"/>
        <item m="1" x="5213"/>
        <item m="1" x="2715"/>
        <item m="1" x="5240"/>
        <item m="1" x="6268"/>
        <item m="1" x="159"/>
        <item m="1" x="4902"/>
        <item m="1" x="5046"/>
        <item m="1" x="4679"/>
        <item m="1" x="4710"/>
        <item m="1" x="5926"/>
        <item m="1" x="6946"/>
        <item m="1" x="7070"/>
        <item m="1" x="5551"/>
        <item m="1" x="5268"/>
        <item m="1" x="4587"/>
        <item m="1" x="3168"/>
        <item m="1" x="4286"/>
        <item m="1" x="3636"/>
        <item m="1" x="3187"/>
        <item m="1" x="7506"/>
        <item m="1" x="2899"/>
        <item m="1" x="6335"/>
        <item m="1" x="7971"/>
        <item m="1" x="3924"/>
        <item m="1" x="5359"/>
        <item m="1" x="7033"/>
        <item m="1" x="712"/>
        <item m="1" x="6670"/>
        <item m="1" x="967"/>
        <item m="1" x="4310"/>
        <item m="1" x="4790"/>
        <item m="1" x="5649"/>
        <item m="1" x="2396"/>
        <item m="1" x="7095"/>
        <item m="1" x="6423"/>
        <item m="1" x="4825"/>
        <item m="1" x="1076"/>
        <item m="1" x="400"/>
        <item m="1" x="1440"/>
        <item m="1" x="7060"/>
        <item m="1" x="112"/>
        <item m="1" x="1362"/>
        <item m="1" x="152"/>
        <item m="1" x="416"/>
        <item m="1" x="162"/>
        <item m="1" x="3004"/>
        <item m="1" x="7079"/>
        <item m="1" x="662"/>
        <item m="1" x="3968"/>
        <item m="1" x="5590"/>
        <item m="1" x="5281"/>
        <item m="1" x="2208"/>
        <item m="1" x="2226"/>
        <item m="1" x="734"/>
        <item m="1" x="813"/>
        <item m="1" x="274"/>
        <item m="1" x="163"/>
        <item m="1" x="1185"/>
        <item m="1" x="1134"/>
        <item m="1" x="7610"/>
        <item m="1" x="7592"/>
        <item m="1" x="6448"/>
        <item m="1" x="1907"/>
        <item m="1" x="3546"/>
        <item m="1" x="762"/>
        <item m="1" x="4784"/>
        <item m="1" x="2368"/>
        <item m="1" x="1847"/>
        <item m="1" x="6447"/>
        <item m="1" x="1248"/>
        <item m="1" x="6583"/>
        <item m="1" x="1500"/>
        <item m="1" x="6619"/>
        <item m="1" x="2844"/>
        <item m="1" x="3812"/>
        <item m="1" x="2247"/>
        <item m="1" x="3603"/>
        <item m="1" x="834"/>
        <item m="1" x="7558"/>
        <item m="1" x="1520"/>
        <item m="1" x="7857"/>
        <item m="1" x="197"/>
        <item m="1" x="1365"/>
        <item m="1" x="3654"/>
        <item m="1" x="7651"/>
        <item m="1" x="7897"/>
        <item m="1" x="7674"/>
        <item m="1" x="232"/>
        <item m="1" x="2369"/>
        <item m="1" x="4904"/>
        <item m="1" x="835"/>
        <item m="1" x="3497"/>
        <item m="1" x="1227"/>
        <item m="1" x="3751"/>
        <item m="1" x="6950"/>
        <item m="1" x="2116"/>
        <item m="1" x="4316"/>
        <item m="1" x="5637"/>
        <item m="1" x="6291"/>
        <item m="1" x="6361"/>
        <item m="1" x="3194"/>
        <item m="1" x="5259"/>
        <item m="1" x="6393"/>
        <item m="1" x="3804"/>
        <item m="1" x="4984"/>
        <item m="1" x="7100"/>
        <item m="1" x="7000"/>
        <item m="1" x="6417"/>
        <item m="1" x="1944"/>
        <item m="1" x="3841"/>
        <item m="1" x="1642"/>
        <item m="1" x="7026"/>
        <item m="1" x="6692"/>
        <item m="1" x="4656"/>
        <item m="1" x="4948"/>
        <item m="1" x="5323"/>
        <item m="1" x="2404"/>
        <item m="1" x="5677"/>
        <item m="1" x="3592"/>
        <item m="1" x="1890"/>
        <item m="1" x="4293"/>
        <item m="1" x="5391"/>
        <item m="1" x="5553"/>
        <item m="1" x="5246"/>
        <item m="1" x="4373"/>
        <item m="1" x="3020"/>
        <item m="1" x="4396"/>
        <item m="1" x="7001"/>
        <item m="1" x="6433"/>
        <item m="1" x="4637"/>
        <item m="1" x="5650"/>
        <item m="1" x="4985"/>
        <item m="1" x="6434"/>
        <item m="1" x="6532"/>
        <item m="1" x="773"/>
        <item m="1" x="7099"/>
        <item m="1" x="5033"/>
        <item m="1" x="2405"/>
        <item m="1" x="5718"/>
        <item m="1" x="6582"/>
        <item m="1" x="2194"/>
        <item m="1" x="7896"/>
        <item m="1" x="6460"/>
        <item m="1" x="6479"/>
        <item m="1" x="4395"/>
        <item m="1" x="1269"/>
        <item m="1" x="5678"/>
        <item m="1" x="5744"/>
        <item m="1" x="1441"/>
        <item m="1" x="7202"/>
        <item m="1" x="5091"/>
        <item m="1" x="5764"/>
        <item m="1" x="2140"/>
        <item m="1" x="5035"/>
        <item m="1" x="5302"/>
        <item m="1" x="5034"/>
        <item m="1" x="7152"/>
        <item m="1" x="663"/>
        <item m="1" x="4046"/>
        <item m="1" x="4437"/>
        <item m="1" x="5676"/>
        <item m="1" x="3237"/>
        <item m="1" x="5115"/>
        <item m="1" x="5092"/>
        <item m="1" x="3738"/>
        <item m="1" x="7353"/>
        <item m="1" x="7176"/>
        <item m="1" x="7177"/>
        <item m="1" x="7936"/>
        <item m="1" x="6480"/>
        <item m="1" x="6781"/>
        <item m="1" x="1991"/>
        <item m="1" x="1923"/>
        <item m="1" x="7121"/>
        <item m="1" x="5367"/>
        <item m="1" x="3005"/>
        <item m="1" x="3712"/>
        <item m="1" x="836"/>
        <item m="1" x="4492"/>
        <item m="1" x="6435"/>
        <item m="1" x="6502"/>
        <item m="1" x="6533"/>
        <item m="1" x="5434"/>
        <item m="1" x="3822"/>
        <item m="1" x="5195"/>
        <item m="1" x="5859"/>
        <item m="1" x="5839"/>
        <item m="1" x="6231"/>
        <item m="1" x="7236"/>
        <item m="1" x="6884"/>
        <item m="1" x="4838"/>
        <item m="1" x="6648"/>
        <item m="1" x="4247"/>
        <item m="1" x="6209"/>
        <item m="1" x="240"/>
        <item m="1" x="3131"/>
        <item m="1" x="7863"/>
        <item m="1" x="1410"/>
        <item m="1" x="7212"/>
        <item m="1" x="1969"/>
        <item m="1" x="126"/>
        <item m="1" x="7237"/>
        <item m="1" x="1529"/>
        <item m="1" x="639"/>
        <item m="1" x="7884"/>
        <item m="1" x="1927"/>
        <item m="1" x="1320"/>
        <item m="1" x="1277"/>
        <item m="1" x="521"/>
        <item m="1" x="5166"/>
        <item m="1" x="2482"/>
        <item m="1" x="7963"/>
        <item m="1" x="713"/>
        <item m="1" x="5140"/>
        <item m="1" x="4287"/>
        <item m="1" x="6906"/>
        <item m="1" x="4491"/>
        <item m="1" x="5717"/>
        <item m="1" x="3300"/>
        <item m="1" x="7440"/>
        <item m="1" x="277"/>
        <item m="1" x="5146"/>
        <item m="1" x="69"/>
        <item m="1" x="1658"/>
        <item m="1" x="7461"/>
        <item m="1" x="2028"/>
        <item m="1" x="1250"/>
        <item m="1" x="941"/>
        <item m="1" x="1139"/>
        <item m="1" x="1337"/>
        <item m="1" x="1968"/>
        <item m="1" x="231"/>
        <item m="1" x="1970"/>
        <item m="1" x="7382"/>
        <item m="1" x="2783"/>
        <item m="1" x="7966"/>
        <item m="1" x="2782"/>
        <item m="1" x="1251"/>
        <item m="1" x="3188"/>
        <item m="1" x="573"/>
        <item m="1" x="1351"/>
        <item m="1" x="3686"/>
        <item m="1" x="1301"/>
        <item m="1" x="1436"/>
        <item m="1" x="2082"/>
        <item m="1" x="7502"/>
        <item m="1" x="1411"/>
        <item m="1" x="4336"/>
        <item m="1" x="6951"/>
        <item m="1" x="358"/>
        <item m="1" x="128"/>
        <item m="1" x="2112"/>
        <item m="1" x="7521"/>
        <item m="1" x="3659"/>
        <item m="1" x="1437"/>
        <item m="1" x="7536"/>
        <item m="1" x="3294"/>
        <item m="1" x="335"/>
        <item m="1" x="127"/>
        <item m="1" x="657"/>
        <item m="1" x="4533"/>
        <item m="1" x="686"/>
        <item m="1" x="4525"/>
        <item m="1" x="6418"/>
        <item m="1" x="5763"/>
        <item m="1" x="3355"/>
        <item m="1" x="623"/>
        <item m="1" x="2549"/>
        <item m="1" x="6394"/>
        <item m="1" x="396"/>
        <item m="1" x="1684"/>
        <item m="1" x="2860"/>
        <item m="1" x="450"/>
        <item m="1" x="5075"/>
        <item m="1" x="2076"/>
        <item m="1" x="981"/>
        <item m="1" x="505"/>
        <item m="1" x="3734"/>
        <item m="1" x="2054"/>
        <item m="1" x="786"/>
        <item m="1" x="2512"/>
        <item m="1" x="7027"/>
        <item m="1" x="1459"/>
        <item m="1" x="7487"/>
        <item m="1" x="90"/>
        <item m="1" x="4483"/>
        <item m="1" x="6171"/>
        <item m="1" x="1354"/>
        <item m="1" x="1777"/>
        <item m="1" x="6061"/>
        <item m="1" x="3308"/>
        <item m="1" x="2971"/>
        <item m="1" x="7205"/>
        <item m="1" x="4420"/>
        <item m="1" x="6824"/>
        <item m="1" x="3408"/>
        <item m="1" x="4447"/>
        <item m="1" x="5794"/>
        <item m="1" x="1394"/>
        <item m="1" x="1851"/>
        <item m="1" x="3831"/>
        <item m="1" x="1649"/>
        <item m="1" x="640"/>
        <item m="1" x="4446"/>
        <item m="1" x="5100"/>
        <item m="1" x="4266"/>
        <item m="1" x="4104"/>
        <item m="1" x="4857"/>
        <item m="1" x="4128"/>
        <item m="1" x="4653"/>
        <item m="1" x="1159"/>
        <item m="1" x="473"/>
        <item m="1" x="5142"/>
        <item m="1" x="7787"/>
        <item m="1" x="3832"/>
        <item m="1" x="6564"/>
        <item m="1" x="6168"/>
        <item m="1" x="7161"/>
        <item m="1" x="432"/>
        <item m="1" x="5442"/>
        <item m="1" x="451"/>
        <item m="1" x="3379"/>
        <item m="1" x="3380"/>
        <item m="1" x="3046"/>
        <item m="1" x="7441"/>
        <item m="1" x="1302"/>
        <item m="1" x="5840"/>
        <item m="1" x="6112"/>
        <item m="1" x="6111"/>
        <item m="1" x="3857"/>
        <item m="1" x="3880"/>
        <item m="1" x="3858"/>
        <item m="1" x="3431"/>
        <item m="1" x="619"/>
        <item m="1" x="4498"/>
        <item m="1" x="548"/>
        <item m="1" x="5862"/>
        <item m="1" x="5506"/>
        <item m="1" x="2743"/>
        <item m="1" x="3879"/>
        <item m="1" x="2548"/>
        <item m="1" x="3087"/>
        <item m="1" x="2277"/>
        <item m="1" x="6090"/>
        <item m="1" x="2784"/>
        <item m="1" x="594"/>
        <item m="1" x="4289"/>
        <item m="1" x="5927"/>
        <item m="1" x="4803"/>
        <item m="1" x="6921"/>
        <item m="1" x="4962"/>
        <item m="1" x="7019"/>
        <item m="1" x="3557"/>
        <item m="1" x="5241"/>
        <item m="1" x="4589"/>
        <item m="1" x="6167"/>
        <item m="1" x="3608"/>
        <item m="1" x="4202"/>
        <item m="1" x="6689"/>
        <item m="1" x="3925"/>
        <item m="1" x="4711"/>
        <item m="1" x="5319"/>
        <item m="1" x="6671"/>
        <item m="1" x="1278"/>
        <item m="1" x="6359"/>
        <item m="1" x="5124"/>
        <item m="1" x="5771"/>
        <item m="1" x="6337"/>
        <item m="1" x="4618"/>
        <item m="1" x="7020"/>
        <item m="1" x="5000"/>
        <item m="1" x="5699"/>
        <item m="1" x="1117"/>
        <item m="1" x="6994"/>
        <item m="1" x="6672"/>
        <item m="1" x="3558"/>
        <item m="1" x="4635"/>
        <item m="1" x="5928"/>
        <item m="1" x="2546"/>
        <item m="1" x="3607"/>
        <item m="1" x="658"/>
        <item m="1" x="4536"/>
        <item m="1" x="2141"/>
        <item m="1" x="2061"/>
        <item m="1" x="3216"/>
        <item m="1" x="2276"/>
        <item m="1" x="2809"/>
        <item m="1" x="3973"/>
        <item m="1" x="6707"/>
        <item m="1" x="7045"/>
        <item m="1" x="5635"/>
        <item m="1" x="4922"/>
        <item m="1" x="6690"/>
        <item m="1" x="1388"/>
        <item m="1" x="4047"/>
        <item m="1" x="6202"/>
        <item m="1" x="198"/>
        <item m="1" x="6902"/>
        <item m="1" x="417"/>
        <item m="1" x="7080"/>
        <item m="1" x="7772"/>
        <item m="1" x="1415"/>
        <item m="1" x="2117"/>
        <item m="1" x="4248"/>
        <item m="1" x="7541"/>
        <item m="1" x="181"/>
        <item m="1" x="763"/>
        <item m="1" x="7096"/>
        <item m="1" x="5908"/>
        <item m="1" x="6508"/>
        <item m="1" x="1097"/>
        <item m="1" x="3271"/>
        <item m="1" x="1098"/>
        <item m="1" x="2142"/>
        <item m="1" x="2966"/>
        <item m="1" x="4048"/>
        <item m="1" x="401"/>
        <item m="1" x="814"/>
        <item m="1" x="7559"/>
        <item m="1" x="7141"/>
        <item m="1" x="2270"/>
        <item m="1" x="6062"/>
        <item m="1" x="4288"/>
        <item m="1" x="4006"/>
        <item m="1" x="6740"/>
        <item m="1" x="7191"/>
        <item m="1" x="1484"/>
        <item m="1" x="6227"/>
        <item m="1" x="1184"/>
        <item m="1" x="6226"/>
        <item m="1" x="1099"/>
        <item m="1" x="7858"/>
        <item m="1" x="7104"/>
        <item m="1" x="2554"/>
        <item m="1" x="1158"/>
        <item m="1" x="429"/>
        <item m="1" x="5963"/>
        <item m="1" x="7878"/>
        <item m="1" x="1771"/>
        <item m="1" x="1156"/>
        <item m="1" x="1501"/>
        <item m="1" x="2143"/>
        <item m="1" x="707"/>
        <item m="1" x="4617"/>
        <item m="1" x="199"/>
        <item m="1" x="856"/>
        <item m="1" x="5084"/>
        <item m="1" x="7361"/>
        <item m="1" x="7847"/>
        <item m="1" x="467"/>
        <item m="1" x="1891"/>
        <item m="1" x="7917"/>
        <item m="1" x="2859"/>
        <item m="1" x="4041"/>
        <item m="1" x="1522"/>
        <item m="1" x="1502"/>
        <item m="1" x="1521"/>
        <item m="1" x="4177"/>
        <item m="1" x="6805"/>
        <item m="1" x="6245"/>
        <item m="1" x="6138"/>
        <item m="1" x="6777"/>
        <item m="1" x="566"/>
        <item m="1" x="2710"/>
        <item m="1" x="483"/>
        <item m="1" x="4369"/>
        <item m="1" x="6825"/>
        <item m="1" x="2303"/>
        <item m="1" x="1270"/>
        <item m="1" x="6563"/>
        <item m="1" x="2739"/>
        <item m="1" x="7879"/>
        <item m="1" x="1924"/>
        <item m="1" x="7918"/>
        <item m="1" x="6496"/>
        <item m="1" x="2302"/>
        <item m="1" x="2334"/>
        <item m="1" x="633"/>
        <item m="1" x="1580"/>
        <item m="1" x="5909"/>
        <item m="1" x="1377"/>
        <item m="1" x="2370"/>
        <item m="1" x="4094"/>
        <item m="1" x="6849"/>
        <item m="1" x="5324"/>
        <item m="1" x="5221"/>
        <item m="1" x="6269"/>
        <item m="1" x="756"/>
        <item m="1" x="5303"/>
        <item m="1" x="5949"/>
        <item m="1" x="2911"/>
        <item m="1" x="4139"/>
        <item m="1" x="6693"/>
        <item m="1" x="1607"/>
        <item m="1" x="2347"/>
        <item m="1" x="6287"/>
        <item m="1" x="2418"/>
        <item m="1" x="3933"/>
        <item m="1" x="6709"/>
        <item m="1" x="4657"/>
        <item m="1" x="6603"/>
        <item m="1" x="1389"/>
        <item m="1" x="4096"/>
        <item m="1" x="988"/>
        <item m="1" x="5375"/>
        <item m="1" x="364"/>
        <item m="1" x="5286"/>
        <item m="1" x="5950"/>
        <item m="1" x="1697"/>
        <item m="1" x="4588"/>
        <item m="1" x="2861"/>
        <item m="1" x="5944"/>
        <item m="1" x="2588"/>
        <item m="1" x="879"/>
        <item m="1" x="4154"/>
        <item m="1" x="2227"/>
        <item m="1" x="3403"/>
        <item m="1" x="6169"/>
        <item m="1" x="7937"/>
        <item m="1" x="903"/>
        <item m="1" x="7880"/>
        <item m="1" x="1202"/>
        <item m="1" x="7398"/>
        <item m="1" x="904"/>
        <item m="1" x="1952"/>
        <item m="1" x="4594"/>
        <item m="1" x="5887"/>
        <item m="1" x="4049"/>
        <item m="1" x="6623"/>
        <item m="1" x="2317"/>
        <item m="1" x="5651"/>
        <item m="1" x="4714"/>
        <item m="1" x="2042"/>
        <item m="1" x="1280"/>
        <item m="1" x="2017"/>
        <item m="1" x="1053"/>
        <item m="1" x="2894"/>
        <item m="1" x="6311"/>
        <item m="1" x="2488"/>
        <item m="1" x="6694"/>
        <item m="1" x="6419"/>
        <item m="1" x="3667"/>
        <item m="1" x="5995"/>
        <item m="1" x="4556"/>
        <item m="1" x="4683"/>
        <item m="1" x="3992"/>
        <item m="1" x="6058"/>
        <item m="1" x="5287"/>
        <item m="1" x="5271"/>
        <item m="1" x="4734"/>
        <item m="1" x="365"/>
        <item m="1" x="3195"/>
        <item m="1" x="3993"/>
        <item m="1" x="3172"/>
        <item m="1" x="4023"/>
        <item m="1" x="4658"/>
        <item m="1" x="3238"/>
        <item m="1" x="1670"/>
        <item m="1" x="6336"/>
        <item m="1" x="3171"/>
        <item m="1" x="6782"/>
        <item m="1" x="3691"/>
        <item m="1" x="1054"/>
        <item m="1" x="6724"/>
        <item m="1" x="6783"/>
        <item m="1" x="6632"/>
        <item m="1" x="4374"/>
        <item m="1" x="5967"/>
        <item m="1" x="5019"/>
        <item m="1" x="1848"/>
        <item m="1" x="5719"/>
        <item m="1" x="402"/>
        <item m="1" x="6461"/>
        <item m="1" x="3217"/>
        <item m="1" x="3038"/>
        <item m="1" x="6820"/>
        <item m="1" x="4659"/>
        <item m="1" x="3713"/>
        <item m="1" x="6856"/>
        <item m="1" x="5792"/>
        <item m="1" x="2456"/>
        <item m="1" x="1772"/>
        <item m="1" x="6560"/>
        <item m="1" x="3765"/>
        <item m="1" x="6059"/>
        <item m="1" x="4467"/>
        <item m="1" x="3272"/>
        <item m="1" x="2989"/>
        <item m="1" x="6898"/>
        <item m="1" x="6763"/>
        <item m="1" x="6108"/>
        <item m="1" x="6099"/>
        <item m="1" x="2164"/>
        <item m="1" x="3328"/>
        <item m="1" x="5392"/>
        <item m="1" x="6107"/>
        <item m="1" x="4735"/>
        <item m="1" x="4875"/>
        <item m="1" x="6941"/>
        <item m="1" x="5069"/>
        <item m="1" x="5435"/>
        <item m="1" x="3218"/>
        <item m="1" x="3301"/>
        <item m="1" x="3275"/>
        <item m="1" x="6386"/>
        <item m="1" x="3325"/>
        <item m="1" x="6762"/>
        <item m="1" x="3764"/>
        <item m="1" x="1228"/>
        <item m="1" x="3833"/>
        <item m="1" x="3274"/>
        <item m="1" x="4415"/>
        <item m="1" x="2278"/>
        <item m="1" x="3374"/>
        <item m="1" x="7400"/>
        <item m="1" x="2279"/>
        <item m="1" x="294"/>
        <item m="1" x="1585"/>
        <item m="1" x="3132"/>
        <item m="1" x="336"/>
        <item m="1" x="3426"/>
        <item m="1" x="3026"/>
        <item m="1" x="6152"/>
        <item m="1" x="1994"/>
        <item m="1" x="3945"/>
        <item m="1" x="7636"/>
        <item m="1" x="6163"/>
        <item m="1" x="2034"/>
        <item m="1" x="1685"/>
        <item m="1" x="620"/>
        <item m="1" x="3273"/>
        <item m="1" x="7801"/>
        <item m="1" x="337"/>
        <item m="1" x="6431"/>
        <item m="1" x="3484"/>
        <item m="1" x="7401"/>
        <item m="1" x="6802"/>
        <item m="1" x="7987"/>
        <item m="1" x="641"/>
        <item m="1" x="1659"/>
        <item m="1" x="968"/>
        <item m="1" x="2397"/>
        <item m="1" x="6885"/>
        <item m="1" x="3327"/>
        <item m="1" x="4466"/>
        <item m="1" x="1071"/>
        <item m="1" x="3547"/>
        <item m="1" x="6927"/>
        <item m="1" x="4042"/>
        <item m="1" x="359"/>
        <item m="1" x="6976"/>
        <item m="1" x="3813"/>
        <item m="1" x="1714"/>
        <item m="1" x="6224"/>
        <item m="1" x="360"/>
        <item m="1" x="1412"/>
        <item m="1" x="413"/>
        <item m="1" x="3326"/>
        <item m="1" x="1002"/>
        <item m="1" x="91"/>
        <item m="1" x="3356"/>
        <item m="1" x="1660"/>
        <item m="1" x="7769"/>
        <item m="1" x="108"/>
        <item m="1" x="1128"/>
        <item m="1" x="3214"/>
        <item m="1" x="7522"/>
        <item m="1" x="1020"/>
        <item m="1" x="7820"/>
        <item m="1" x="1047"/>
        <item m="1" x="3375"/>
        <item m="1" x="4511"/>
        <item m="1" x="3852"/>
        <item m="1" x="2159"/>
        <item m="1" x="4117"/>
        <item m="1" x="179"/>
        <item m="1" x="2579"/>
        <item m="1" x="1835"/>
        <item m="1" x="2209"/>
        <item m="1" x="3376"/>
        <item m="1" x="4462"/>
        <item m="1" x="5715"/>
        <item m="1" x="4811"/>
        <item m="1" x="5452"/>
        <item m="1" x="3104"/>
        <item m="1" x="6869"/>
        <item m="1" x="6626"/>
        <item m="1" x="2580"/>
        <item m="1" x="3786"/>
        <item m="1" x="4484"/>
        <item m="1" x="3398"/>
        <item m="1" x="909"/>
        <item m="1" x="3177"/>
        <item m="1" x="853"/>
        <item m="1" x="7808"/>
        <item m="1" x="7357"/>
        <item m="1" x="390"/>
        <item m="1" x="7097"/>
        <item m="1" x="1473"/>
        <item m="1" x="7868"/>
        <item m="1" x="529"/>
        <item m="1" x="1552"/>
        <item m="1" x="5731"/>
        <item m="1" x="3090"/>
        <item m="1" x="3530"/>
        <item m="1" x="6113"/>
        <item m="1" x="6658"/>
        <item m="1" x="3465"/>
        <item m="1" x="7643"/>
        <item m="1" x="534"/>
        <item m="1" x="6576"/>
        <item m="1" x="3849"/>
        <item m="1" x="3548"/>
        <item m="1" x="4463"/>
        <item m="1" x="4140"/>
        <item m="1" x="2845"/>
        <item m="1" x="1055"/>
        <item m="1" x="121"/>
        <item m="1" x="3938"/>
        <item m="1" x="6642"/>
        <item m="1" x="932"/>
        <item m="1" x="2127"/>
        <item m="1" x="172"/>
        <item m="1" x="187"/>
        <item m="1" x="3028"/>
        <item m="1" x="864"/>
        <item m="1" x="1593"/>
        <item m="1" x="3498"/>
        <item m="1" x="872"/>
        <item m="1" x="1494"/>
        <item m="1" x="248"/>
        <item m="1" x="2816"/>
        <item m="1" x="3934"/>
        <item m="1" x="1672"/>
        <item m="1" x="7366"/>
        <item m="1" x="3954"/>
        <item m="1" x="1643"/>
        <item m="1" x="1953"/>
        <item m="1" x="1862"/>
        <item m="1" x="5914"/>
        <item m="1" x="3115"/>
        <item m="1" x="3531"/>
        <item m="1" x="1135"/>
        <item m="1" x="2018"/>
        <item m="1" x="156"/>
        <item m="1" x="933"/>
        <item m="1" x="4623"/>
        <item m="1" x="865"/>
        <item m="1" x="530"/>
        <item m="1" x="1553"/>
        <item m="1" x="7698"/>
        <item m="1" x="2286"/>
        <item m="1" x="3111"/>
        <item m="1" x="952"/>
        <item m="1" x="2840"/>
        <item m="1" x="2371"/>
        <item m="1" x="6700"/>
        <item m="1" x="3165"/>
        <item m="1" x="3182"/>
        <item m="1" x="7009"/>
        <item m="1" x="4977"/>
        <item m="1" x="1655"/>
        <item m="1" x="2419"/>
        <item m="1" x="428"/>
        <item m="1" x="1186"/>
        <item m="1" x="2062"/>
        <item m="1" x="3295"/>
        <item m="1" x="5282"/>
        <item m="1" x="4383"/>
        <item m="1" x="3225"/>
        <item m="1" x="1679"/>
        <item m="1" x="4691"/>
        <item m="1" x="6007"/>
        <item m="1" x="6329"/>
        <item m="1" x="2118"/>
        <item m="1" x="6489"/>
        <item m="1" x="2029"/>
        <item m="1" x="2929"/>
        <item m="1" x="7010"/>
        <item m="1" x="2210"/>
        <item m="1" x="7662"/>
        <item m="1" x="3230"/>
        <item m="1" x="1706"/>
        <item m="1" x="5667"/>
        <item m="1" x="6736"/>
        <item m="1" x="6409"/>
        <item m="1" x="6008"/>
        <item m="1" x="2949"/>
        <item m="1" x="1534"/>
        <item m="1" x="1378"/>
        <item m="1" x="940"/>
        <item m="1" x="2077"/>
        <item m="1" x="5691"/>
        <item m="1" x="6429"/>
        <item m="1" x="3655"/>
        <item m="1" x="3772"/>
        <item m="1" x="634"/>
        <item m="1" x="7452"/>
        <item m="1" x="1732"/>
        <item m="1" x="7011"/>
        <item m="1" x="6025"/>
        <item m="1" x="4978"/>
        <item m="1" x="6573"/>
        <item m="1" x="5668"/>
        <item m="1" x="6770"/>
        <item m="1" x="5954"/>
        <item m="1" x="5591"/>
        <item m="1" x="5283"/>
        <item m="1" x="5690"/>
        <item m="1" x="6716"/>
        <item m="1" x="722"/>
        <item m="1" x="1428"/>
        <item m="1" x="2538"/>
        <item m="1" x="4808"/>
        <item m="1" x="2196"/>
        <item m="1" x="679"/>
        <item m="1" x="1784"/>
        <item m="1" x="1453"/>
        <item m="1" x="4405"/>
        <item m="1" x="3704"/>
        <item m="1" x="5378"/>
        <item m="1" x="4970"/>
        <item m="1" x="5709"/>
        <item m="1" x="5028"/>
        <item m="1" x="7238"/>
        <item m="1" x="3962"/>
        <item m="1" x="3805"/>
        <item m="1" x="6450"/>
        <item m="1" x="4675"/>
        <item m="1" x="6517"/>
        <item m="1" x="3284"/>
        <item m="1" x="2994"/>
        <item m="1" x="5029"/>
        <item m="1" x="5754"/>
        <item m="1" x="776"/>
        <item m="1" x="3864"/>
        <item m="1" x="5445"/>
        <item m="1" x="5147"/>
        <item m="1" x="5826"/>
        <item m="1" x="1825"/>
        <item m="1" x="5846"/>
        <item m="1" x="4926"/>
        <item m="1" x="6376"/>
        <item m="1" x="7428"/>
        <item m="1" x="4000"/>
        <item m="1" x="1012"/>
        <item m="1" x="1329"/>
        <item m="1" x="6592"/>
        <item m="1" x="6146"/>
        <item m="1" x="2220"/>
        <item m="1" x="6830"/>
        <item m="1" x="1575"/>
        <item m="1" x="5800"/>
        <item m="1" x="560"/>
        <item m="1" x="6543"/>
        <item m="1" x="5047"/>
        <item m="1" x="3009"/>
        <item m="1" x="4107"/>
        <item m="1" x="3722"/>
        <item m="1" x="1474"/>
        <item m="1" x="2600"/>
        <item m="1" x="5416"/>
        <item m="1" x="4519"/>
        <item m="1" x="2630"/>
        <item m="1" x="721"/>
        <item m="1" x="2356"/>
        <item m="1" x="5415"/>
        <item m="1" x="4273"/>
        <item m="1" x="7975"/>
        <item m="1" x="958"/>
        <item m="1" x="1330"/>
        <item m="1" x="6330"/>
        <item m="1" x="5845"/>
        <item m="1" x="6877"/>
        <item m="1" x="2464"/>
        <item m="1" x="7994"/>
        <item m="1" x="1342"/>
        <item m="1" x="603"/>
        <item m="1" x="4031"/>
        <item m="1" x="3201"/>
        <item m="1" x="4704"/>
        <item m="1" x="134"/>
        <item m="1" x="775"/>
        <item m="1" x="2004"/>
        <item m="1" x="84"/>
        <item m="1" x="6241"/>
        <item m="1" x="7475"/>
        <item m="1" x="993"/>
        <item m="1" x="2846"/>
        <item m="1" x="4880"/>
        <item m="1" x="5888"/>
        <item m="1" x="1652"/>
        <item m="1" x="7409"/>
        <item m="1" x="668"/>
        <item m="1" x="821"/>
        <item m="1" x="7960"/>
        <item m="1" x="1749"/>
        <item m="1" x="7762"/>
        <item m="1" x="370"/>
        <item m="1" x="7306"/>
        <item m="1" x="994"/>
        <item m="1" x="1750"/>
        <item m="1" x="7012"/>
        <item m="1" x="7790"/>
        <item m="1" x="769"/>
        <item m="1" x="5062"/>
        <item m="1" x="4080"/>
        <item m="1" x="1060"/>
        <item m="1" x="7429"/>
        <item m="1" x="304"/>
        <item m="1" x="2880"/>
        <item m="1" x="3246"/>
        <item m="1" x="7062"/>
        <item m="1" x="1623"/>
        <item m="1" x="5931"/>
        <item m="1" x="7976"/>
        <item m="1" x="1800"/>
        <item m="1" x="2626"/>
        <item m="1" x="1061"/>
        <item m="1" x="5108"/>
        <item m="1" x="1078"/>
        <item m="1" x="3337"/>
        <item m="1" x="866"/>
        <item m="1" x="7495"/>
        <item m="1" x="3717"/>
        <item m="1" x="7063"/>
        <item m="1" x="694"/>
        <item m="1" x="2001"/>
        <item m="1" x="5968"/>
        <item m="1" x="740"/>
        <item m="1" x="4209"/>
        <item m="1" x="1511"/>
        <item m="1" x="935"/>
        <item m="1" x="4863"/>
        <item m="1" x="6522"/>
        <item m="1" x="3559"/>
        <item m="1" x="5110"/>
        <item m="1" x="1427"/>
        <item m="1" x="4182"/>
        <item m="1" x="1177"/>
        <item m="1" x="1863"/>
        <item m="1" x="4747"/>
        <item m="1" x="6639"/>
        <item m="1" x="2592"/>
        <item m="1" x="1853"/>
        <item m="1" x="2160"/>
        <item m="1" x="4166"/>
        <item m="1" x="6550"/>
        <item m="1" x="4118"/>
        <item m="1" x="5427"/>
        <item m="1" x="6100"/>
        <item m="1" x="5852"/>
        <item m="1" x="6870"/>
        <item m="1" x="1875"/>
        <item m="1" x="442"/>
        <item m="1" x="1889"/>
        <item m="1" x="6017"/>
        <item m="1" x="5171"/>
        <item m="1" x="2616"/>
        <item m="1" x="5494"/>
        <item m="1" x="4141"/>
        <item m="1" x="1920"/>
        <item m="1" x="4401"/>
        <item m="1" x="6382"/>
        <item m="1" x="7476"/>
        <item m="1" x="85"/>
        <item m="1" x="6410"/>
        <item m="1" x="1395"/>
        <item m="1" x="7562"/>
        <item m="1" x="2972"/>
        <item m="1" x="795"/>
        <item m="1" x="1821"/>
        <item m="1" x="2593"/>
        <item m="1" x="3797"/>
        <item m="1" x="1490"/>
        <item m="1" x="1460"/>
        <item m="1" x="4791"/>
        <item m="1" x="1153"/>
        <item m="1" x="719"/>
        <item m="1" x="7659"/>
        <item m="1" x="4864"/>
        <item m="1" x="5453"/>
        <item m="1" x="4167"/>
        <item m="1" x="6273"/>
        <item m="1" x="2223"/>
        <item m="1" x="6811"/>
        <item m="1" x="5807"/>
        <item m="1" x="1103"/>
        <item m="1" x="794"/>
        <item m="1" x="1178"/>
        <item m="1" x="3055"/>
        <item m="1" x="3399"/>
        <item m="1" x="6594"/>
        <item m="1" x="1671"/>
        <item m="1" x="5537"/>
        <item m="1" x="1852"/>
        <item m="1" x="2671"/>
        <item m="1" x="6126"/>
        <item m="1" x="465"/>
        <item m="1" x="5428"/>
        <item m="1" x="3477"/>
        <item m="1" x="910"/>
        <item m="1" x="6609"/>
        <item m="1" x="6929"/>
        <item m="1" x="6255"/>
        <item m="1" x="6182"/>
        <item m="1" x="3446"/>
        <item m="1" x="517"/>
        <item m="1" x="4826"/>
        <item m="1" x="5621"/>
        <item m="1" x="1561"/>
        <item m="1" x="4190"/>
        <item m="1" x="6871"/>
        <item m="1" x="536"/>
        <item m="1" x="6298"/>
        <item m="1" x="5622"/>
        <item m="1" x="1629"/>
        <item m="1" x="7596"/>
        <item m="1" x="2706"/>
        <item m="1" x="2293"/>
        <item m="1" x="5660"/>
        <item m="1" x="5205"/>
        <item m="1" x="6236"/>
        <item m="1" x="4210"/>
        <item m="1" x="2045"/>
        <item m="1" x="5485"/>
        <item m="1" x="842"/>
        <item m="1" x="4786"/>
        <item m="1" x="6643"/>
        <item m="1" x="6892"/>
        <item m="1" x="6274"/>
        <item m="1" x="2705"/>
        <item m="1" x="768"/>
        <item m="1" x="3381"/>
        <item m="1" x="3535"/>
        <item m="1" x="2046"/>
        <item m="1" x="6911"/>
        <item m="1" x="4211"/>
        <item m="1" x="4359"/>
        <item m="1" x="4886"/>
        <item m="1" x="3837"/>
        <item m="1" x="953"/>
        <item m="1" x="6891"/>
        <item m="1" x="4644"/>
        <item m="1" x="1310"/>
        <item m="1" x="5955"/>
        <item m="1" x="604"/>
        <item m="1" x="3939"/>
        <item m="1" x="5623"/>
        <item m="1" x="583"/>
        <item m="1" x="1720"/>
        <item m="1" x="7352"/>
        <item m="1" x="3202"/>
        <item m="1" x="4321"/>
        <item m="1" x="6403"/>
        <item m="1" x="4953"/>
        <item m="1" x="6677"/>
        <item m="1" x="6424"/>
        <item m="1" x="4255"/>
        <item m="1" x="1894"/>
        <item m="1" x="2716"/>
        <item m="1" x="2767"/>
        <item m="1" x="5684"/>
        <item m="1" x="6930"/>
        <item m="1" x="3644"/>
        <item m="1" x="4666"/>
        <item m="1" x="1396"/>
        <item m="1" x="3447"/>
        <item m="1" x="7337"/>
        <item m="1" x="1038"/>
        <item m="1" x="7514"/>
        <item m="1" x="7767"/>
        <item m="1" x="2504"/>
        <item m="1" x="3257"/>
        <item m="1" x="2569"/>
        <item m="1" x="7751"/>
        <item m="1" x="4108"/>
        <item m="1" x="137"/>
        <item m="1" x="1404"/>
        <item m="1" x="409"/>
        <item m="1" x="408"/>
        <item m="1" x="700"/>
        <item m="1" x="998"/>
        <item m="1" x="7550"/>
        <item m="1" x="5011"/>
        <item m="1" x="1445"/>
        <item m="1" x="7497"/>
        <item m="1" x="7021"/>
        <item m="1" x="173"/>
        <item m="1" x="303"/>
        <item m="1" x="6575"/>
        <item m="1" x="3414"/>
        <item m="1" x="7116"/>
        <item m="1" x="2766"/>
        <item m="1" x="2174"/>
        <item m="1" x="1577"/>
        <item m="1" x="6590"/>
        <item m="1" x="1807"/>
        <item m="1" x="7551"/>
        <item m="1" x="1211"/>
        <item m="1" x="1931"/>
        <item m="1" x="2674"/>
        <item m="1" x="490"/>
        <item m="1" x="1594"/>
        <item m="1" x="2602"/>
        <item m="1" x="7046"/>
        <item m="1" x="7869"/>
        <item m="1" x="6256"/>
        <item m="1" x="6299"/>
        <item m="1" x="5972"/>
        <item m="1" x="3066"/>
        <item m="1" x="1120"/>
        <item m="1" x="936"/>
        <item m="1" x="1773"/>
        <item m="1" x="1928"/>
        <item m="1" x="2785"/>
        <item m="1" x="2718"/>
        <item m="1" x="1826"/>
        <item m="1" x="7870"/>
        <item m="1" x="3388"/>
        <item m="1" x="3415"/>
        <item m="1" x="7563"/>
        <item m="1" x="423"/>
        <item m="1" x="1085"/>
        <item m="1" x="174"/>
        <item m="1" x="1898"/>
        <item m="1" x="7405"/>
        <item m="1" x="406"/>
        <item m="1" x="7601"/>
        <item m="1" x="1879"/>
        <item m="1" x="7906"/>
        <item m="1" x="1212"/>
        <item m="1" x="4159"/>
        <item m="1" x="7928"/>
        <item m="1" x="7852"/>
        <item m="1" x="7621"/>
        <item m="1" x="3440"/>
        <item m="1" x="7071"/>
        <item m="1" x="3838"/>
        <item m="1" x="1165"/>
        <item m="1" x="4206"/>
        <item m="1" x="1166"/>
        <item m="1" x="7907"/>
        <item m="1" x="2823"/>
        <item m="1" x="7450"/>
        <item m="1" x="382"/>
        <item m="1" x="7660"/>
        <item m="1" x="1630"/>
        <item m="1" x="5275"/>
        <item m="1" x="4377"/>
        <item m="1" x="3532"/>
        <item m="1" x="7990"/>
        <item m="1" x="7973"/>
        <item m="1" x="1281"/>
        <item m="1" x="2758"/>
        <item m="1" x="3743"/>
        <item m="1" x="7580"/>
        <item m="1" x="3499"/>
        <item m="1" x="2695"/>
        <item m="1" x="418"/>
        <item m="1" x="2406"/>
        <item m="1" x="555"/>
        <item m="1" x="1769"/>
        <item m="1" x="1971"/>
        <item m="1" x="2833"/>
        <item m="1" x="206"/>
        <item m="1" x="7561"/>
        <item m="1" x="567"/>
        <item m="1" x="1954"/>
        <item m="1" x="1624"/>
        <item m="1" x="2853"/>
        <item m="1" x="7943"/>
        <item m="1" x="207"/>
        <item m="1" x="6331"/>
        <item m="1" x="2429"/>
        <item m="1" x="3576"/>
        <item m="1" x="7972"/>
        <item m="1" x="4613"/>
        <item m="1" x="5549"/>
        <item m="1" x="1271"/>
        <item m="1" x="2631"/>
        <item m="1" x="3604"/>
        <item m="1" x="5941"/>
        <item m="1" x="5628"/>
        <item m="1" x="7064"/>
        <item m="1" x="5316"/>
        <item m="1" x="78"/>
        <item m="1" x="6009"/>
        <item m="1" x="4454"/>
        <item m="1" x="4996"/>
        <item m="1" x="1294"/>
        <item m="1" x="6684"/>
        <item m="1" x="6383"/>
        <item m="1" x="5692"/>
        <item m="1" x="6649"/>
        <item m="1" x="113"/>
        <item m="1" x="6043"/>
        <item m="1" x="2881"/>
        <item m="1" x="444"/>
        <item m="1" x="5959"/>
        <item m="1" x="4942"/>
        <item m="1" x="5984"/>
        <item m="1" x="4197"/>
        <item m="1" x="1677"/>
        <item m="1" x="3183"/>
        <item m="1" x="1352"/>
        <item m="1" x="146"/>
        <item m="1" x="6147"/>
        <item m="1" x="484"/>
        <item m="1" x="6793"/>
        <item m="1" x="5693"/>
        <item m="1" x="4384"/>
        <item m="1" x="7620"/>
        <item m="1" x="2757"/>
        <item m="1" x="182"/>
        <item m="1" x="5379"/>
        <item m="1" x="5629"/>
        <item m="1" x="6092"/>
        <item m="1" x="1405"/>
        <item m="1" x="4979"/>
        <item m="1" x="6752"/>
        <item m="1" x="6070"/>
        <item m="1" x="5317"/>
        <item m="1" x="2011"/>
        <item m="1" x="2890"/>
        <item m="1" x="5297"/>
        <item m="1" x="5983"/>
        <item m="1" x="6989"/>
        <item m="1" x="2372"/>
        <item m="1" x="2392"/>
        <item m="1" x="2887"/>
        <item m="1" x="4959"/>
        <item m="1" x="4676"/>
        <item m="1" x="5611"/>
        <item m="1" x="5014"/>
        <item m="1" x="5985"/>
        <item m="1" x="3723"/>
        <item m="1" x="1429"/>
        <item m="1" x="4455"/>
        <item m="1" x="249"/>
        <item m="1" x="4019"/>
        <item m="1" x="3231"/>
        <item m="1" x="1009"/>
        <item m="1" x="6251"/>
        <item m="1" x="6093"/>
        <item m="1" x="6794"/>
        <item m="1" x="250"/>
        <item m="1" x="431"/>
        <item m="1" x="6411"/>
        <item m="1" x="2950"/>
        <item m="1" x="1379"/>
        <item m="1" x="5883"/>
        <item m="1" x="3258"/>
        <item m="1" x="7384"/>
        <item m="1" x="4365"/>
        <item m="1" x="5417"/>
        <item m="1" x="5734"/>
        <item m="1" x="2128"/>
        <item m="1" x="6473"/>
        <item m="1" x="3752"/>
        <item m="1" x="1454"/>
        <item m="1" x="6148"/>
        <item m="1" x="5467"/>
        <item m="1" x="7115"/>
        <item m="1" x="7167"/>
        <item m="1" x="822"/>
        <item m="1" x="1455"/>
        <item m="1" x="1475"/>
        <item m="1" x="3289"/>
        <item m="1" x="6149"/>
        <item m="1" x="2995"/>
        <item m="1" x="6831"/>
        <item m="1" x="3843"/>
        <item m="1" x="2920"/>
        <item m="1" x="4406"/>
        <item m="1" x="5181"/>
        <item m="1" x="3773"/>
        <item m="1" x="1726"/>
        <item m="1" x="6518"/>
        <item m="1" x="4086"/>
        <item m="1" x="6544"/>
        <item m="1" x="5576"/>
        <item m="1" x="7856"/>
        <item m="1" x="7663"/>
        <item m="1" x="2873"/>
        <item m="1" x="6164"/>
        <item m="1" x="7815"/>
        <item m="1" x="281"/>
        <item m="1" x="5109"/>
        <item m="1" x="4427"/>
        <item m="1" x="6863"/>
        <item m="1" x="1562"/>
        <item m="1" x="5222"/>
        <item m="1" x="2058"/>
        <item m="1" x="2153"/>
        <item m="1" x="3842"/>
        <item m="1" x="4766"/>
        <item m="1" x="5402"/>
        <item m="1" x="3343"/>
        <item m="1" x="7608"/>
        <item m="1" x="2327"/>
        <item m="1" x="4456"/>
        <item m="1" x="1986"/>
        <item m="1" x="282"/>
        <item m="1" x="3160"/>
        <item m="1" x="5148"/>
        <item m="1" x="7649"/>
        <item m="1" x="6878"/>
        <item m="1" x="7392"/>
        <item m="1" x="1960"/>
        <item m="1" x="1600"/>
        <item m="1" x="1599"/>
        <item m="1" x="2023"/>
        <item m="1" x="7701"/>
        <item m="1" x="518"/>
        <item m="1" x="305"/>
        <item m="1" x="2357"/>
        <item m="1" x="2067"/>
        <item m="1" x="1943"/>
        <item m="1" x="7690"/>
        <item m="1" x="7172"/>
        <item m="1" x="7977"/>
        <item m="1" x="2768"/>
        <item m="1" x="7978"/>
        <item m="1" x="1331"/>
        <item m="1" x="346"/>
        <item m="1" x="5180"/>
        <item m="1" x="2413"/>
        <item m="1" x="6332"/>
        <item m="1" x="625"/>
        <item m="1" x="7453"/>
        <item m="1" x="3121"/>
        <item m="1" x="2973"/>
        <item m="1" x="7431"/>
        <item m="1" x="537"/>
        <item m="1" x="2434"/>
        <item m="1" x="5592"/>
        <item m="1" x="6771"/>
        <item m="1" x="7995"/>
        <item m="1" x="2005"/>
        <item m="1" x="2797"/>
        <item m="1" x="1343"/>
        <item m="1" x="2385"/>
        <item m="1" x="3178"/>
        <item m="1" x="6918"/>
        <item m="1" x="7371"/>
        <item m="1" x="7932"/>
        <item m="1" x="7702"/>
        <item m="1" x="561"/>
        <item m="1" x="7430"/>
        <item m="1" x="2006"/>
        <item m="1" x="7691"/>
        <item m="1" x="6309"/>
        <item m="1" x="7961"/>
        <item m="1" x="1311"/>
        <item m="1" x="606"/>
        <item m="1" x="538"/>
        <item m="1" x="7410"/>
        <item m="1" x="2824"/>
        <item m="1" x="7635"/>
        <item m="1" x="2068"/>
        <item m="1" x="669"/>
        <item m="1" x="7575"/>
        <item m="1" x="2601"/>
        <item m="1" x="2148"/>
        <item m="1" x="3309"/>
        <item m="1" x="7913"/>
        <item m="1" x="286"/>
        <item m="1" x="1240"/>
        <item m="1" x="605"/>
        <item m="1" x="1822"/>
        <item m="1" x="626"/>
        <item m="1" x="1367"/>
        <item m="1" x="2495"/>
        <item m="1" x="3285"/>
        <item m="1" x="2047"/>
        <item m="1" x="607"/>
        <item m="1" x="86"/>
        <item m="1" x="1032"/>
        <item m="1" x="2169"/>
        <item m="1" x="770"/>
        <item m="1" x="118"/>
        <item m="1" x="3338"/>
        <item m="1" x="670"/>
        <item m="1" x="742"/>
        <item m="1" x="2944"/>
        <item m="1" x="1446"/>
        <item m="1" x="481"/>
        <item m="1" x="3382"/>
        <item m="1" x="3268"/>
        <item m="1" x="1179"/>
        <item m="1" x="347"/>
        <item m="1" x="135"/>
        <item m="1" x="3247"/>
        <item m="1" x="6153"/>
        <item m="1" x="6812"/>
        <item m="1" x="3296"/>
        <item m="1" x="7192"/>
        <item m="1" x="5360"/>
        <item m="1" x="6760"/>
        <item m="1" x="4360"/>
        <item m="1" x="4142"/>
        <item m="1" x="5387"/>
        <item m="1" x="4754"/>
        <item m="1" x="3400"/>
        <item m="1" x="6990"/>
        <item m="1" x="4191"/>
        <item m="1" x="4792"/>
        <item m="1" x="5700"/>
        <item m="1" x="5404"/>
        <item m="1" x="6183"/>
        <item m="1" x="3758"/>
        <item m="1" x="3372"/>
        <item m="1" x="5086"/>
        <item m="1" x="4168"/>
        <item m="1" x="7530"/>
        <item m="1" x="7778"/>
        <item m="1" x="1937"/>
        <item m="1" x="2707"/>
        <item m="1" x="4827"/>
        <item m="1" x="6837"/>
        <item m="1" x="2253"/>
        <item m="1" x="861"/>
        <item m="1" x="1420"/>
        <item m="1" x="4847"/>
        <item m="1" x="647"/>
        <item m="1" x="4546"/>
        <item m="1" x="4143"/>
        <item m="1" x="6799"/>
        <item m="1" x="1987"/>
        <item m="1" x="5831"/>
        <item m="1" x="4192"/>
        <item m="1" x="5495"/>
        <item m="1" x="7193"/>
        <item m="1" x="5473"/>
        <item m="1" x="6154"/>
        <item m="1" x="6184"/>
        <item m="1" x="6127"/>
        <item m="1" x="4526"/>
        <item m="1" x="6498"/>
        <item m="1" x="2652"/>
        <item m="1" x="2190"/>
        <item m="1" x="5066"/>
        <item m="1" x="5561"/>
        <item m="1" x="5429"/>
        <item m="1" x="3448"/>
        <item m="1" x="5518"/>
        <item m="1" x="6216"/>
        <item m="1" x="2798"/>
        <item m="1" x="344"/>
        <item m="1" x="2069"/>
        <item m="1" x="6893"/>
        <item m="1" x="7219"/>
        <item m="1" x="2708"/>
        <item m="1" x="6912"/>
        <item m="1" x="4144"/>
        <item m="1" x="4812"/>
        <item m="1" x="5153"/>
        <item m="1" x="5519"/>
        <item m="1" x="6217"/>
        <item m="1" x="4865"/>
        <item m="1" x="6838"/>
        <item m="1" x="5538"/>
        <item m="1" x="6257"/>
        <item m="1" x="3537"/>
        <item m="1" x="4793"/>
        <item m="1" x="2375"/>
        <item m="1" x="944"/>
        <item m="1" x="2048"/>
        <item m="1" x="5539"/>
        <item m="1" x="2124"/>
        <item m="1" x="539"/>
        <item m="1" x="6185"/>
        <item m="1" x="4909"/>
        <item m="1" x="167"/>
        <item m="1" x="6020"/>
        <item m="1" x="5496"/>
        <item m="1" x="4297"/>
        <item m="1" x="584"/>
        <item m="1" x="3420"/>
        <item m="1" x="3908"/>
        <item m="1" x="7616"/>
        <item m="1" x="2769"/>
        <item m="1" x="3536"/>
        <item m="1" x="6577"/>
        <item m="1" x="6063"/>
        <item m="1" x="4212"/>
        <item m="1" x="1961"/>
        <item m="1" x="5186"/>
        <item m="1" x="1261"/>
        <item m="1" x="6347"/>
        <item m="1" x="3056"/>
        <item m="1" x="6958"/>
        <item m="1" x="540"/>
        <item m="1" x="2264"/>
        <item m="1" x="3449"/>
        <item m="1" x="1241"/>
        <item m="1" x="2294"/>
        <item m="1" x="3596"/>
        <item m="1" x="4213"/>
        <item m="1" x="5073"/>
        <item m="1" x="4298"/>
        <item m="1" x="5540"/>
        <item m="1" x="3597"/>
        <item m="1" x="5603"/>
        <item m="1" x="3909"/>
        <item m="1" x="695"/>
        <item m="1" x="4236"/>
        <item m="1" x="2170"/>
        <item m="1" x="627"/>
        <item m="1" x="4602"/>
        <item m="1" x="4991"/>
        <item m="1" x="7597"/>
        <item m="1" x="4929"/>
        <item m="1" x="6275"/>
        <item m="1" x="6300"/>
        <item m="1" x="5206"/>
        <item m="1" x="5580"/>
        <item m="1" x="6931"/>
        <item m="1" x="2694"/>
        <item m="1" x="2233"/>
        <item m="1" x="4322"/>
        <item m="1" x="4887"/>
        <item m="1" x="1288"/>
        <item m="1" x="5252"/>
        <item m="1" x="4954"/>
        <item m="1" x="5964"/>
        <item m="1" x="6959"/>
        <item m="1" x="7922"/>
        <item m="1" x="5581"/>
        <item m="1" x="7768"/>
        <item m="1" x="962"/>
        <item m="1" x="5990"/>
        <item m="1" x="2951"/>
        <item m="1" x="202"/>
        <item m="1" x="3259"/>
        <item m="1" x="410"/>
        <item m="1" x="7752"/>
        <item m="1" x="701"/>
        <item m="1" x="4062"/>
        <item m="1" x="3290"/>
        <item m="1" x="7527"/>
        <item m="1" x="1808"/>
        <item m="1" x="7827"/>
        <item m="1" x="1086"/>
        <item m="1" x="1065"/>
        <item m="1" x="3595"/>
        <item m="1" x="1196"/>
        <item m="1" x="7661"/>
        <item m="1" x="6031"/>
        <item m="1" x="4109"/>
        <item m="1" x="1827"/>
        <item m="1" x="7047"/>
        <item m="1" x="1167"/>
        <item m="1" x="2756"/>
        <item m="1" x="2570"/>
        <item m="1" x="747"/>
        <item m="1" x="5640"/>
        <item m="1" x="741"/>
        <item m="1" x="4274"/>
        <item m="1" x="7533"/>
        <item m="1" x="7793"/>
        <item m="1" x="456"/>
        <item m="1" x="2154"/>
        <item m="1" x="7862"/>
        <item m="1" x="1121"/>
        <item m="1" x="3010"/>
        <item m="1" x="3389"/>
        <item m="1" x="241"/>
        <item m="1" x="3317"/>
        <item m="1" x="7871"/>
        <item m="1" x="7717"/>
        <item m="1" x="7853"/>
        <item m="1" x="3619"/>
        <item m="1" x="7816"/>
        <item m="1" x="4160"/>
        <item m="1" x="7581"/>
        <item m="1" x="1168"/>
        <item m="1" x="4230"/>
        <item m="1" x="6129"/>
        <item m="1" x="6813"/>
        <item m="1" x="3645"/>
        <item m="1" x="7747"/>
        <item m="1" x="7842"/>
        <item m="1" x="848"/>
        <item m="1" x="1932"/>
        <item m="1" x="6079"/>
        <item m="1" x="2841"/>
        <item m="1" x="2696"/>
        <item m="1" x="457"/>
        <item m="1" x="5685"/>
        <item m="1" x="796"/>
        <item m="1" x="2817"/>
        <item m="1" x="2280"/>
        <item m="1" x="644"/>
        <item m="1" x="185"/>
        <item m="1" x="551"/>
        <item m="1" x="2189"/>
        <item m="1" x="1799"/>
        <item m="1" x="818"/>
        <item m="1" x="7872"/>
        <item m="1" x="531"/>
        <item m="1" x="283"/>
        <item m="1" x="7622"/>
        <item m="1" x="7909"/>
        <item m="1" x="3254"/>
        <item m="1" x="3441"/>
        <item m="1" x="1363"/>
        <item m="1" x="4186"/>
        <item m="1" x="7142"/>
        <item m="1" x="7890"/>
        <item m="1" x="3979"/>
        <item m="1" x="6292"/>
        <item m="1" x="3068"/>
        <item m="1" x="4294"/>
        <item m="1" x="4720"/>
        <item m="1" x="4949"/>
        <item m="1" x="6056"/>
        <item m="1" x="3611"/>
        <item m="1" x="5616"/>
        <item m="1" x="342"/>
        <item m="1" x="4050"/>
        <item m="1" x="4967"/>
        <item m="1" x="4986"/>
        <item m="1" x="7552"/>
        <item m="1" x="3366"/>
        <item m="1" x="6312"/>
        <item m="1" x="6952"/>
        <item m="1" x="4968"/>
        <item m="1" x="7029"/>
        <item m="1" x="5085"/>
        <item m="1" x="383"/>
        <item m="1" x="5480"/>
        <item m="1" x="4338"/>
        <item m="1" x="4097"/>
        <item m="1" x="6313"/>
        <item m="1" x="6850"/>
        <item m="1" x="4155"/>
        <item m="1" x="3276"/>
        <item m="1" x="7030"/>
        <item m="1" x="6128"/>
        <item m="1" x="2895"/>
        <item m="1" x="4715"/>
        <item m="1" x="4375"/>
        <item m="1" x="5116"/>
        <item m="1" x="2872"/>
        <item m="1" x="5004"/>
        <item m="1" x="4098"/>
        <item m="1" x="5020"/>
        <item m="1" x="4736"/>
        <item m="1" x="5720"/>
        <item m="1" x="6395"/>
        <item m="1" x="7053"/>
        <item m="1" x="6764"/>
        <item m="1" x="5727"/>
        <item m="1" x="6977"/>
        <item m="1" x="6784"/>
        <item m="1" x="1721"/>
        <item m="1" x="2896"/>
        <item m="1" x="6894"/>
        <item m="1" x="4198"/>
        <item m="1" x="5721"/>
        <item m="1" x="4799"/>
        <item m="1" x="6503"/>
        <item m="1" x="7102"/>
        <item m="1" x="5722"/>
        <item m="1" x="5652"/>
        <item m="1" x="4416"/>
        <item m="1" x="1746"/>
        <item m="1" x="5745"/>
        <item m="1" x="7153"/>
        <item m="1" x="2967"/>
        <item m="1" x="5117"/>
        <item m="1" x="4242"/>
        <item m="1" x="5723"/>
        <item m="1" x="5436"/>
        <item m="1" x="2291"/>
        <item m="1" x="7203"/>
        <item m="1" x="6197"/>
        <item m="1" x="7325"/>
        <item m="1" x="5765"/>
        <item m="1" x="4283"/>
        <item m="1" x="4818"/>
        <item m="1" x="5463"/>
        <item m="1" x="6362"/>
        <item m="1" x="7002"/>
        <item m="1" x="6785"/>
        <item m="1" x="3021"/>
        <item m="1" x="4099"/>
        <item m="1" x="7178"/>
        <item m="1" x="7123"/>
        <item m="1" x="4468"/>
        <item m="1" x="3456"/>
        <item m="1" x="5804"/>
        <item m="1" x="2647"/>
        <item m="1" x="6198"/>
        <item m="1" x="2149"/>
        <item m="1" x="3519"/>
        <item m="1" x="4330"/>
        <item m="1" x="1946"/>
        <item m="1" x="928"/>
        <item m="1" x="6186"/>
        <item m="1" x="2938"/>
        <item m="1" x="2398"/>
        <item m="1" x="3525"/>
        <item m="1" x="5772"/>
        <item m="1" x="3678"/>
        <item m="1" x="7901"/>
        <item m="1" x="522"/>
        <item m="1" x="2810"/>
        <item m="1" x="801"/>
        <item m="1" x="2191"/>
        <item m="1" x="4512"/>
        <item m="1" x="7028"/>
        <item m="1" x="2916"/>
        <item m="1" x="7213"/>
        <item m="1" x="7908"/>
        <item m="1" x="4311"/>
        <item m="1" x="1661"/>
        <item m="1" x="307"/>
        <item m="1" x="3774"/>
        <item m="1" x="1003"/>
        <item m="1" x="2834"/>
        <item m="1" x="2744"/>
        <item m="1" x="1252"/>
        <item m="1" x="323"/>
        <item m="1" x="7723"/>
        <item m="1" x="4548"/>
        <item m="1" x="2513"/>
        <item m="1" x="1048"/>
        <item m="1" x="1686"/>
        <item m="1" x="2862"/>
        <item m="1" x="5105"/>
        <item m="1" x="2483"/>
        <item m="1" x="3637"/>
        <item m="1" x="6420"/>
        <item m="1" x="7052"/>
        <item m="1" x="6821"/>
        <item m="1" x="2811"/>
        <item m="1" x="4585"/>
        <item m="1" x="6514"/>
        <item m="1" x="687"/>
        <item m="1" x="5627"/>
        <item m="1" x="4780"/>
        <item m="1" x="2892"/>
        <item m="1" x="1729"/>
        <item m="1" x="5903"/>
        <item m="1" x="4438"/>
        <item m="1" x="7678"/>
        <item m="1" x="6932"/>
        <item m="1" x="4303"/>
        <item m="1" x="6237"/>
        <item m="1" x="2983"/>
        <item m="1" x="4370"/>
        <item m="1" x="4432"/>
        <item m="1" x="7503"/>
        <item m="1" x="1021"/>
        <item m="1" x="3687"/>
        <item m="1" x="1355"/>
        <item m="1" x="3638"/>
        <item m="1" x="7770"/>
        <item m="1" x="2617"/>
        <item m="1" x="4807"/>
        <item m="1" x="1129"/>
        <item m="1" x="2134"/>
        <item m="1" x="2934"/>
        <item m="1" x="1762"/>
        <item m="1" x="7076"/>
        <item m="1" x="5610"/>
        <item m="1" x="6981"/>
        <item m="1" x="2891"/>
        <item m="1" x="2635"/>
        <item m="1" x="2935"/>
        <item m="1" x="7537"/>
        <item m="1" x="4433"/>
        <item m="1" x="7821"/>
        <item m="1" x="414"/>
        <item m="1" x="3688"/>
        <item m="1" x="2550"/>
        <item m="1" x="6462"/>
        <item m="1" x="7101"/>
        <item m="1" x="6857"/>
        <item m="1" x="2863"/>
        <item m="1" x="2496"/>
        <item m="1" x="1836"/>
        <item m="1" x="2961"/>
        <item m="1" x="1466"/>
        <item m="1" x="4115"/>
        <item m="1" x="4499"/>
        <item m="1" x="3672"/>
        <item m="1" x="6110"/>
        <item m="1" x="5728"/>
        <item m="1" x="3339"/>
        <item m="1" x="1245"/>
        <item m="1" x="2216"/>
        <item m="1" x="3718"/>
        <item m="1" x="1568"/>
        <item m="1" x="4129"/>
        <item m="1" x="7316"/>
        <item m="1" x="6276"/>
        <item m="1" x="7231"/>
        <item m="1" x="5820"/>
        <item m="1" x="6139"/>
        <item m="1" x="5795"/>
        <item m="1" x="3796"/>
        <item m="1" x="1611"/>
        <item m="1" x="2135"/>
        <item m="1" x="1447"/>
        <item m="1" x="2192"/>
        <item m="1" x="5125"/>
        <item m="1" x="6537"/>
        <item m="1" x="7122"/>
        <item m="1" x="6565"/>
        <item m="1" x="6880"/>
        <item m="1" x="4821"/>
        <item m="1" x="2933"/>
        <item m="1" x="2636"/>
        <item m="1" x="5101"/>
        <item m="1" x="3834"/>
        <item m="1" x="3409"/>
        <item m="1" x="6228"/>
        <item m="1" x="6584"/>
        <item m="1" x="2234"/>
        <item m="1" x="2254"/>
        <item m="1" x="4842"/>
        <item m="1" x="5163"/>
        <item m="1" x="3105"/>
        <item m="1" x="3819"/>
        <item m="1" x="6859"/>
        <item m="1" x="7206"/>
        <item m="1" x="6566"/>
        <item m="1" x="3432"/>
        <item m="1" x="2281"/>
        <item m="1" x="6922"/>
        <item m="1" x="2672"/>
        <item m="1" x="6899"/>
        <item m="1" x="2912"/>
        <item m="1" x="862"/>
        <item m="1" x="1530"/>
        <item m="1" x="3798"/>
        <item m="1" x="2690"/>
        <item m="1" x="886"/>
        <item m="1" x="3927"/>
        <item m="1" x="1569"/>
        <item m="1" x="5841"/>
        <item m="1" x="6229"/>
        <item m="1" x="6585"/>
        <item m="1" x="1545"/>
        <item m="1" x="6378"/>
        <item m="1" x="3928"/>
        <item m="1" x="4590"/>
        <item m="1" x="2342"/>
        <item m="1" x="5900"/>
        <item m="1" x="5965"/>
        <item m="1" x="6320"/>
        <item m="1" x="3106"/>
        <item m="1" x="4267"/>
        <item m="1" x="2217"/>
        <item m="1" x="6052"/>
        <item m="1" x="3526"/>
        <item m="1" x="3486"/>
        <item m="1" x="2311"/>
        <item m="1" x="2400"/>
        <item m="1" x="6203"/>
        <item m="1" x="1587"/>
        <item m="1" x="4550"/>
        <item m="1" x="3348"/>
        <item m="1" x="2515"/>
        <item m="1" x="1613"/>
        <item m="1" x="1689"/>
        <item m="1" x="2979"/>
        <item m="1" x="2745"/>
        <item m="1" x="3835"/>
        <item m="1" x="2444"/>
        <item m="1" x="4619"/>
        <item m="1" x="3929"/>
        <item m="1" x="3189"/>
        <item m="1" x="6155"/>
        <item m="1" x="1962"/>
        <item m="1" x="7081"/>
        <item m="1" x="3689"/>
        <item m="1" x="1687"/>
        <item m="1" x="3947"/>
        <item m="1" x="2960"/>
        <item m="1" x="945"/>
        <item m="1" x="1612"/>
        <item m="1" x="200"/>
        <item m="1" x="5250"/>
        <item m="1" x="1056"/>
        <item m="1" x="3714"/>
        <item m="1" x="1485"/>
        <item m="1" x="5620"/>
        <item m="1" x="373"/>
        <item m="1" x="1586"/>
        <item m="1" x="1442"/>
        <item m="1" x="7773"/>
        <item m="1" x="2521"/>
        <item m="1" x="6367"/>
        <item m="1" x="114"/>
        <item m="1" x="7082"/>
        <item m="1" x="6258"/>
        <item m="1" x="7803"/>
        <item m="1" x="6973"/>
        <item m="1" x="735"/>
        <item m="1" x="2211"/>
        <item m="1" x="374"/>
        <item m="1" x="147"/>
        <item m="1" x="419"/>
        <item m="1" x="3859"/>
        <item m="1" x="1486"/>
        <item m="1" x="1390"/>
        <item m="1" x="764"/>
        <item m="1" x="1796"/>
        <item m="1" x="2228"/>
        <item m="1" x="792"/>
        <item m="1" x="7919"/>
        <item m="1" x="1295"/>
        <item m="1" x="1503"/>
        <item m="1" x="6467"/>
        <item m="1" x="2812"/>
        <item m="1" x="3427"/>
        <item m="1" x="6490"/>
        <item m="1" x="233"/>
        <item m="1" x="2182"/>
        <item m="1" x="2648"/>
        <item m="1" x="815"/>
        <item m="1" x="7593"/>
        <item m="1" x="7570"/>
        <item m="1" x="2711"/>
        <item m="1" x="7612"/>
        <item m="1" x="1892"/>
        <item m="1" x="793"/>
        <item m="1" x="1581"/>
        <item m="1" x="183"/>
        <item m="1" x="984"/>
        <item m="1" x="1662"/>
        <item m="1" x="3926"/>
        <item m="1" x="2304"/>
        <item m="1" x="7542"/>
        <item m="1" x="7207"/>
        <item m="1" x="7611"/>
        <item m="1" x="7881"/>
        <item m="1" x="1626"/>
        <item m="1" x="148"/>
        <item m="1" x="7859"/>
        <item m="1" x="816"/>
        <item m="1" x="7629"/>
        <item m="1" x="485"/>
        <item m="1" x="1504"/>
        <item m="1" x="7652"/>
        <item m="1" x="234"/>
        <item m="1" x="1688"/>
        <item m="1" x="1157"/>
        <item m="1" x="164"/>
        <item m="1" x="905"/>
        <item m="1" x="3101"/>
        <item m="1" x="3893"/>
        <item m="1" x="3549"/>
        <item m="1" x="217"/>
        <item m="1" x="857"/>
        <item m="1" x="2248"/>
        <item m="1" x="1908"/>
        <item m="1" x="1523"/>
        <item m="1" x="7630"/>
        <item m="1" x="262"/>
        <item m="1" x="963"/>
        <item m="1" x="2271"/>
        <item m="1" x="3896"/>
        <item m="1" x="6620"/>
        <item m="1" x="6509"/>
        <item m="1" x="837"/>
        <item m="1" x="7653"/>
        <item m="1" x="2778"/>
        <item m="1" x="2740"/>
        <item m="1" x="3122"/>
        <item m="1" x="7448"/>
        <item m="1" x="7362"/>
        <item m="1" x="578"/>
        <item m="1" x="290"/>
        <item m="1" x="3139"/>
        <item m="1" x="2864"/>
        <item m="1" x="2318"/>
        <item m="1" x="1595"/>
        <item m="1" x="4905"/>
        <item m="1" x="2842"/>
        <item m="1" x="643"/>
        <item m="1" x="3612"/>
        <item m="1" x="6978"/>
        <item m="1" x="2019"/>
        <item m="1" x="4638"/>
        <item m="1" x="6396"/>
        <item m="1" x="5617"/>
        <item m="1" x="261"/>
        <item m="1" x="1022"/>
        <item m="1" x="1715"/>
        <item m="1" x="6314"/>
        <item m="1" x="6725"/>
        <item m="1" x="1740"/>
        <item m="1" x="2063"/>
        <item m="1" x="4660"/>
        <item m="1" x="6084"/>
        <item m="1" x="5005"/>
        <item m="1" x="2430"/>
        <item m="1" x="4339"/>
        <item m="1" x="1644"/>
        <item m="1" x="4397"/>
        <item m="1" x="4684"/>
        <item m="1" x="2968"/>
        <item m="1" x="5118"/>
        <item m="1" x="5702"/>
        <item m="1" x="5021"/>
        <item m="1" x="289"/>
        <item m="1" x="5679"/>
        <item m="1" x="3946"/>
        <item m="1" x="2144"/>
        <item m="1" x="5724"/>
        <item m="1" x="7054"/>
        <item m="1" x="6726"/>
        <item m="1" x="3277"/>
        <item m="1" x="6436"/>
        <item m="1" x="7124"/>
        <item m="1" x="6397"/>
        <item m="1" x="3123"/>
        <item m="1" x="4024"/>
        <item m="1" x="1673"/>
        <item m="1" x="3239"/>
        <item m="1" x="4439"/>
        <item m="1" x="2913"/>
        <item m="1" x="3974"/>
        <item m="1" x="714"/>
        <item m="1" x="6745"/>
        <item m="1" x="4051"/>
        <item m="1" x="5070"/>
        <item m="1" x="352"/>
        <item m="1" x="3206"/>
        <item m="1" x="4199"/>
        <item m="1" x="1072"/>
        <item m="1" x="1763"/>
        <item m="1" x="3329"/>
        <item m="1" x="3877"/>
        <item m="1" x="4760"/>
        <item m="1" x="5160"/>
        <item m="1" x="5055"/>
        <item m="1" x="7154"/>
        <item m="1" x="2522"/>
        <item m="1" x="3692"/>
        <item m="1" x="1443"/>
        <item m="1" x="3302"/>
        <item m="1" x="4398"/>
        <item m="1" x="2165"/>
        <item m="1" x="4070"/>
        <item m="1" x="5037"/>
        <item m="1" x="7179"/>
        <item m="1" x="1837"/>
        <item m="1" x="2272"/>
        <item m="1" x="5094"/>
        <item m="1" x="3814"/>
        <item m="1" x="7528"/>
        <item m="1" x="3921"/>
        <item m="1" x="2589"/>
        <item m="1" x="5766"/>
        <item m="1" x="6602"/>
        <item m="1" x="5071"/>
        <item m="1" x="4534"/>
        <item m="1" x="5119"/>
        <item m="1" x="5767"/>
        <item m="1" x="6438"/>
        <item m="1" x="6727"/>
        <item m="1" x="3668"/>
        <item m="1" x="5212"/>
        <item m="1" x="2984"/>
        <item m="1" x="4004"/>
        <item m="1" x="3040"/>
        <item m="1" x="5969"/>
        <item m="1" x="6463"/>
        <item m="1" x="4417"/>
        <item m="1" x="5368"/>
        <item m="1" x="6481"/>
        <item m="1" x="6858"/>
        <item m="1" x="4243"/>
        <item m="1" x="4513"/>
        <item m="1" x="880"/>
        <item m="1" x="6135"/>
        <item m="1" x="3039"/>
        <item m="1" x="838"/>
        <item m="1" x="3989"/>
        <item m="1" x="5036"/>
        <item m="1" x="5054"/>
        <item m="1" x="7125"/>
        <item m="1" x="5093"/>
        <item m="1" x="817"/>
        <item m="1" x="887"/>
        <item m="1" x="1909"/>
        <item m="1" x="574"/>
        <item m="1" x="7885"/>
        <item m="1" x="7380"/>
        <item m="1" x="7940"/>
        <item m="1" x="1570"/>
        <item m="1" x="7902"/>
        <item m="1" x="2283"/>
        <item m="1" x="6173"/>
        <item m="1" x="1588"/>
        <item m="1" x="4268"/>
        <item m="1" x="7186"/>
        <item m="1" x="1615"/>
        <item m="1" x="6886"/>
        <item m="1" x="1356"/>
        <item m="1" x="6437"/>
        <item m="1" x="2746"/>
        <item m="1" x="7637"/>
        <item m="1" x="5161"/>
        <item m="1" x="523"/>
        <item m="1" x="4312"/>
        <item m="1" x="924"/>
        <item m="1" x="1664"/>
        <item m="1" x="7442"/>
        <item m="1" x="2083"/>
        <item m="1" x="7376"/>
        <item m="1" x="4570"/>
        <item m="1" x="7463"/>
        <item m="1" x="524"/>
        <item m="1" x="659"/>
        <item m="1" x="2835"/>
        <item m="1" x="1357"/>
        <item m="1" x="4337"/>
        <item m="1" x="6439"/>
        <item m="1" x="7364"/>
        <item m="1" x="7695"/>
        <item m="1" x="3582"/>
        <item m="1" x="1338"/>
        <item m="1" x="3234"/>
        <item m="1" x="6270"/>
        <item m="1" x="6907"/>
        <item m="1" x="1004"/>
        <item m="1" x="2425"/>
        <item m="1" x="2012"/>
        <item m="1" x="7757"/>
        <item m="1" x="1491"/>
        <item m="1" x="2384"/>
        <item m="1" x="7323"/>
        <item m="1" x="2877"/>
        <item m="1" x="956"/>
        <item m="1" x="1781"/>
        <item m="1" x="3660"/>
        <item m="1" x="1303"/>
        <item m="1" x="4650"/>
        <item m="1" x="6199"/>
        <item m="1" x="575"/>
        <item m="1" x="7317"/>
        <item m="1" x="2813"/>
        <item m="1" x="5298"/>
        <item m="1" x="552"/>
        <item m="1" x="2836"/>
        <item m="1" x="2113"/>
        <item m="1" x="549"/>
        <item m="1" x="7708"/>
        <item m="1" x="338"/>
        <item m="1" x="7418"/>
        <item m="1" x="3080"/>
        <item m="1" x="1461"/>
        <item m="1" x="3421"/>
        <item m="1" x="4021"/>
        <item m="1" x="4506"/>
        <item m="1" x="6398"/>
        <item m="1" x="4391"/>
        <item m="1" x="3735"/>
        <item m="1" x="7417"/>
        <item m="1" x="7967"/>
        <item m="1" x="1614"/>
        <item m="1" x="1765"/>
        <item m="1" x="758"/>
        <item m="1" x="2936"/>
        <item m="1" x="145"/>
        <item m="1" x="3709"/>
        <item m="1" x="1462"/>
        <item m="1" x="2295"/>
        <item m="1" x="3538"/>
        <item m="1" x="7555"/>
        <item m="1" x="1073"/>
        <item m="1" x="7105"/>
        <item m="1" x="757"/>
        <item m="1" x="1516"/>
        <item m="1" x="4692"/>
        <item m="1" x="7488"/>
        <item m="1" x="5372"/>
        <item m="1" x="5102"/>
        <item m="1" x="2150"/>
        <item m="1" x="2282"/>
        <item m="1" x="1498"/>
        <item m="1" x="5821"/>
        <item m="1" x="4473"/>
        <item m="1" x="3361"/>
        <item m="1" x="1118"/>
        <item m="1" x="1049"/>
        <item m="1" x="3736"/>
        <item m="1" x="474"/>
        <item m="1" x="4183"/>
        <item m="1" x="5750"/>
        <item m="1" x="6510"/>
        <item m="1" x="5817"/>
        <item m="1" x="4203"/>
        <item m="1" x="5507"/>
        <item m="1" x="4500"/>
        <item m="1" x="1140"/>
        <item m="1" x="5418"/>
        <item m="1" x="5796"/>
        <item m="1" x="5863"/>
        <item m="1" x="3124"/>
        <item m="1" x="4066"/>
        <item m="1" x="6440"/>
        <item m="1" x="5465"/>
        <item m="1" x="4434"/>
        <item m="1" x="4764"/>
        <item m="1" x="6539"/>
        <item m="1" x="4843"/>
        <item m="1" x="6246"/>
        <item m="1" x="3487"/>
        <item m="1" x="7462"/>
        <item m="1" x="71"/>
        <item m="1" x="1663"/>
        <item m="1" x="3297"/>
        <item m="1" x="787"/>
        <item m="1" x="3799"/>
        <item m="1" x="6538"/>
        <item m="1" x="7182"/>
        <item m="1" x="3433"/>
        <item m="1" x="5864"/>
        <item m="1" x="6903"/>
        <item m="1" x="72"/>
        <item m="1" x="5164"/>
        <item m="1" x="6586"/>
        <item m="1" x="7232"/>
        <item m="1" x="4290"/>
        <item m="1" x="4551"/>
        <item m="1" x="2218"/>
        <item m="1" x="4903"/>
        <item m="1" x="4474"/>
        <item m="1" x="2747"/>
        <item m="1" x="4552"/>
        <item m="1" x="4723"/>
        <item m="1" x="3527"/>
        <item m="1" x="3434"/>
        <item m="1" x="1995"/>
        <item m="1" x="2341"/>
        <item m="1" x="2401"/>
        <item m="1" x="6860"/>
        <item m="1" x="6814"/>
        <item m="1" x="4858"/>
        <item m="1" x="2786"/>
        <item m="1" x="1094"/>
        <item m="1" x="5880"/>
        <item m="1" x="3107"/>
        <item m="1" x="2942"/>
        <item m="1" x="4078"/>
        <item m="1" x="6242"/>
        <item m="1" x="5198"/>
        <item m="1" x="6673"/>
        <item m="1" x="2376"/>
        <item m="1" x="1190"/>
        <item m="1" x="2084"/>
        <item m="1" x="576"/>
        <item m="1" x="4592"/>
        <item m="1" x="4620"/>
        <item m="1" x="2445"/>
        <item m="1" x="2814"/>
        <item m="1" x="1589"/>
        <item m="1" x="6881"/>
        <item m="1" x="6415"/>
        <item m="1" x="3583"/>
        <item m="1" x="5860"/>
        <item m="1" x="3166"/>
        <item m="1" x="4022"/>
        <item m="1" x="621"/>
        <item m="1" x="4963"/>
        <item m="1" x="4169"/>
        <item m="1" x="6482"/>
        <item m="1" x="6923"/>
        <item m="1" x="503"/>
        <item m="1" x="4313"/>
        <item m="1" x="5573"/>
        <item m="1" x="6621"/>
        <item m="1" x="6288"/>
        <item m="1" x="525"/>
        <item m="1" x="5214"/>
        <item m="1" x="5881"/>
        <item m="1" x="4226"/>
        <item m="1" x="5215"/>
        <item m="1" x="6995"/>
        <item m="1" x="6974"/>
        <item m="1" x="3460"/>
        <item m="1" x="2136"/>
        <item m="1" x="6904"/>
        <item m="1" x="3661"/>
        <item m="1" x="7504"/>
        <item m="1" x="109"/>
        <item m="1" x="1716"/>
        <item m="1" x="5242"/>
        <item m="1" x="2312"/>
        <item m="1" x="595"/>
        <item m="1" x="3169"/>
        <item m="1" x="5574"/>
        <item m="1" x="3639"/>
        <item m="1" x="2179"/>
        <item m="1" x="4067"/>
        <item m="1" x="7802"/>
        <item m="1" x="5269"/>
        <item m="1" x="4353"/>
        <item m="1" x="6996"/>
        <item m="1" x="2489"/>
        <item m="1" x="5001"/>
        <item m="1" x="4767"/>
        <item m="1" x="4052"/>
        <item m="1" x="1416"/>
        <item m="1" x="2119"/>
        <item m="1" x="7340"/>
        <item m="1" x="1524"/>
        <item m="1" x="6960"/>
        <item m="1" x="2399"/>
        <item m="1" x="3278"/>
        <item m="1" x="2183"/>
        <item m="1" x="5973"/>
        <item m="1" x="1007"/>
        <item m="1" x="1722"/>
        <item m="1" x="1391"/>
        <item m="1" x="343"/>
        <item m="1" x="1136"/>
        <item m="1" x="131"/>
        <item m="1" x="1130"/>
        <item m="1" x="736"/>
        <item m="1" x="6982"/>
        <item m="1" x="1774"/>
        <item m="1" x="4923"/>
        <item m="1" x="7804"/>
        <item m="1" x="2145"/>
        <item m="1" x="4071"/>
        <item m="1" x="1100"/>
        <item m="1" x="4053"/>
        <item m="1" x="366"/>
        <item m="1" x="1057"/>
        <item m="1" x="5032"/>
        <item m="1" x="1797"/>
        <item m="1" x="1417"/>
        <item m="1" x="6732"/>
        <item m="1" x="7805"/>
        <item m="1" x="2555"/>
        <item m="1" x="1028"/>
        <item m="1" x="3303"/>
        <item m="1" x="3207"/>
        <item m="1" x="4119"/>
        <item m="1" x="4591"/>
        <item m="1" x="6534"/>
        <item m="1" x="7833"/>
        <item m="1" x="1137"/>
        <item m="1" x="7538"/>
        <item m="1" x="144"/>
        <item m="1" x="1764"/>
        <item m="1" x="7594"/>
        <item m="1" x="4100"/>
        <item m="1" x="420"/>
        <item m="1" x="1138"/>
        <item m="1" x="3330"/>
        <item m="1" x="3041"/>
        <item m="1" x="4170"/>
        <item m="1" x="6039"/>
        <item m="1" x="839"/>
        <item m="1" x="7061"/>
        <item m="1" x="1115"/>
        <item m="1" x="1187"/>
        <item m="1" x="7834"/>
        <item m="1" x="1707"/>
        <item m="1" x="5067"/>
        <item m="1" x="446"/>
        <item m="1" x="7898"/>
        <item m="1" x="6064"/>
        <item m="1" x="6806"/>
        <item m="1" x="3404"/>
        <item m="1" x="1203"/>
        <item m="1" x="7130"/>
        <item m="1" x="3125"/>
        <item m="1" x="2273"/>
        <item m="1" x="3428"/>
        <item m="1" x="7162"/>
        <item m="1" x="6140"/>
        <item m="1" x="840"/>
        <item m="1" x="2443"/>
        <item m="1" x="7632"/>
        <item m="1" x="5220"/>
        <item m="1" x="858"/>
        <item m="1" x="1272"/>
        <item m="1" x="445"/>
        <item m="1" x="7131"/>
        <item m="1" x="1757"/>
        <item m="1" x="263"/>
        <item m="1" x="4304"/>
        <item m="1" x="7782"/>
        <item m="1" x="882"/>
        <item m="1" x="881"/>
        <item m="1" x="1582"/>
        <item m="1" x="2686"/>
        <item m="1" x="546"/>
        <item m="1" x="1566"/>
        <item m="1" x="2274"/>
        <item m="1" x="3457"/>
        <item m="1" x="1296"/>
        <item m="1" x="4244"/>
        <item m="1" x="2713"/>
        <item m="1" x="3550"/>
        <item m="1" x="6741"/>
        <item m="1" x="7414"/>
        <item m="1" x="4965"/>
        <item m="1" x="570"/>
        <item m="1" x="6204"/>
        <item m="1" x="2621"/>
        <item m="1" x="487"/>
        <item m="1" x="1273"/>
        <item m="1" x="3208"/>
        <item m="1" x="3102"/>
        <item m="1" x="7860"/>
        <item m="1" x="1188"/>
        <item m="1" x="2335"/>
        <item m="1" x="5111"/>
        <item m="1" x="165"/>
        <item m="1" x="235"/>
        <item m="1" x="5223"/>
        <item m="1" x="3174"/>
        <item m="1" x="6340"/>
        <item m="1" x="964"/>
        <item m="1" x="6653"/>
        <item m="1" x="291"/>
        <item m="1" x="2305"/>
        <item m="1" x="1583"/>
        <item m="1" x="5599"/>
        <item m="1" x="2741"/>
        <item m="1" x="592"/>
        <item m="1" x="1608"/>
        <item m="1" x="2336"/>
        <item m="1" x="3520"/>
        <item m="1" x="1297"/>
        <item m="1" x="2287"/>
        <item m="1" x="954"/>
        <item m="1" x="4624"/>
        <item m="1" x="3902"/>
        <item m="1" x="3196"/>
        <item m="1" x="468"/>
        <item m="1" x="1645"/>
        <item m="1" x="3260"/>
        <item m="1" x="5247"/>
        <item m="1" x="5006"/>
        <item m="1" x="1255"/>
        <item m="1" x="1976"/>
        <item m="1" x="3141"/>
        <item m="1" x="7003"/>
        <item m="1" x="2349"/>
        <item m="1" x="1282"/>
        <item m="1" x="6710"/>
        <item m="1" x="4317"/>
        <item m="1" x="2789"/>
        <item m="1" x="2790"/>
        <item m="1" x="5248"/>
        <item m="1" x="5154"/>
        <item m="1" x="569"/>
        <item m="1" x="5638"/>
        <item m="1" x="974"/>
        <item m="1" x="1997"/>
        <item m="1" x="3220"/>
        <item m="1" x="4340"/>
        <item m="1" x="4011"/>
        <item m="1" x="6842"/>
        <item m="1" x="4625"/>
        <item m="1" x="2319"/>
        <item m="1" x="5007"/>
        <item m="1" x="1256"/>
        <item m="1" x="2514"/>
        <item m="1" x="3240"/>
        <item m="1" x="5951"/>
        <item m="1" x="4716"/>
        <item m="1" x="989"/>
        <item m="1" x="1321"/>
        <item m="1" x="2408"/>
        <item m="1" x="486"/>
        <item m="1" x="6778"/>
        <item m="1" x="5341"/>
        <item m="1" x="7055"/>
        <item m="1" x="3669"/>
        <item m="1" x="2490"/>
        <item m="1" x="6728"/>
        <item m="1" x="4661"/>
        <item m="1" x="5304"/>
        <item m="1" x="6035"/>
        <item m="1" x="7631"/>
        <item m="1" x="2524"/>
        <item m="1" x="1029"/>
        <item m="1" x="2382"/>
        <item m="1" x="5326"/>
        <item m="1" x="616"/>
        <item m="1" x="2393"/>
        <item m="1" x="2712"/>
        <item m="1" x="5288"/>
        <item m="1" x="3995"/>
        <item m="1" x="2043"/>
        <item m="1" x="4054"/>
        <item m="1" x="3241"/>
        <item m="1" x="7031"/>
        <item m="1" x="328"/>
        <item m="1" x="5305"/>
        <item m="1" x="6247"/>
        <item m="1" x="654"/>
        <item m="1" x="6765"/>
        <item m="1" x="4737"/>
        <item m="1" x="7077"/>
        <item m="1" x="3242"/>
        <item m="1" x="4356"/>
        <item m="1" x="4761"/>
        <item m="1" x="280"/>
        <item m="1" x="2090"/>
        <item m="1" x="2556"/>
        <item m="1" x="5910"/>
        <item m="1" x="4012"/>
        <item m="1" x="3221"/>
        <item m="1" x="3332"/>
        <item m="1" x="6060"/>
        <item m="1" x="2806"/>
        <item m="1" x="635"/>
        <item m="1" x="1656"/>
        <item m="1" x="2394"/>
        <item m="1" x="3577"/>
        <item m="1" x="1334"/>
        <item m="1" x="2348"/>
        <item m="1" x="3091"/>
        <item m="1" x="3243"/>
        <item m="1" x="520"/>
        <item m="1" x="4819"/>
        <item m="1" x="5410"/>
        <item m="1" x="6803"/>
        <item m="1" x="4717"/>
        <item m="1" x="5393"/>
        <item m="1" x="3280"/>
        <item m="1" x="6841"/>
        <item m="1" x="403"/>
        <item m="1" x="3357"/>
        <item m="1" x="3739"/>
        <item m="1" x="1364"/>
        <item m="1" x="447"/>
        <item m="1" x="4440"/>
        <item m="1" x="5437"/>
        <item m="1" x="3766"/>
        <item m="1" x="702"/>
        <item m="1" x="4026"/>
        <item m="1" x="4896"/>
        <item m="1" x="4469"/>
        <item m="1" x="7126"/>
        <item m="1" x="4855"/>
        <item m="1" x="6882"/>
        <item m="1" x="7155"/>
        <item m="1" x="5095"/>
        <item m="1" x="5593"/>
        <item m="1" x="4800"/>
        <item m="1" x="5482"/>
        <item m="1" x="3333"/>
        <item m="1" x="2581"/>
        <item m="1" x="7766"/>
        <item m="1" x="6919"/>
        <item m="1" x="4514"/>
        <item m="1" x="1116"/>
        <item m="1" x="1353"/>
        <item m="1" x="7363"/>
        <item m="1" x="5394"/>
        <item m="1" x="568"/>
        <item m="1" x="6804"/>
        <item m="1" x="3405"/>
        <item m="1" x="4876"/>
        <item m="1" x="4305"/>
        <item m="1" x="3485"/>
        <item m="1" x="6808"/>
        <item m="1" x="3458"/>
        <item m="1" x="2284"/>
        <item m="1" x="6504"/>
        <item m="1" x="4253"/>
        <item m="1" x="7327"/>
        <item m="1" x="3551"/>
        <item m="1" x="749"/>
        <item m="1" x="6289"/>
        <item m="1" x="2830"/>
        <item m="1" x="748"/>
        <item m="1" x="5325"/>
        <item m="1" x="1947"/>
        <item m="1" x="2525"/>
        <item m="1" x="4738"/>
        <item m="1" x="2622"/>
        <item m="1" x="6786"/>
        <item m="1" x="6535"/>
        <item m="1" x="3881"/>
        <item m="1" x="969"/>
        <item m="1" x="843"/>
        <item m="1" x="2439"/>
        <item m="1" x="4073"/>
        <item m="1" x="5120"/>
        <item m="1" x="324"/>
        <item m="1" x="2013"/>
        <item m="1" x="7724"/>
        <item m="1" x="3656"/>
        <item m="1" x="7381"/>
        <item m="1" x="3108"/>
        <item m="1" x="2854"/>
        <item m="1" x="680"/>
        <item m="1" x="1708"/>
        <item m="1" x="2440"/>
        <item m="1" x="3627"/>
        <item m="1" x="1380"/>
        <item m="1" x="2407"/>
        <item m="1" x="3140"/>
        <item m="1" x="2313"/>
        <item m="1" x="308"/>
        <item m="1" x="1571"/>
        <item m="1" x="7709"/>
        <item m="1" x="7656"/>
        <item m="1" x="242"/>
        <item m="1" x="264"/>
        <item m="1" x="7921"/>
        <item m="1" x="7443"/>
        <item m="1" x="970"/>
        <item m="1" x="3705"/>
        <item m="1" x="4126"/>
        <item m="1" x="3521"/>
        <item m="1" x="7679"/>
        <item m="1" x="6924"/>
        <item m="1" x="1249"/>
        <item m="1" x="7707"/>
        <item m="1" x="929"/>
        <item m="1" x="7696"/>
        <item m="1" x="325"/>
        <item m="1" x="3150"/>
        <item m="1" x="243"/>
        <item m="1" x="7737"/>
        <item m="1" x="2637"/>
        <item m="1" x="3791"/>
        <item m="1" x="1406"/>
        <item m="1" x="7399"/>
        <item m="1" x="7725"/>
        <item m="1" x="278"/>
        <item m="1" x="5409"/>
        <item m="1" x="1616"/>
        <item m="1" x="7968"/>
        <item m="1" x="946"/>
        <item m="1" x="1617"/>
        <item m="1" x="3133"/>
        <item m="1" x="3975"/>
        <item m="1" x="201"/>
        <item m="1" x="805"/>
        <item m="1" x="2505"/>
        <item m="1" x="2930"/>
        <item m="1" x="5464"/>
        <item m="1" x="4179"/>
        <item m="1" x="3190"/>
        <item m="1" x="3948"/>
        <item m="1" x="7464"/>
        <item m="1" x="2035"/>
        <item m="1" x="295"/>
        <item m="1" x="7726"/>
        <item m="1" x="6338"/>
        <item m="1" x="309"/>
        <item m="1" x="688"/>
        <item m="1" x="397"/>
        <item m="1" x="1665"/>
        <item m="1" x="7465"/>
        <item m="1" x="1690"/>
        <item m="1" x="7758"/>
        <item m="1" x="326"/>
        <item m="1" x="1050"/>
        <item m="1" x="2446"/>
        <item m="1" x="2085"/>
        <item m="1" x="2907"/>
        <item m="1" x="723"/>
        <item m="1" x="1758"/>
        <item m="1" x="2506"/>
        <item m="1" x="3679"/>
        <item m="1" x="1430"/>
        <item m="1" x="2457"/>
        <item m="1" x="3173"/>
        <item m="1" x="73"/>
        <item m="1" x="4007"/>
        <item m="1" x="6953"/>
        <item m="1" x="92"/>
        <item m="1" x="2516"/>
        <item m="1" x="7489"/>
        <item m="1" x="341"/>
        <item m="1" x="2315"/>
        <item m="1" x="2808"/>
        <item m="1" x="1413"/>
        <item m="1" x="2484"/>
        <item m="1" x="2137"/>
        <item m="1" x="759"/>
        <item m="1" x="4221"/>
        <item m="1" x="1005"/>
        <item m="1" x="6975"/>
        <item m="1" x="1095"/>
        <item m="1" x="1766"/>
        <item m="1" x="427"/>
        <item m="1" x="3349"/>
        <item m="1" x="361"/>
        <item m="1" x="129"/>
        <item m="1" x="4828"/>
        <item m="1" x="2447"/>
        <item m="1" x="380"/>
        <item m="1" x="7471"/>
        <item m="1" x="5808"/>
        <item m="1" x="4008"/>
        <item m="1" x="5430"/>
        <item m="1" x="7143"/>
        <item m="1" x="689"/>
        <item m="1" x="362"/>
        <item m="1" x="6551"/>
        <item m="1" x="7484"/>
        <item m="1" x="985"/>
        <item m="1" x="1132"/>
        <item m="1" x="731"/>
        <item m="1" x="2638"/>
        <item m="1" x="3373"/>
        <item m="1" x="4940"/>
        <item m="1" x="809"/>
        <item m="1" x="5454"/>
        <item m="1" x="7523"/>
        <item m="1" x="5520"/>
        <item m="1" x="4214"/>
        <item m="1" x="5229"/>
        <item m="1" x="5784"/>
        <item m="1" x="1528"/>
        <item m="1" x="4485"/>
        <item m="1" x="6218"/>
        <item m="1" x="7220"/>
        <item m="1" x="5604"/>
        <item m="1" x="4145"/>
        <item m="1" x="5783"/>
        <item m="1" x="2161"/>
        <item m="1" x="4866"/>
        <item m="1" x="2618"/>
        <item m="1" x="3759"/>
        <item m="1" x="5087"/>
        <item m="1" x="5741"/>
        <item m="1" x="7556"/>
        <item m="1" x="6610"/>
        <item m="1" x="2523"/>
        <item m="1" x="3219"/>
        <item m="1" x="5474"/>
        <item m="1" x="5455"/>
        <item m="1" x="5809"/>
        <item m="1" x="6595"/>
        <item m="1" x="466"/>
        <item m="1" x="5892"/>
        <item m="1" x="2551"/>
        <item m="1" x="1719"/>
        <item m="1" x="6368"/>
        <item m="1" x="5187"/>
        <item m="1" x="4578"/>
        <item m="1" x="1816"/>
        <item m="1" x="496"/>
        <item m="1" x="6425"/>
        <item m="1" x="6040"/>
        <item m="1" x="3191"/>
        <item m="1" x="1131"/>
        <item m="1" x="7683"/>
        <item m="1" x="5563"/>
        <item m="1" x="4910"/>
        <item m="1" x="4911"/>
        <item m="1" x="6611"/>
        <item m="1" x="6933"/>
        <item m="1" x="2107"/>
        <item m="1" x="6259"/>
        <item m="1" x="1023"/>
        <item m="1" x="1181"/>
        <item m="1" x="788"/>
        <item m="1" x="2731"/>
        <item m="1" x="5974"/>
        <item m="1" x="6296"/>
        <item m="1" x="4579"/>
        <item m="1" x="6961"/>
        <item m="1" x="3085"/>
        <item m="1" x="4527"/>
        <item m="1" x="3910"/>
        <item m="1" x="3885"/>
        <item m="1" x="3539"/>
        <item m="1" x="7699"/>
        <item m="1" x="5172"/>
        <item m="1" x="4930"/>
        <item m="1" x="854"/>
        <item m="1" x="3510"/>
        <item m="1" x="2590"/>
        <item m="1" x="3279"/>
        <item m="1" x="3901"/>
        <item m="1" x="5521"/>
        <item m="1" x="5497"/>
        <item m="1" x="6369"/>
        <item m="1" x="3450"/>
        <item m="1" x="5188"/>
        <item m="1" x="7727"/>
        <item m="1" x="3270"/>
        <item m="1" x="6321"/>
        <item m="1" x="5230"/>
        <item m="1" x="7742"/>
        <item m="1" x="2770"/>
        <item m="1" x="6205"/>
        <item m="1" x="6750"/>
        <item m="1" x="6659"/>
        <item m="1" x="1180"/>
        <item m="1" x="7712"/>
        <item m="1" x="7481"/>
        <item m="1" x="5277"/>
        <item m="1" x="2571"/>
        <item m="1" x="1074"/>
        <item m="1" x="1223"/>
        <item m="1" x="830"/>
        <item m="1" x="4323"/>
        <item m="1" x="585"/>
        <item m="1" x="7459"/>
        <item m="1" x="2102"/>
        <item m="1" x="7590"/>
        <item m="1" x="6065"/>
        <item m="1" x="6733"/>
        <item m="1" x="2847"/>
        <item m="1" x="3775"/>
        <item m="1" x="2603"/>
        <item m="1" x="2290"/>
        <item m="1" x="1431"/>
        <item m="1" x="4564"/>
        <item m="1" x="104"/>
        <item m="1" x="7817"/>
        <item m="1" x="1122"/>
        <item m="1" x="1785"/>
        <item m="1" x="6678"/>
        <item m="1" x="2952"/>
        <item m="1" x="3753"/>
        <item m="1" x="392"/>
        <item m="1" x="724"/>
        <item m="1" x="1864"/>
        <item m="1" x="7713"/>
        <item m="1" x="7627"/>
        <item m="1" x="2649"/>
        <item m="1" x="3331"/>
        <item m="1" x="3955"/>
        <item m="1" x="5562"/>
        <item m="1" x="5541"/>
        <item m="1" x="777"/>
        <item m="1" x="7553"/>
        <item m="1" x="391"/>
        <item m="1" x="4733"/>
        <item m="1" x="458"/>
        <item m="1" x="7806"/>
        <item m="1" x="3806"/>
        <item m="1" x="1476"/>
        <item m="1" x="628"/>
        <item m="1" x="7564"/>
        <item m="1" x="2197"/>
        <item m="1" x="1169"/>
        <item m="1" x="6428"/>
        <item m="1" x="1222"/>
        <item m="1" x="7741"/>
        <item m="1" x="4520"/>
        <item m="1" x="188"/>
        <item m="1" x="4557"/>
        <item m="1" x="251"/>
        <item m="1" x="1880"/>
        <item m="1" x="1114"/>
        <item m="1" x="1262"/>
        <item m="1" x="875"/>
        <item m="1" x="3112"/>
        <item m="1" x="508"/>
        <item m="1" x="823"/>
        <item m="1" x="4540"/>
        <item m="1" x="7910"/>
        <item m="1" x="4603"/>
        <item m="1" x="4001"/>
        <item m="1" x="6114"/>
        <item m="1" x="868"/>
        <item m="1" x="671"/>
        <item m="1" x="1554"/>
        <item m="1" x="1213"/>
        <item m="1" x="7938"/>
        <item m="1" x="849"/>
        <item m="1" x="1933"/>
        <item m="1" x="3883"/>
        <item m="1" x="1903"/>
        <item m="1" x="1955"/>
        <item m="1" x="3903"/>
        <item m="1" x="4595"/>
        <item m="1" x="7367"/>
        <item m="1" x="2687"/>
        <item m="1" x="3377"/>
        <item m="1" x="3994"/>
        <item m="1" x="5605"/>
        <item m="1" x="5582"/>
        <item m="1" x="3522"/>
        <item m="1" x="1596"/>
        <item m="1" x="892"/>
        <item m="1" x="7929"/>
        <item m="1" x="6055"/>
        <item m="1" x="4877"/>
        <item m="1" x="4626"/>
        <item m="1" x="2943"/>
        <item m="1" x="4651"/>
        <item m="1" x="5262"/>
        <item m="1" x="6942"/>
        <item m="1" x="5612"/>
        <item m="1" x="6044"/>
        <item m="1" x="3552"/>
        <item m="1" x="7774"/>
        <item m="1" x="6703"/>
        <item m="1" x="1154"/>
        <item m="1" x="1312"/>
        <item m="1" x="918"/>
        <item m="1" x="867"/>
        <item m="1" x="4645"/>
        <item m="1" x="5986"/>
        <item m="1" x="4032"/>
        <item m="1" x="6170"/>
        <item m="1" x="7644"/>
        <item m="1" x="5380"/>
        <item m="1" x="4980"/>
        <item m="1" x="6119"/>
        <item m="1" x="3209"/>
        <item m="1" x="4306"/>
        <item m="1" x="2420"/>
        <item m="1" x="6717"/>
        <item m="1" x="5299"/>
        <item m="1" x="4997"/>
        <item m="1" x="5334"/>
        <item m="1" x="6753"/>
        <item m="1" x="2245"/>
        <item m="1" x="3429"/>
        <item m="1" x="4025"/>
        <item m="1" x="4037"/>
        <item m="1" x="5645"/>
        <item m="1" x="4748"/>
        <item m="1" x="7065"/>
        <item m="1" x="6548"/>
        <item m="1" x="3291"/>
        <item m="1" x="6045"/>
        <item m="1" x="5891"/>
        <item m="1" x="6718"/>
        <item m="1" x="5381"/>
        <item m="1" x="6071"/>
        <item m="1" x="5630"/>
        <item m="1" x="5778"/>
        <item m="1" x="6991"/>
        <item m="1" x="3261"/>
        <item m="1" x="7086"/>
        <item m="1" x="6772"/>
        <item m="1" x="5710"/>
        <item m="1" x="5081"/>
        <item m="1" x="5613"/>
        <item m="1" x="1733"/>
        <item m="1" x="3344"/>
        <item m="1" x="3724"/>
        <item m="1" x="7109"/>
        <item m="1" x="4823"/>
        <item m="1" x="6809"/>
        <item m="1" x="4428"/>
        <item m="1" x="2759"/>
        <item m="1" x="911"/>
        <item m="1" x="4744"/>
        <item m="1" x="7137"/>
        <item m="1" x="5419"/>
        <item m="1" x="6150"/>
        <item m="1" x="6072"/>
        <item m="1" x="6451"/>
        <item m="1" x="4809"/>
        <item m="1" x="2632"/>
        <item m="1" x="5490"/>
        <item m="1" x="6094"/>
        <item m="1" x="5828"/>
        <item m="1" x="4521"/>
        <item m="1" x="3875"/>
        <item m="1" x="4072"/>
        <item m="1" x="4087"/>
        <item m="1" x="5694"/>
        <item m="1" x="6175"/>
        <item m="1" x="6545"/>
        <item m="1" x="5535"/>
        <item m="1" x="6174"/>
        <item m="1" x="5469"/>
        <item m="1" x="1601"/>
        <item m="1" x="919"/>
        <item m="1" x="586"/>
        <item m="1" x="3568"/>
        <item m="1" x="5468"/>
        <item m="1" x="7040"/>
        <item m="1" x="7180"/>
        <item m="1" x="3318"/>
        <item m="1" x="5577"/>
        <item m="1" x="2535"/>
        <item m="1" x="2435"/>
        <item m="1" x="3540"/>
        <item m="1" x="1182"/>
        <item m="1" x="5644"/>
        <item m="1" x="3442"/>
        <item m="1" x="541"/>
        <item m="1" x="2386"/>
        <item m="1" x="1653"/>
        <item m="1" x="3620"/>
        <item m="1" x="955"/>
        <item m="1" x="4385"/>
        <item m="1" x="3179"/>
        <item m="1" x="5450"/>
        <item m="1" x="4020"/>
        <item m="1" x="7393"/>
        <item m="1" x="873"/>
        <item m="1" x="7703"/>
        <item m="1" x="2799"/>
        <item m="1" x="1963"/>
        <item m="1" x="2414"/>
        <item m="1" x="889"/>
        <item m="1" x="1988"/>
        <item m="1" x="1289"/>
        <item m="1" x="7731"/>
        <item m="1" x="4178"/>
        <item m="1" x="4187"/>
        <item m="1" x="5777"/>
        <item m="1" x="3367"/>
        <item m="1" x="3621"/>
        <item m="1" x="7933"/>
        <item m="1" x="7411"/>
        <item m="1" x="5510"/>
        <item m="1" x="608"/>
        <item m="1" x="2465"/>
        <item m="1" x="1013"/>
        <item m="1" x="2882"/>
        <item m="1" x="7979"/>
        <item m="1" x="7085"/>
        <item m="1" x="1727"/>
        <item m="1" x="3646"/>
        <item m="1" x="2497"/>
        <item m="1" x="3248"/>
        <item m="1" x="4361"/>
        <item m="1" x="629"/>
        <item m="1" x="1751"/>
        <item m="1" x="3500"/>
        <item m="1" x="1344"/>
        <item m="1" x="3310"/>
        <item m="1" x="2070"/>
        <item m="1" x="387"/>
        <item m="1" x="3697"/>
        <item m="1" x="4063"/>
        <item m="1" x="7432"/>
        <item m="1" x="329"/>
        <item m="1" x="7809"/>
        <item m="1" x="4448"/>
        <item m="1" x="2316"/>
        <item m="1" x="87"/>
        <item m="1" x="2563"/>
        <item m="1" x="3416"/>
        <item m="1" x="1397"/>
        <item m="1" x="5554"/>
        <item m="1" x="2921"/>
        <item m="1" x="7799"/>
        <item m="1" x="2947"/>
        <item m="1" x="6156"/>
        <item m="1" x="3000"/>
        <item m="1" x="5405"/>
        <item m="1" x="4775"/>
        <item m="1" x="4146"/>
        <item m="1" x="6800"/>
        <item m="1" x="5112"/>
        <item m="1" x="2203"/>
        <item m="1" x="5785"/>
        <item m="1" x="3698"/>
        <item m="1" x="1823"/>
        <item m="1" x="7136"/>
        <item m="1" x="1481"/>
        <item m="1" x="4813"/>
        <item m="1" x="6080"/>
        <item m="1" x="4931"/>
        <item m="1" x="3017"/>
        <item m="1" x="98"/>
        <item m="1" x="5043"/>
        <item m="1" x="4528"/>
        <item m="1" x="5406"/>
        <item m="1" x="2240"/>
        <item m="1" x="3563"/>
        <item m="1" x="4794"/>
        <item m="1" x="6101"/>
        <item m="1" x="6596"/>
        <item m="1" x="7547"/>
        <item m="1" x="4147"/>
        <item m="1" x="7331"/>
        <item m="1" x="4529"/>
        <item m="1" x="6801"/>
        <item m="1" x="5810"/>
        <item m="1" x="5155"/>
        <item m="1" x="5832"/>
        <item m="1" x="3932"/>
        <item m="1" x="2466"/>
        <item m="1" x="1092"/>
        <item m="1" x="5456"/>
        <item m="1" x="6815"/>
        <item m="1" x="6597"/>
        <item m="1" x="4776"/>
        <item m="1" x="4565"/>
        <item m="1" x="4829"/>
        <item m="1" x="4193"/>
        <item m="1" x="5498"/>
        <item m="1" x="4231"/>
        <item m="1" x="5827"/>
        <item m="1" x="6301"/>
        <item m="1" x="6816"/>
        <item m="1" x="3075"/>
        <item m="1" x="6612"/>
        <item m="1" x="1538"/>
        <item m="1" x="3096"/>
        <item m="1" x="3869"/>
        <item m="1" x="3451"/>
        <item m="1" x="3886"/>
        <item m="1" x="6219"/>
        <item m="1" x="996"/>
        <item m="1" x="5189"/>
        <item m="1" x="1518"/>
        <item m="1" x="4912"/>
        <item m="1" x="4604"/>
        <item m="1" x="3478"/>
        <item m="1" x="3911"/>
        <item m="1" x="1517"/>
        <item m="1" x="2328"/>
        <item m="1" x="4867"/>
        <item m="1" x="4237"/>
        <item m="1" x="5564"/>
        <item m="1" x="4757"/>
        <item m="1" x="4913"/>
        <item m="1" x="5542"/>
        <item m="1" x="2619"/>
        <item m="1" x="2296"/>
        <item m="1" x="6277"/>
        <item m="1" x="2732"/>
        <item m="1" x="3541"/>
        <item m="1" x="4002"/>
        <item m="1" x="4992"/>
        <item m="1" x="4647"/>
        <item m="1" x="238"/>
        <item m="1" x="5279"/>
        <item m="1" x="4171"/>
        <item m="1" x="1603"/>
        <item m="1" x="4275"/>
        <item m="1" x="6679"/>
        <item m="1" x="5231"/>
        <item m="1" x="5245"/>
        <item m="1" x="2528"/>
        <item m="1" x="5291"/>
        <item m="1" x="4646"/>
        <item m="1" x="4667"/>
        <item m="1" x="5606"/>
        <item m="1" x="6302"/>
        <item m="1" x="6370"/>
        <item m="1" x="1039"/>
        <item m="1" x="2539"/>
        <item m="1" x="1734"/>
        <item m="1" x="122"/>
        <item m="1" x="375"/>
        <item m="1" x="2673"/>
        <item m="1" x="1563"/>
        <item m="1" x="3983"/>
        <item m="1" x="4033"/>
        <item m="1" x="3314"/>
        <item m="1" x="2800"/>
        <item m="1" x="6997"/>
        <item m="1" x="4081"/>
        <item m="1" x="1627"/>
        <item m="1" x="1567"/>
        <item m="1" x="5309"/>
        <item m="1" x="4256"/>
        <item m="1" x="252"/>
        <item m="1" x="1495"/>
        <item m="1" x="7824"/>
        <item m="1" x="7794"/>
        <item m="1" x="778"/>
        <item m="1" x="806"/>
        <item m="1" x="3345"/>
        <item m="1" x="2594"/>
        <item m="1" x="1107"/>
        <item m="1" x="189"/>
        <item m="1" x="491"/>
        <item m="1" x="7582"/>
        <item m="1" x="436"/>
        <item m="1" x="3368"/>
        <item m="1" x="6348"/>
        <item m="1" x="2237"/>
        <item m="1" x="7144"/>
        <item m="1" x="5278"/>
        <item m="1" x="7843"/>
        <item m="1" x="4207"/>
        <item m="1" x="1170"/>
        <item m="1" x="2675"/>
        <item m="1" x="2155"/>
        <item m="1" x="1602"/>
        <item m="1" x="1123"/>
        <item m="1" x="3466"/>
        <item m="1" x="1998"/>
        <item m="1" x="2676"/>
        <item m="1" x="2320"/>
        <item m="1" x="2848"/>
        <item m="1" x="2350"/>
        <item m="1" x="7194"/>
        <item m="1" x="3502"/>
        <item m="1" x="3590"/>
        <item m="1" x="7664"/>
        <item m="1" x="5999"/>
        <item m="1" x="7684"/>
        <item m="1" x="3128"/>
        <item m="1" x="5350"/>
        <item m="1" x="4344"/>
        <item m="1" x="3693"/>
        <item m="1" x="2791"/>
        <item m="1" x="1204"/>
        <item m="1" x="1214"/>
        <item m="1" x="912"/>
        <item m="1" x="5308"/>
        <item m="1" x="2691"/>
        <item m="1" x="3533"/>
        <item m="1" x="3922"/>
        <item m="1" x="4614"/>
        <item m="1" x="4331"/>
        <item m="1" x="2431"/>
        <item m="1" x="6685"/>
        <item m="1" x="1274"/>
        <item m="1" x="1037"/>
        <item m="1" x="5921"/>
        <item m="1" x="3148"/>
        <item m="1" x="6449"/>
        <item m="1" x="617"/>
        <item m="1" x="1298"/>
        <item m="1" x="2373"/>
        <item m="1" x="4284"/>
        <item m="1" x="5349"/>
        <item m="1" x="4222"/>
        <item m="1" x="4981"/>
        <item m="1" x="5594"/>
        <item m="1" x="3184"/>
        <item m="1" x="2540"/>
        <item m="1" x="4307"/>
        <item m="1" x="6010"/>
        <item m="1" x="1654"/>
        <item m="1" x="7836"/>
        <item m="1" x="807"/>
        <item m="1" x="2421"/>
        <item m="1" x="2055"/>
        <item m="1" x="3740"/>
        <item m="1" x="3628"/>
        <item m="1" x="4386"/>
        <item m="1" x="4366"/>
        <item m="1" x="2900"/>
        <item m="1" x="5755"/>
        <item m="1" x="5399"/>
        <item m="1" x="4378"/>
        <item m="1" x="6355"/>
        <item m="1" x="6754"/>
        <item m="1" x="5398"/>
        <item m="1" x="7087"/>
        <item m="1" x="2078"/>
        <item m="1" x="4110"/>
        <item m="1" x="2441"/>
        <item m="1" x="4705"/>
        <item m="1" x="2534"/>
        <item m="1" x="5335"/>
        <item m="1" x="6795"/>
        <item m="1" x="2103"/>
        <item m="1" x="4724"/>
        <item m="1" x="4161"/>
        <item m="1" x="2507"/>
        <item m="1" x="5669"/>
        <item m="1" x="4477"/>
        <item m="1" x="6046"/>
        <item m="1" x="4407"/>
        <item m="1" x="6755"/>
        <item m="1" x="4558"/>
        <item m="1" x="4749"/>
        <item m="1" x="1700"/>
        <item m="1" x="4201"/>
        <item m="1" x="982"/>
        <item m="1" x="703"/>
        <item m="1" x="7072"/>
        <item m="1" x="2604"/>
        <item m="1" x="7930"/>
        <item m="1" x="869"/>
        <item m="1" x="7335"/>
        <item m="1" x="3501"/>
        <item m="1" x="4232"/>
        <item m="1" x="7665"/>
        <item m="1" x="509"/>
        <item m="1" x="267"/>
        <item m="1" x="1911"/>
        <item m="1" x="5981"/>
        <item m="1" x="3553"/>
        <item m="1" x="2945"/>
        <item m="1" x="750"/>
        <item m="1" x="4085"/>
        <item m="1" x="4596"/>
        <item m="1" x="2541"/>
        <item m="1" x="3706"/>
        <item m="1" x="4095"/>
        <item m="1" x="7041"/>
        <item m="1" x="7732"/>
        <item m="1" x="3298"/>
        <item m="1" x="5457"/>
        <item m="1" x="4257"/>
        <item m="1" x="3969"/>
        <item m="1" x="6817"/>
        <item m="1" x="6552"/>
        <item m="1" x="5336"/>
        <item m="1" x="4943"/>
        <item m="1" x="3422"/>
        <item m="1" x="2241"/>
        <item m="1" x="2198"/>
        <item m="1" x="7195"/>
        <item m="1" x="1456"/>
        <item m="1" x="7748"/>
        <item m="1" x="5134"/>
        <item m="1" x="5475"/>
        <item m="1" x="1263"/>
        <item m="1" x="1398"/>
        <item m="1" x="5853"/>
        <item m="1" x="4830"/>
        <item m="1" x="5833"/>
        <item m="1" x="3057"/>
        <item m="1" x="6851"/>
        <item m="1" x="4566"/>
        <item m="1" x="5522"/>
        <item m="1" x="6293"/>
        <item m="1" x="3963"/>
        <item m="1" x="2235"/>
        <item m="1" x="1264"/>
        <item m="1" x="6934"/>
        <item m="1" x="2733"/>
        <item m="1" x="3511"/>
        <item m="1" x="3340"/>
        <item m="1" x="482"/>
        <item m="1" x="3058"/>
        <item m="1" x="2265"/>
        <item m="1" x="6935"/>
        <item m="1" x="4003"/>
        <item m="1" x="5523"/>
        <item m="1" x="4888"/>
        <item m="1" x="4956"/>
        <item m="1" x="6187"/>
        <item m="1" x="5524"/>
        <item m="1" x="4868"/>
        <item m="1" x="5583"/>
        <item m="1" x="6278"/>
        <item m="1" x="6303"/>
        <item m="1" x="542"/>
        <item m="1" x="563"/>
        <item m="1" x="6963"/>
        <item m="1" x="3542"/>
        <item m="1" x="5584"/>
        <item m="1" x="3912"/>
        <item m="1" x="4034"/>
        <item m="1" x="4869"/>
        <item m="1" x="4605"/>
        <item m="1" x="6964"/>
        <item m="1" x="6238"/>
        <item m="1" x="6680"/>
        <item m="1" x="6371"/>
        <item m="1" x="2297"/>
        <item m="1" x="3598"/>
        <item m="1" x="3249"/>
        <item m="1" x="5884"/>
        <item m="1" x="4082"/>
        <item m="1" x="4687"/>
        <item m="1" x="6279"/>
        <item m="1" x="4379"/>
        <item m="1" x="4345"/>
        <item m="1" x="5661"/>
        <item m="1" x="6660"/>
        <item m="1" x="1345"/>
        <item m="1" x="6913"/>
        <item m="1" x="1265"/>
        <item m="1" x="5543"/>
        <item m="1" x="609"/>
        <item m="1" x="1290"/>
        <item m="1" x="4130"/>
        <item m="1" x="4915"/>
        <item m="1" x="7795"/>
        <item m="1" x="5893"/>
        <item m="1" x="7828"/>
        <item m="1" x="3069"/>
        <item m="1" x="4184"/>
        <item m="1" x="6674"/>
        <item m="1" x="4765"/>
        <item m="1" x="1108"/>
        <item m="1" x="648"/>
        <item m="1" x="3113"/>
        <item m="1" x="7818"/>
        <item m="1" x="6343"/>
        <item m="1" x="6323"/>
        <item m="1" x="1146"/>
        <item m="1" x="7753"/>
        <item m="1" x="1381"/>
        <item m="1" x="4955"/>
        <item m="1" x="681"/>
        <item m="1" x="353"/>
        <item m="1" x="1809"/>
        <item m="1" x="3383"/>
        <item m="1" x="5253"/>
        <item m="1" x="5686"/>
        <item m="1" x="2474"/>
        <item m="1" x="7048"/>
        <item m="1" x="376"/>
        <item m="1" x="1232"/>
        <item m="1" x="1109"/>
        <item m="1" x="4914"/>
        <item m="1" x="5624"/>
        <item m="1" x="6322"/>
        <item m="1" x="6349"/>
        <item m="1" x="587"/>
        <item m="1" x="4162"/>
        <item m="1" x="4993"/>
        <item m="1" x="7534"/>
        <item m="1" x="6053"/>
        <item m="1" x="1066"/>
        <item m="1" x="1040"/>
        <item m="1" x="726"/>
        <item m="1" x="477"/>
        <item m="1" x="6372"/>
        <item m="1" x="2605"/>
        <item m="1" x="3369"/>
        <item m="1" x="6962"/>
        <item m="1" x="1313"/>
        <item m="1" x="5585"/>
        <item m="1" x="696"/>
        <item m="1" x="7565"/>
        <item m="1" x="1171"/>
        <item m="1" x="1477"/>
        <item m="1" x="5025"/>
        <item m="1" x="5934"/>
        <item m="1" x="190"/>
        <item m="1" x="7583"/>
        <item m="1" x="7145"/>
        <item m="1" x="7891"/>
        <item m="1" x="4188"/>
        <item m="1" x="6399"/>
        <item m="1" x="6818"/>
        <item m="1" x="6426"/>
        <item m="1" x="2653"/>
        <item m="1" x="825"/>
        <item m="1" x="6779"/>
        <item m="1" x="1233"/>
        <item m="1" x="1899"/>
        <item m="1" x="3050"/>
        <item m="1" x="4163"/>
        <item m="1" x="6102"/>
        <item m="1" x="2238"/>
        <item m="1" x="3011"/>
        <item m="1" x="5103"/>
        <item m="1" x="1900"/>
        <item m="1" x="725"/>
        <item m="1" x="437"/>
        <item m="1" x="3435"/>
        <item m="1" x="6188"/>
        <item m="1" x="1257"/>
        <item m="1" x="7385"/>
        <item m="1" x="1124"/>
        <item m="1" x="2792"/>
        <item m="1" x="208"/>
        <item m="1" x="1147"/>
        <item m="1" x="223"/>
        <item m="1" x="510"/>
        <item m="1" x="3142"/>
        <item m="1" x="7196"/>
        <item m="1" x="7854"/>
        <item m="1" x="5143"/>
        <item m="1" x="268"/>
        <item m="1" x="556"/>
        <item m="1" x="4295"/>
        <item m="1" x="224"/>
        <item m="1" x="1172"/>
        <item m="1" x="1555"/>
        <item m="1" x="1912"/>
        <item m="1" x="1197"/>
        <item m="1" x="600"/>
        <item m="1" x="269"/>
        <item m="1" x="2720"/>
        <item m="1" x="6468"/>
        <item m="1" x="2697"/>
        <item m="1" x="7873"/>
        <item m="1" x="579"/>
        <item m="1" x="4251"/>
        <item m="1" x="1346"/>
        <item m="1" x="3086"/>
        <item m="1" x="743"/>
        <item m="1" x="4881"/>
        <item m="1" x="893"/>
        <item m="1" x="5889"/>
        <item m="1" x="6624"/>
        <item m="1" x="5203"/>
        <item m="1" x="5975"/>
        <item m="1" x="7386"/>
        <item m="1" x="1646"/>
        <item m="1" x="2719"/>
        <item m="1" x="7394"/>
        <item m="1" x="692"/>
        <item m="1" x="1977"/>
        <item m="1" x="5714"/>
        <item m="1" x="6441"/>
        <item m="1" x="6640"/>
        <item m="1" x="6400"/>
        <item m="1" x="6511"/>
        <item m="1" x="6654"/>
        <item m="1" x="562"/>
        <item m="1" x="5932"/>
        <item m="1" x="7738"/>
        <item m="1" x="6315"/>
        <item m="1" x="4685"/>
        <item m="1" x="779"/>
        <item m="1" x="2760"/>
        <item m="1" x="5272"/>
        <item m="1" x="3488"/>
        <item m="1" x="1307"/>
        <item m="1" x="5739"/>
        <item m="1" x="3197"/>
        <item m="1" x="3613"/>
        <item m="1" x="6364"/>
        <item m="1" x="646"/>
        <item m="1" x="4341"/>
        <item m="1" x="6363"/>
        <item m="1" x="5933"/>
        <item m="1" x="4013"/>
        <item m="1" x="4699"/>
        <item m="1" x="797"/>
        <item m="1" x="4639"/>
        <item m="1" x="4987"/>
        <item m="1" x="5952"/>
        <item m="1" x="3244"/>
        <item m="1" x="4027"/>
        <item m="1" x="2064"/>
        <item m="1" x="693"/>
        <item m="1" x="4376"/>
        <item m="1" x="6421"/>
        <item m="1" x="2875"/>
        <item m="1" x="6695"/>
        <item m="1" x="2491"/>
        <item m="1" x="6464"/>
        <item m="1" x="5970"/>
        <item m="1" x="4055"/>
        <item m="1" x="6567"/>
        <item m="1" x="2818"/>
        <item m="1" x="6729"/>
        <item m="1" x="1723"/>
        <item m="1" x="5906"/>
        <item m="1" x="6018"/>
        <item m="1" x="1399"/>
        <item m="1" x="6954"/>
        <item m="1" x="5653"/>
        <item m="1" x="6746"/>
        <item m="1" x="844"/>
        <item m="1" x="1647"/>
        <item m="1" x="6696"/>
        <item m="1" x="4739"/>
        <item m="1" x="6505"/>
        <item m="1" x="2166"/>
        <item m="1" x="4056"/>
        <item m="1" x="1698"/>
        <item m="1" x="5038"/>
        <item m="1" x="6561"/>
        <item m="1" x="7056"/>
        <item m="1" x="4740"/>
        <item m="1" x="6787"/>
        <item m="1" x="6630"/>
        <item m="1" x="6604"/>
        <item m="1" x="2874"/>
        <item m="1" x="824"/>
        <item m="1" x="4418"/>
        <item m="1" x="3560"/>
        <item m="1" x="5680"/>
        <item m="1" x="1341"/>
        <item m="1" x="5022"/>
        <item m="1" x="4074"/>
        <item m="1" x="5996"/>
        <item m="1" x="4470"/>
        <item m="1" x="3694"/>
        <item m="1" x="3334"/>
        <item m="1" x="5746"/>
        <item m="1" x="6465"/>
        <item m="1" x="7078"/>
        <item m="1" x="4969"/>
        <item m="1" x="2917"/>
        <item m="1" x="5039"/>
        <item m="1" x="5056"/>
        <item m="1" x="7832"/>
        <item m="1" x="6747"/>
        <item m="1" x="6401"/>
        <item m="1" x="4156"/>
        <item m="1" x="7127"/>
        <item m="1" x="6484"/>
        <item m="1" x="5747"/>
        <item m="1" x="4721"/>
        <item m="1" x="1818"/>
        <item m="1" x="6019"/>
        <item m="1" x="2650"/>
        <item m="1" x="5096"/>
        <item m="1" x="5818"/>
        <item m="1" x="1229"/>
        <item m="1" x="7355"/>
        <item m="1" x="4493"/>
        <item m="1" x="6788"/>
        <item m="1" x="279"/>
        <item m="1" x="4820"/>
        <item m="1" x="3134"/>
        <item m="1" x="7845"/>
        <item m="1" x="3792"/>
        <item m="1" x="6087"/>
        <item m="1" x="6037"/>
        <item m="1" x="7204"/>
        <item m="1" x="3129"/>
        <item m="1" x="5438"/>
        <item m="1" x="930"/>
        <item m="1" x="1639"/>
        <item m="1" x="1590"/>
        <item m="1" x="2787"/>
        <item m="1" x="7923"/>
        <item m="1" x="5121"/>
        <item m="1" x="2865"/>
        <item m="1" x="5369"/>
        <item m="1" x="3378"/>
        <item m="1" x="6766"/>
        <item m="1" x="5768"/>
        <item m="1" x="6165"/>
        <item m="1" x="6506"/>
        <item m="1" x="1304"/>
        <item m="1" x="2036"/>
        <item m="1" x="3109"/>
        <item m="1" x="1024"/>
        <item m="1" x="1972"/>
        <item m="1" x="1161"/>
        <item m="1" x="3215"/>
        <item m="1" x="7941"/>
        <item m="1" x="311"/>
        <item m="1" x="971"/>
        <item m="1" x="7950"/>
        <item m="1" x="3528"/>
        <item m="1" x="2837"/>
        <item m="1" x="1638"/>
        <item m="1" x="550"/>
        <item m="1" x="7988"/>
        <item m="1" x="2448"/>
        <item m="1" x="3930"/>
        <item m="1" x="296"/>
        <item m="1" x="7759"/>
        <item m="1" x="2485"/>
        <item m="1" x="6442"/>
        <item m="1" x="2449"/>
        <item m="1" x="622"/>
        <item m="1" x="93"/>
        <item m="1" x="2517"/>
        <item m="1" x="7680"/>
        <item m="1" x="3640"/>
        <item m="1" x="340"/>
        <item m="1" x="660"/>
        <item m="1" x="1640"/>
        <item m="1" x="7951"/>
        <item m="1" x="7444"/>
        <item m="1" x="327"/>
        <item m="1" x="2037"/>
        <item m="1" x="3949"/>
        <item m="1" x="3663"/>
        <item m="1" x="2914"/>
        <item m="1" x="4680"/>
        <item m="1" x="2518"/>
        <item m="1" x="947"/>
        <item m="1" x="310"/>
        <item m="1" x="4009"/>
        <item m="1" x="7710"/>
        <item m="1" x="2866"/>
        <item m="1" x="2014"/>
        <item m="1" x="3662"/>
        <item m="1" x="297"/>
        <item m="1" x="6086"/>
        <item m="1" x="661"/>
        <item m="1" x="7509"/>
        <item m="1" x="708"/>
        <item m="1" x="7566"/>
        <item m="1" x="3710"/>
        <item m="1" x="1006"/>
        <item m="1" x="1075"/>
        <item m="1" x="4411"/>
        <item m="1" x="2583"/>
        <item m="1" x="760"/>
        <item m="1" x="2450"/>
        <item m="1" x="4392"/>
        <item m="1" x="4069"/>
        <item m="1" x="1838"/>
        <item m="1" x="3001"/>
        <item m="1" x="415"/>
        <item m="1" x="7505"/>
        <item m="1" x="7739"/>
        <item m="1" x="4743"/>
        <item m="1" x="810"/>
        <item m="1" x="2180"/>
        <item m="1" x="2204"/>
        <item m="1" x="6483"/>
        <item m="1" x="7419"/>
        <item m="1" x="5183"/>
        <item m="1" x="1741"/>
        <item m="1" x="691"/>
        <item m="1" x="5026"/>
        <item m="1" x="5508"/>
        <item m="1" x="855"/>
        <item m="1" x="2582"/>
        <item m="1" x="2266"/>
        <item m="1" x="3002"/>
        <item m="1" x="6021"/>
        <item m="1" x="5104"/>
        <item m="1" x="1839"/>
        <item m="1" x="6137"/>
        <item m="1" x="4131"/>
        <item m="1" x="4804"/>
        <item m="1" x="5729"/>
        <item m="1" x="709"/>
        <item m="1" x="6512"/>
        <item m="1" x="94"/>
        <item m="1" x="1691"/>
        <item m="1" x="690"/>
        <item m="1" x="2086"/>
        <item m="1" x="2114"/>
        <item m="1" x="5340"/>
        <item m="1" x="2138"/>
        <item m="1" x="4044"/>
        <item m="1" x="2980"/>
        <item m="1" x="2620"/>
        <item m="1" x="363"/>
        <item m="1" x="7524"/>
        <item m="1" x="3350"/>
        <item m="1" x="1448"/>
        <item m="1" x="4421"/>
        <item m="1" x="3990"/>
        <item m="1" x="2377"/>
        <item m="1" x="4516"/>
        <item m="1" x="3820"/>
        <item m="1" x="339"/>
        <item m="1" x="6141"/>
        <item m="1" x="6469"/>
        <item m="1" x="3362"/>
        <item m="1" x="1717"/>
        <item m="1" x="2487"/>
        <item m="1" x="5361"/>
        <item m="1" x="1467"/>
        <item m="1" x="5388"/>
        <item m="1" x="6136"/>
        <item m="1" x="4043"/>
        <item m="1" x="5751"/>
        <item m="1" x="900"/>
        <item m="1" x="2387"/>
        <item m="1" x="6206"/>
        <item m="1" x="3384"/>
        <item m="1" x="2219"/>
        <item m="1" x="5284"/>
        <item m="1" x="4185"/>
        <item m="1" x="5752"/>
        <item m="1" x="3064"/>
        <item m="1" x="5822"/>
        <item m="1" x="2436"/>
        <item m="1" x="1531"/>
        <item m="1" x="3436"/>
        <item m="1" x="5991"/>
        <item m="1" x="3135"/>
        <item m="1" x="5797"/>
        <item m="1" x="4945"/>
        <item m="1" x="6540"/>
        <item m="1" x="5199"/>
        <item m="1" x="7466"/>
        <item m="1" x="2639"/>
        <item m="1" x="6230"/>
        <item m="1" x="5144"/>
        <item m="1" x="2692"/>
        <item m="1" x="1730"/>
        <item m="1" x="5217"/>
        <item m="1" x="5488"/>
        <item m="1" x="6541"/>
        <item m="1" x="761"/>
        <item m="1" x="6248"/>
        <item m="1" x="4068"/>
        <item m="1" x="2426"/>
        <item m="1" x="5216"/>
        <item m="1" x="4537"/>
        <item m="1" x="3136"/>
        <item m="1" x="4554"/>
        <item m="1" x="5901"/>
        <item m="1" x="3489"/>
        <item m="1" x="5165"/>
        <item m="1" x="381"/>
        <item m="1" x="4249"/>
        <item m="1" x="5270"/>
        <item m="1" x="3047"/>
        <item m="1" x="5126"/>
        <item m="1" x="4553"/>
        <item m="1" x="5127"/>
        <item m="1" x="7675"/>
        <item m="1" x="1546"/>
        <item m="1" x="4593"/>
        <item m="1" x="6249"/>
        <item m="1" x="2717"/>
        <item m="1" x="3860"/>
        <item m="1" x="2748"/>
        <item m="1" x="3950"/>
        <item m="1" x="5177"/>
        <item m="1" x="5200"/>
        <item m="1" x="4228"/>
        <item m="1" x="5575"/>
        <item m="1" x="3897"/>
        <item m="1" x="4574"/>
        <item m="1" x="4227"/>
        <item m="1" x="5902"/>
        <item m="1" x="7720"/>
        <item m="1" x="1619"/>
        <item m="1" x="5945"/>
        <item m="1" x="3609"/>
        <item m="1" x="5301"/>
        <item m="1" x="3976"/>
        <item m="1" x="5218"/>
        <item m="1" x="7319"/>
        <item m="1" x="1948"/>
        <item m="1" x="6036"/>
        <item m="1" x="6243"/>
        <item m="1" x="6925"/>
        <item m="1" x="7692"/>
        <item m="1" x="5929"/>
        <item m="1" x="1591"/>
        <item m="1" x="4681"/>
        <item m="1" x="2815"/>
        <item m="1" x="6947"/>
        <item m="1" x="5882"/>
        <item m="1" x="3931"/>
        <item m="1" x="6652"/>
        <item m="1" x="6622"/>
        <item m="1" x="5243"/>
        <item m="1" x="6085"/>
        <item m="1" x="5552"/>
        <item m="1" x="7022"/>
        <item m="1" x="7839"/>
        <item m="1" x="4314"/>
        <item m="1" x="7526"/>
        <item m="1" x="3711"/>
        <item m="1" x="2939"/>
        <item m="1" x="3151"/>
        <item m="1" x="5078"/>
        <item m="1" x="4964"/>
        <item m="1" x="5930"/>
        <item m="1" x="6339"/>
        <item m="1" x="384"/>
        <item m="1" x="4120"/>
        <item m="1" x="2486"/>
        <item m="1" x="737"/>
        <item m="1" x="115"/>
        <item m="1" x="2557"/>
        <item m="1" x="4654"/>
        <item m="1" x="7775"/>
        <item m="1" x="664"/>
        <item m="1" x="7469"/>
        <item m="1" x="3335"/>
        <item m="1" x="7492"/>
        <item m="1" x="2918"/>
        <item m="1" x="765"/>
        <item m="1" x="4419"/>
        <item m="1" x="3358"/>
        <item m="1" x="1142"/>
        <item m="1" x="1077"/>
        <item m="1" x="2120"/>
        <item m="1" x="2940"/>
        <item m="1" x="7719"/>
        <item m="1" x="1618"/>
        <item m="1" x="5002"/>
        <item m="1" x="6633"/>
        <item m="1" x="6032"/>
        <item m="1" x="3767"/>
        <item m="1" x="4441"/>
        <item m="1" x="2212"/>
        <item m="1" x="5072"/>
        <item m="1" x="2919"/>
        <item m="1" x="3768"/>
        <item m="1" x="4621"/>
        <item m="1" x="1819"/>
        <item m="1" x="2624"/>
        <item m="1" x="1101"/>
        <item m="1" x="3438"/>
        <item m="1" x="7595"/>
        <item m="1" x="2867"/>
        <item m="1" x="1849"/>
        <item m="1" x="4442"/>
        <item m="1" x="3793"/>
        <item m="1" x="2986"/>
        <item m="1" x="184"/>
        <item m="1" x="2985"/>
        <item m="1" x="2623"/>
        <item m="1" x="7633"/>
        <item m="1" x="5966"/>
        <item m="1" x="1008"/>
        <item m="1" x="3006"/>
        <item m="1" x="3769"/>
        <item m="1" x="1505"/>
        <item m="1" x="2229"/>
        <item m="1" x="1525"/>
        <item m="1" x="1465"/>
        <item m="1" x="7613"/>
        <item m="1" x="2184"/>
        <item m="1" x="3043"/>
        <item m="1" x="883"/>
        <item m="1" x="2249"/>
        <item m="1" x="2306"/>
        <item m="1" x="3023"/>
        <item m="1" x="3816"/>
        <item m="1" x="469"/>
        <item m="1" x="4494"/>
        <item m="1" x="2915"/>
        <item m="1" x="2186"/>
        <item m="1" x="218"/>
        <item m="1" x="3878"/>
        <item m="1" x="7882"/>
        <item m="1" x="1506"/>
        <item m="1" x="841"/>
        <item m="1" x="4712"/>
        <item m="1" x="1507"/>
        <item m="1" x="7634"/>
        <item m="1" x="3854"/>
        <item m="1" x="7920"/>
        <item m="1" x="2669"/>
        <item m="1" x="4535"/>
        <item m="1" x="7835"/>
        <item m="1" x="4696"/>
        <item m="1" x="3817"/>
        <item m="1" x="3855"/>
        <item m="1" x="4599"/>
        <item m="1" x="236"/>
        <item m="1" x="766"/>
        <item m="1" x="3022"/>
        <item m="1" x="1189"/>
        <item m="1" x="3605"/>
        <item m="1" x="2185"/>
        <item m="1" x="3856"/>
        <item m="1" x="2230"/>
        <item m="1" x="4549"/>
        <item m="1" x="292"/>
        <item m="1" x="2250"/>
        <item m="1" x="2275"/>
        <item m="1" x="2374"/>
        <item m="1" x="3082"/>
        <item m="1" x="3895"/>
        <item m="1" x="925"/>
        <item m="1" x="1609"/>
        <item m="1" x="7776"/>
        <item m="1" x="7571"/>
        <item m="1" x="7899"/>
        <item m="1" x="1299"/>
        <item m="1" x="306"/>
        <item m="1" x="4586"/>
        <item m="1" x="3491"/>
        <item m="1" x="2714"/>
        <item m="1" x="942"/>
        <item m="1" x="4575"/>
        <item m="1" x="6014"/>
        <item m="1" x="3042"/>
        <item m="1" x="3815"/>
        <item m="1" x="1556"/>
        <item m="1" x="2962"/>
        <item m="1" x="2337"/>
        <item m="1" x="5618"/>
        <item m="1" x="4633"/>
        <item m="1" x="3564"/>
        <item m="1" x="320"/>
        <item m="1" x="4755"/>
        <item m="1" x="5013"/>
        <item m="1" x="1648"/>
        <item m="1" x="2383"/>
        <item m="1" x="3062"/>
        <item m="1" x="2779"/>
        <item m="1" x="4615"/>
        <item m="1" x="2351"/>
        <item m="1" x="4731"/>
        <item m="1" x="3044"/>
        <item m="1" x="884"/>
        <item m="1" x="2307"/>
        <item m="1" x="983"/>
        <item m="1" x="5249"/>
        <item m="1" x="3114"/>
        <item m="1" x="7490"/>
        <item m="1" x="2458"/>
        <item m="1" x="3591"/>
        <item m="1" x="885"/>
        <item m="1" x="5008"/>
        <item m="1" x="6979"/>
        <item m="1" x="3198"/>
        <item m="1" x="5654"/>
        <item m="1" x="1541"/>
        <item m="1" x="1542"/>
        <item m="1" x="3149"/>
        <item m="1" x="7445"/>
        <item m="1" x="4270"/>
        <item m="1" x="4988"/>
        <item m="1" x="285"/>
        <item m="1" x="3175"/>
        <item m="1" x="6344"/>
        <item m="1" x="3956"/>
        <item m="1" x="4927"/>
        <item m="1" x="4640"/>
        <item m="1" x="5578"/>
        <item m="1" x="3003"/>
        <item m="1" x="5619"/>
        <item m="1" x="6711"/>
        <item m="1" x="1017"/>
        <item m="1" x="7128"/>
        <item m="1" x="3614"/>
        <item m="1" x="5703"/>
        <item m="1" x="6443"/>
        <item m="1" x="7467"/>
        <item m="1" x="2831"/>
        <item m="1" x="6054"/>
        <item m="1" x="3081"/>
        <item m="1" x="3853"/>
        <item m="1" x="4795"/>
        <item m="1" x="7057"/>
        <item m="1" x="5681"/>
        <item m="1" x="2459"/>
        <item m="1" x="976"/>
        <item m="1" x="7129"/>
        <item m="1" x="4686"/>
        <item m="1" x="5655"/>
        <item m="1" x="5997"/>
        <item m="1" x="6748"/>
        <item m="1" x="354"/>
        <item m="1" x="4741"/>
        <item m="1" x="7539"/>
        <item m="1" x="6485"/>
        <item m="1" x="7227"/>
        <item m="1" x="3034"/>
        <item m="1" x="5704"/>
        <item m="1" x="5009"/>
        <item m="1" x="5793"/>
        <item m="1" x="4897"/>
        <item m="1" x="7567"/>
        <item m="1" x="4870"/>
        <item m="1" x="3359"/>
        <item m="1" x="4443"/>
        <item m="1" x="6486"/>
        <item m="1" x="5922"/>
        <item m="1" x="6466"/>
        <item m="1" x="7568"/>
        <item m="1" x="5725"/>
        <item m="1" x="7187"/>
        <item m="1" x="3137"/>
        <item m="1" x="2888"/>
        <item m="1" x="4693"/>
        <item m="1" x="3126"/>
        <item m="1" x="3894"/>
        <item m="1" x="5057"/>
        <item m="1" x="5748"/>
        <item m="1" x="7657"/>
        <item m="1" x="3584"/>
        <item m="1" x="4471"/>
        <item m="1" x="3715"/>
        <item m="1" x="7181"/>
        <item m="1" x="2378"/>
        <item m="1" x="2343"/>
        <item m="1" x="7903"/>
        <item m="1" x="2788"/>
        <item m="1" x="2749"/>
        <item m="1" x="1996"/>
        <item m="1" x="2427"/>
        <item m="1" x="4291"/>
        <item m="1" x="3103"/>
        <item m="1" x="1950"/>
        <item m="1" x="7711"/>
        <item m="1" x="1206"/>
        <item m="1" x="3936"/>
        <item m="1" x="6767"/>
        <item m="1" x="7156"/>
        <item m="1" x="7157"/>
        <item m="1" x="7591"/>
        <item m="1" x="4839"/>
        <item m="1" x="5819"/>
        <item m="1" x="7228"/>
        <item m="1" x="7864"/>
        <item m="1" x="7638"/>
        <item m="1" x="244"/>
        <item m="1" x="1191"/>
        <item m="1" x="1949"/>
        <item m="1" x="1572"/>
        <item m="1" x="4250"/>
        <item m="1" x="7214"/>
        <item m="1" x="526"/>
        <item m="1" x="5314"/>
        <item m="1" x="504"/>
        <item m="1" x="7924"/>
        <item m="1" x="1207"/>
        <item m="1" x="1230"/>
        <item m="1" x="265"/>
        <item m="1" x="2727"/>
        <item m="1" x="1692"/>
        <item m="1" x="948"/>
        <item m="1" x="3192"/>
        <item m="1" x="5483"/>
        <item m="1" x="2344"/>
        <item m="1" x="312"/>
        <item m="1" x="3585"/>
        <item m="1" x="2038"/>
        <item m="1" x="2059"/>
        <item m="1" x="3664"/>
        <item m="1" x="7697"/>
        <item m="1" x="1743"/>
        <item m="1" x="2088"/>
        <item m="1" x="4355"/>
        <item m="1" x="4354"/>
        <item m="1" x="4672"/>
        <item m="1" x="2452"/>
        <item m="1" x="3235"/>
        <item m="1" x="2838"/>
        <item m="1" x="7952"/>
        <item m="1" x="2015"/>
        <item m="1" x="7740"/>
        <item m="1" x="2552"/>
        <item m="1" x="2402"/>
        <item m="1" x="3586"/>
        <item m="1" x="1358"/>
        <item m="1" x="7446"/>
        <item m="1" x="1339"/>
        <item m="1" x="624"/>
        <item m="1" x="642"/>
        <item m="1" x="2664"/>
        <item m="1" x="3269"/>
        <item m="1" x="3665"/>
        <item m="1" x="2115"/>
        <item m="1" x="2453"/>
        <item m="1" x="74"/>
        <item m="1" x="2060"/>
        <item m="1" x="7771"/>
        <item m="1" x="1025"/>
        <item m="1" x="2963"/>
        <item m="1" x="4252"/>
        <item m="1" x="1742"/>
        <item m="1" x="710"/>
        <item m="1" x="1051"/>
        <item m="1" x="2089"/>
        <item m="1" x="4412"/>
        <item m="1" x="7991"/>
        <item m="1" x="3641"/>
        <item m="1" x="2087"/>
        <item m="1" x="3401"/>
        <item m="1" x="1767"/>
        <item m="1" x="1794"/>
        <item m="1" x="3286"/>
        <item m="1" x="1386"/>
        <item m="1" x="4475"/>
        <item m="1" x="2964"/>
        <item m="1" x="3737"/>
        <item m="1" x="4781"/>
        <item m="1" x="4538"/>
        <item m="1" x="5753"/>
        <item m="1" x="4371"/>
        <item m="1" x="4393"/>
        <item m="1" x="2520"/>
        <item m="1" x="1400"/>
        <item m="1" x="1744"/>
        <item m="1" x="2709"/>
        <item m="1" x="3800"/>
        <item m="1" x="2171"/>
        <item m="1" x="5400"/>
        <item m="1" x="2893"/>
        <item m="1" x="4083"/>
        <item m="1" x="4105"/>
        <item m="1" x="3035"/>
        <item m="1" x="6513"/>
        <item m="1" x="4782"/>
        <item m="1" x="4555"/>
        <item m="1" x="2451"/>
        <item m="1" x="2937"/>
        <item m="1" x="7989"/>
        <item m="1" x="920"/>
        <item m="1" x="800"/>
        <item m="1" x="3048"/>
        <item m="1" x="6142"/>
        <item m="1" x="6587"/>
        <item m="1" x="3385"/>
        <item m="1" x="6568"/>
        <item m="1" x="4476"/>
        <item m="1" x="6789"/>
        <item m="1" x="4805"/>
        <item m="1" x="3836"/>
        <item m="1" x="4517"/>
        <item m="1" x="5443"/>
        <item m="1" x="4539"/>
        <item m="1" x="6569"/>
        <item m="1" x="1598"/>
        <item m="1" x="6605"/>
        <item m="1" x="6826"/>
        <item m="1" x="1793"/>
        <item m="1" x="4501"/>
        <item m="1" x="5842"/>
        <item m="1" x="6807"/>
        <item m="1" x="5145"/>
        <item m="1" x="6588"/>
        <item m="1" x="3065"/>
        <item m="1" x="3862"/>
        <item m="1" x="5178"/>
        <item m="1" x="3690"/>
        <item m="1" x="2139"/>
        <item m="1" x="3882"/>
        <item m="1" x="4518"/>
        <item m="1" x="5489"/>
        <item m="1" x="3787"/>
        <item m="1" x="4622"/>
        <item m="1" x="5201"/>
        <item m="1" x="1532"/>
        <item m="1" x="4158"/>
        <item m="1" x="5179"/>
        <item m="1" x="2771"/>
        <item m="1" x="6207"/>
        <item m="1" x="2693"/>
        <item m="1" x="95"/>
        <item m="1" x="3437"/>
        <item m="1" x="5509"/>
        <item m="1" x="6636"/>
        <item m="1" x="6635"/>
        <item m="1" x="1547"/>
        <item m="1" x="3158"/>
        <item m="1" x="6634"/>
        <item m="1" x="5285"/>
        <item m="1" x="5219"/>
        <item m="1" x="4204"/>
        <item m="1" x="6883"/>
        <item m="1" x="2519"/>
        <item m="1" x="4879"/>
        <item m="1" x="5362"/>
        <item m="1" x="6015"/>
        <item m="1" x="6638"/>
        <item m="1" x="4655"/>
        <item m="1" x="3991"/>
        <item m="1" x="5598"/>
        <item m="1" x="3490"/>
        <item m="1" x="6675"/>
        <item m="1" x="4900"/>
        <item m="1" x="6637"/>
        <item m="1" x="3138"/>
        <item m="1" x="3152"/>
        <item m="1" x="1840"/>
        <item m="1" x="5040"/>
        <item m="1" x="4924"/>
        <item m="1" x="4642"/>
        <item m="1" x="4713"/>
        <item m="1" x="5458"/>
        <item m="1" x="5946"/>
        <item m="1" x="5363"/>
        <item m="1" x="6948"/>
        <item m="1" x="4234"/>
        <item m="1" x="3117"/>
        <item m="1" x="6708"/>
        <item m="1" x="4697"/>
        <item m="1" x="3827"/>
        <item m="1" x="2310"/>
        <item m="1" x="5244"/>
        <item m="1" x="5992"/>
        <item m="1" x="3977"/>
        <item m="1" x="7743"/>
        <item m="1" x="2825"/>
        <item m="1" x="5534"/>
        <item m="1" x="715"/>
        <item m="1" x="2883"/>
        <item m="1" x="3203"/>
        <item m="1" x="6742"/>
        <item m="1" x="7760"/>
        <item m="1" x="1309"/>
        <item m="1" x="3193"/>
        <item m="1" x="6033"/>
        <item m="1" x="2584"/>
        <item m="1" x="2969"/>
        <item m="1" x="4101"/>
        <item m="1" x="7034"/>
        <item m="1" x="160"/>
        <item m="1" x="1392"/>
        <item m="1" x="1418"/>
        <item m="1" x="2167"/>
        <item m="1" x="7807"/>
        <item m="1" x="716"/>
        <item m="1" x="2187"/>
        <item m="1" x="4732"/>
        <item m="1" x="4102"/>
        <item m="1" x="1680"/>
        <item m="1" x="3045"/>
        <item m="1" x="3430"/>
        <item m="1" x="738"/>
        <item m="1" x="4075"/>
        <item m="1" x="1487"/>
        <item m="1" x="2213"/>
        <item m="1" x="1886"/>
        <item m="1" x="1798"/>
        <item m="1" x="1030"/>
        <item m="1" x="3210"/>
        <item m="1" x="385"/>
        <item m="1" x="7083"/>
        <item m="1" x="1508"/>
        <item m="1" x="7572"/>
        <item m="1" x="1141"/>
        <item m="1" x="2231"/>
        <item m="1" x="4127"/>
        <item m="1" x="1488"/>
        <item m="1" x="3870"/>
        <item m="1" x="4822"/>
        <item m="1" x="3083"/>
        <item m="1" x="2214"/>
        <item m="1" x="7106"/>
        <item m="1" x="7788"/>
        <item m="1" x="1102"/>
        <item m="1" x="7822"/>
        <item m="1" x="1424"/>
        <item m="1" x="3262"/>
        <item m="1" x="430"/>
        <item m="1" x="2251"/>
        <item m="1" x="3063"/>
        <item m="1" x="4399"/>
        <item m="1" x="3999"/>
        <item m="1" x="859"/>
        <item m="1" x="2876"/>
        <item m="1" x="2992"/>
        <item m="1" x="3319"/>
        <item m="1" x="1526"/>
        <item m="1" x="448"/>
        <item m="1" x="2640"/>
        <item m="1" x="219"/>
        <item m="1" x="2252"/>
        <item m="1" x="7676"/>
        <item m="1" x="1850"/>
        <item m="1" x="2688"/>
        <item m="1" x="1527"/>
        <item m="1" x="7861"/>
        <item m="1" x="7614"/>
        <item m="1" x="3084"/>
        <item m="1" x="499"/>
        <item m="1" x="5773"/>
        <item m="1" x="860"/>
        <item m="1" x="3459"/>
        <item m="1" x="4223"/>
        <item m="1" x="470"/>
        <item m="1" x="6422"/>
        <item m="1" x="7132"/>
        <item m="1" x="2308"/>
        <item m="1" x="2742"/>
        <item m="1" x="7883"/>
        <item m="1" x="7677"/>
        <item m="1" x="5865"/>
        <item m="1" x="5530"/>
        <item m="1" x="500"/>
        <item m="1" x="3185"/>
        <item m="1" x="3523"/>
        <item m="1" x="1234"/>
        <item m="1" x="906"/>
        <item m="1" x="2288"/>
        <item m="1" x="1956"/>
        <item m="1" x="2338"/>
        <item m="1" x="3127"/>
        <item m="1" x="237"/>
        <item m="1" x="1978"/>
        <item m="1" x="4627"/>
        <item m="1" x="3070"/>
        <item m="1" x="7163"/>
        <item m="1" x="3093"/>
        <item m="1" x="1283"/>
        <item m="1" x="7058"/>
        <item m="1" x="5327"/>
        <item m="1" x="502"/>
        <item m="1" x="7208"/>
        <item m="1" x="498"/>
        <item m="1" x="3935"/>
        <item m="1" x="3642"/>
        <item m="1" x="3957"/>
        <item m="1" x="4357"/>
        <item m="1" x="1926"/>
        <item m="1" x="4662"/>
        <item m="1" x="3143"/>
        <item m="1" x="5971"/>
        <item m="1" x="5224"/>
        <item m="1" x="2352"/>
        <item m="1" x="3153"/>
        <item m="1" x="2843"/>
        <item m="1" x="1308"/>
        <item m="1" x="5273"/>
        <item m="1" x="2681"/>
        <item m="1" x="293"/>
        <item m="1" x="7059"/>
        <item m="1" x="2897"/>
        <item m="1" x="3731"/>
        <item m="1" x="5128"/>
        <item m="1" x="5289"/>
        <item m="1" x="1893"/>
        <item m="1" x="4245"/>
        <item m="1" x="5682"/>
        <item m="1" x="1327"/>
        <item m="1" x="3176"/>
        <item m="1" x="2941"/>
        <item m="1" x="3821"/>
        <item m="1" x="5328"/>
        <item m="1" x="3996"/>
        <item m="1" x="7377"/>
        <item m="1" x="5998"/>
        <item m="1" x="3154"/>
        <item m="1" x="3981"/>
        <item m="1" x="5656"/>
        <item m="1" x="2044"/>
        <item m="1" x="3997"/>
        <item m="1" x="4742"/>
        <item m="1" x="547"/>
        <item m="1" x="5290"/>
        <item m="1" x="3336"/>
        <item m="1" x="5749"/>
        <item m="1" x="7183"/>
        <item m="1" x="2460"/>
        <item m="1" x="3222"/>
        <item m="1" x="5370"/>
        <item m="1" x="5726"/>
        <item m="1" x="5342"/>
        <item m="1" x="6444"/>
        <item m="1" x="3281"/>
        <item m="1" x="4028"/>
        <item m="1" x="3092"/>
        <item m="1" x="5412"/>
        <item m="1" x="6487"/>
        <item m="1" x="4762"/>
        <item m="1" x="5371"/>
        <item m="1" x="1419"/>
        <item m="1" x="3305"/>
        <item m="1" x="5411"/>
        <item m="1" x="593"/>
        <item m="1" x="7415"/>
        <item m="1" x="2146"/>
        <item m="1" x="6166"/>
        <item m="1" x="3980"/>
        <item m="1" x="3695"/>
        <item m="1" x="7233"/>
        <item m="1" x="4763"/>
        <item m="1" x="3406"/>
        <item m="1" x="6712"/>
        <item m="1" x="5657"/>
        <item m="1" x="2091"/>
        <item m="1" x="2121"/>
        <item m="1" x="4058"/>
        <item m="1" x="4840"/>
        <item m="1" x="321"/>
        <item m="1" x="6088"/>
        <item m="1" x="3861"/>
        <item m="1" x="1925"/>
        <item m="1" x="6749"/>
        <item m="1" x="7159"/>
        <item m="1" x="636"/>
        <item m="1" x="6773"/>
        <item m="1" x="4841"/>
        <item m="1" x="5122"/>
        <item m="1" x="3304"/>
        <item m="1" x="2987"/>
        <item m="1" x="4076"/>
        <item m="1" x="2558"/>
        <item m="1" x="3306"/>
        <item m="1" x="2168"/>
        <item m="1" x="4077"/>
        <item m="1" x="5484"/>
        <item m="1" x="4701"/>
        <item m="1" x="6446"/>
        <item m="1" x="7158"/>
        <item m="1" x="5097"/>
        <item m="1" x="527"/>
        <item m="1" x="2255"/>
        <item m="1" x="845"/>
        <item m="1" x="6832"/>
        <item m="1" x="4831"/>
        <item m="1" x="888"/>
        <item m="1" x="682"/>
        <item m="1" x="7953"/>
        <item m="1" x="1548"/>
        <item m="1" x="4014"/>
        <item m="1" x="3741"/>
        <item m="1" x="2314"/>
        <item m="1" x="266"/>
        <item m="1" x="6844"/>
        <item m="1" x="7969"/>
        <item m="1" x="907"/>
        <item m="1" x="3951"/>
        <item m="1" x="355"/>
        <item m="1" x="6864"/>
        <item m="1" x="3898"/>
        <item m="1" x="4916"/>
        <item m="1" x="3987"/>
        <item m="1" x="596"/>
        <item m="1" x="1620"/>
        <item m="1" x="5293"/>
        <item m="1" x="2345"/>
        <item m="1" x="1160"/>
        <item m="1" x="7447"/>
        <item m="1" x="313"/>
        <item m="1" x="949"/>
        <item m="1" x="398"/>
        <item m="1" x="727"/>
        <item m="1" x="2379"/>
        <item m="1" x="931"/>
        <item m="1" x="1641"/>
        <item m="1" x="2346"/>
        <item m="1" x="7420"/>
        <item m="1" x="6908"/>
        <item m="1" x="1621"/>
        <item m="1" x="2039"/>
        <item m="1" x="298"/>
        <item m="1" x="950"/>
        <item m="1" x="2585"/>
        <item m="1" x="6103"/>
        <item m="1" x="1666"/>
        <item m="1" x="2403"/>
        <item m="1" x="7468"/>
        <item m="1" x="1693"/>
        <item m="1" x="2641"/>
        <item m="1" x="1340"/>
        <item m="1" x="4057"/>
        <item m="1" x="3794"/>
        <item m="1" x="75"/>
        <item m="1" x="1718"/>
        <item m="1" x="972"/>
        <item m="1" x="3236"/>
        <item m="1" x="951"/>
        <item m="1" x="299"/>
        <item m="1" x="7491"/>
        <item m="1" x="1667"/>
        <item m="1" x="2683"/>
        <item m="1" x="2682"/>
        <item m="1" x="1026"/>
        <item m="1" x="1694"/>
        <item m="1" x="2428"/>
        <item m="1" x="399"/>
        <item m="1" x="986"/>
        <item m="1" x="4010"/>
        <item m="1" x="6955"/>
        <item m="1" x="1387"/>
        <item m="1" x="2162"/>
        <item m="1" x="1052"/>
        <item m="1" x="110"/>
        <item m="1" x="7004"/>
        <item m="1" x="130"/>
        <item m="1" x="2642"/>
        <item m="1" x="1438"/>
        <item m="1" x="2665"/>
        <item m="1" x="443"/>
        <item m="1" x="7540"/>
        <item m="1" x="4045"/>
        <item m="1" x="2206"/>
        <item m="1" x="4598"/>
        <item m="1" x="7146"/>
        <item m="1" x="6130"/>
        <item m="1" x="7525"/>
        <item m="1" x="5742"/>
        <item m="1" x="5811"/>
        <item m="1" x="6553"/>
        <item m="1" x="1841"/>
        <item m="1" x="3517"/>
        <item m="1" x="5870"/>
        <item m="1" x="2643"/>
        <item m="1" x="4486"/>
        <item m="1" x="2801"/>
        <item m="1" x="5658"/>
        <item m="1" x="6104"/>
        <item m="1" x="1866"/>
        <item m="1" x="5364"/>
        <item m="1" x="6189"/>
        <item m="1" x="6220"/>
        <item m="1" x="7645"/>
        <item m="1" x="1768"/>
        <item m="1" x="1133"/>
        <item m="1" x="5786"/>
        <item m="1" x="4796"/>
        <item m="1" x="3696"/>
        <item m="1" x="4580"/>
        <item m="1" x="2849"/>
        <item m="1" x="4194"/>
        <item m="1" x="732"/>
        <item m="1" x="2205"/>
        <item m="1" x="5871"/>
        <item m="1" x="7221"/>
        <item m="1" x="6222"/>
        <item m="1" x="6613"/>
        <item m="1" x="7700"/>
        <item m="1" x="3913"/>
        <item m="1" x="5135"/>
        <item m="1" x="4530"/>
        <item m="1" x="6157"/>
        <item m="1" x="7569"/>
        <item m="1" x="2644"/>
        <item m="1" x="3788"/>
        <item m="1" x="4832"/>
        <item m="1" x="4889"/>
        <item m="1" x="5907"/>
        <item m="1" x="4972"/>
        <item m="1" x="4871"/>
        <item m="1" x="5872"/>
        <item m="1" x="5156"/>
        <item m="1" x="7685"/>
        <item m="1" x="3940"/>
        <item m="1" x="4833"/>
        <item m="1" x="5854"/>
        <item m="1" x="6598"/>
        <item m="1" x="1865"/>
        <item m="1" x="3512"/>
        <item m="1" x="6872"/>
        <item m="1" x="6644"/>
        <item m="1" x="5525"/>
        <item m="1" x="3871"/>
        <item m="1" x="1905"/>
        <item m="1" x="2684"/>
        <item m="1" x="1964"/>
        <item m="1" x="2772"/>
        <item m="1" x="4872"/>
        <item m="1" x="5526"/>
        <item m="1" x="6239"/>
        <item m="1" x="6260"/>
        <item m="1" x="5915"/>
        <item m="1" x="6681"/>
        <item m="1" x="5207"/>
        <item m="1" x="6305"/>
        <item m="1" x="6324"/>
        <item m="1" x="4262"/>
        <item m="1" x="2242"/>
        <item m="1" x="4668"/>
        <item m="1" x="6404"/>
        <item m="1" x="6936"/>
        <item m="1" x="1989"/>
        <item m="1" x="2850"/>
        <item m="1" x="3914"/>
        <item m="1" x="4932"/>
        <item m="1" x="4957"/>
        <item m="1" x="5916"/>
        <item m="1" x="5607"/>
        <item m="1" x="6645"/>
        <item m="1" x="2007"/>
        <item m="1" x="367"/>
        <item m="1" x="2826"/>
        <item m="1" x="6041"/>
        <item m="1" x="6373"/>
        <item m="1" x="5254"/>
        <item m="1" x="6701"/>
        <item m="1" x="7609"/>
        <item m="1" x="7714"/>
        <item m="1" x="3569"/>
        <item m="1" x="6350"/>
        <item m="1" x="4702"/>
        <item m="1" x="4933"/>
        <item m="1" x="6221"/>
        <item m="1" x="6280"/>
        <item m="1" x="6091"/>
        <item m="1" x="1759"/>
        <item m="1" x="2475"/>
        <item m="1" x="3725"/>
        <item m="1" x="1786"/>
        <item m="1" x="3390"/>
        <item m="1" x="6143"/>
        <item m="1" x="7796"/>
        <item m="1" x="6208"/>
        <item m="1" x="7980"/>
        <item m="1" x="3754"/>
        <item m="1" x="704"/>
        <item m="1" x="6304"/>
        <item m="1" x="1904"/>
        <item m="1" x="123"/>
        <item m="1" x="2221"/>
        <item m="1" x="6250"/>
        <item m="1" x="1041"/>
        <item m="1" x="913"/>
        <item m="1" x="4478"/>
        <item m="1" x="2298"/>
        <item m="1" x="70"/>
        <item m="1" x="3776"/>
        <item m="1" x="2199"/>
        <item m="1" x="4783"/>
        <item m="1" x="4324"/>
        <item m="1" x="1858"/>
        <item m="1" x="2654"/>
        <item m="1" x="3012"/>
        <item m="1" x="3844"/>
        <item m="1" x="393"/>
        <item m="1" x="438"/>
        <item m="1" x="2884"/>
        <item m="1" x="751"/>
        <item m="1" x="1787"/>
        <item m="1" x="6261"/>
        <item m="1" x="6470"/>
        <item m="1" x="7650"/>
        <item m="1" x="4429"/>
        <item m="1" x="3467"/>
        <item m="1" x="7797"/>
        <item m="1" x="3029"/>
        <item m="1" x="460"/>
        <item m="1" x="6290"/>
        <item m="1" x="4362"/>
        <item m="1" x="990"/>
        <item m="1" x="4559"/>
        <item m="1" x="2607"/>
        <item m="1" x="2677"/>
        <item m="1" x="459"/>
        <item m="1" x="478"/>
        <item m="1" x="2606"/>
        <item m="1" x="2258"/>
        <item m="1" x="3391"/>
        <item m="1" x="1027"/>
        <item m="1" x="4641"/>
        <item m="1" x="2633"/>
        <item m="1" x="7798"/>
        <item m="1" x="2257"/>
        <item m="1" x="4718"/>
        <item m="1" x="3845"/>
        <item m="1" x="1938"/>
        <item m="1" x="2655"/>
        <item m="1" x="3904"/>
        <item m="1" x="4939"/>
        <item m="1" x="3982"/>
        <item m="1" x="4560"/>
        <item m="1" x="2358"/>
        <item m="1" x="7602"/>
        <item m="1" x="3116"/>
        <item m="1" x="492"/>
        <item m="1" x="273"/>
        <item m="1" x="3998"/>
        <item m="1" x="7424"/>
        <item m="1" x="6570"/>
        <item m="1" x="1535"/>
        <item m="1" x="7584"/>
        <item m="1" x="439"/>
        <item m="1" x="2922"/>
        <item m="1" x="826"/>
        <item m="1" x="7470"/>
        <item m="1" x="1828"/>
        <item m="1" x="870"/>
        <item m="1" x="7718"/>
        <item m="1" x="4541"/>
        <item m="1" x="1173"/>
        <item m="1" x="7911"/>
        <item m="1" x="4859"/>
        <item m="1" x="3468"/>
        <item m="1" x="1215"/>
        <item m="1" x="6491"/>
        <item m="1" x="1513"/>
        <item m="1" x="1913"/>
        <item m="1" x="2793"/>
        <item m="1" x="1216"/>
        <item m="1" x="4597"/>
        <item m="1" x="7388"/>
        <item m="1" x="7507"/>
        <item m="1" x="7368"/>
        <item m="1" x="1914"/>
        <item m="1" x="3905"/>
        <item m="1" x="532"/>
        <item m="1" x="7369"/>
        <item m="1" x="580"/>
        <item m="1" x="1709"/>
        <item m="1" x="7387"/>
        <item m="1" x="4571"/>
        <item m="1" x="2322"/>
        <item m="1" x="894"/>
        <item m="1" x="2321"/>
        <item m="1" x="7543"/>
        <item m="1" x="5878"/>
        <item m="1" x="7406"/>
        <item m="1" x="3167"/>
        <item m="1" x="2422"/>
        <item m="1" x="5196"/>
        <item m="1" x="7423"/>
        <item m="1" x="1636"/>
        <item m="1" x="4901"/>
        <item m="1" x="5239"/>
        <item m="1" x="5960"/>
        <item m="1" x="3988"/>
        <item m="1" x="5595"/>
        <item m="1" x="6265"/>
        <item m="1" x="6686"/>
        <item m="1" x="3071"/>
        <item m="1" x="5942"/>
        <item m="1" x="6943"/>
        <item m="1" x="6668"/>
        <item m="1" x="6377"/>
        <item m="1" x="5923"/>
        <item m="1" x="6047"/>
        <item m="1" x="5614"/>
        <item m="1" x="2476"/>
        <item m="1" x="4264"/>
        <item m="1" x="3629"/>
        <item m="1" x="6737"/>
        <item m="1" x="1760"/>
        <item m="1" x="5264"/>
        <item m="1" x="6333"/>
        <item m="1" x="7573"/>
        <item m="1" x="4616"/>
        <item m="1" x="6026"/>
        <item m="1" x="7013"/>
        <item m="1" x="4367"/>
        <item m="1" x="5263"/>
        <item m="1" x="6650"/>
        <item m="1" x="5300"/>
        <item m="1" x="3232"/>
        <item m="1" x="6720"/>
        <item m="1" x="3263"/>
        <item m="1" x="3630"/>
        <item m="1" x="2974"/>
        <item m="1" x="7615"/>
        <item m="1" x="5924"/>
        <item m="1" x="7360"/>
        <item m="1" x="80"/>
        <item m="1" x="1192"/>
        <item m="1" x="5422"/>
        <item m="1" x="7042"/>
        <item m="1" x="4005"/>
        <item m="1" x="6738"/>
        <item m="1" x="2761"/>
        <item m="1" x="6687"/>
        <item m="1" x="7043"/>
        <item m="1" x="4769"/>
        <item m="1" x="4308"/>
        <item m="1" x="2508"/>
        <item m="1" x="4750"/>
        <item m="1" x="6774"/>
        <item m="1" x="5382"/>
        <item m="1" x="6073"/>
        <item m="1" x="6095"/>
        <item m="1" x="5383"/>
        <item m="1" x="4088"/>
        <item m="1" x="2543"/>
        <item m="1" x="4652"/>
        <item m="1" x="6096"/>
        <item m="1" x="6719"/>
        <item m="1" x="5403"/>
        <item m="1" x="2542"/>
        <item m="1" x="3680"/>
        <item m="1" x="4770"/>
        <item m="1" x="4408"/>
        <item m="1" x="6210"/>
        <item m="1" x="7349"/>
        <item m="1" x="4430"/>
        <item m="1" x="4636"/>
        <item m="1" x="6796"/>
        <item m="1" x="5063"/>
        <item m="1" x="6294"/>
        <item m="1" x="4135"/>
        <item m="1" x="5420"/>
        <item m="1" x="6474"/>
        <item m="1" x="5447"/>
        <item m="1" x="6177"/>
        <item m="1" x="5706"/>
        <item m="1" x="4064"/>
        <item m="1" x="5354"/>
        <item m="1" x="6048"/>
        <item m="1" x="5351"/>
        <item m="1" x="3807"/>
        <item m="1" x="5384"/>
        <item m="1" x="3392"/>
        <item m="1" x="6589"/>
        <item m="1" x="4694"/>
        <item m="1" x="5131"/>
        <item m="1" x="4706"/>
        <item m="1" x="4787"/>
        <item m="1" x="6211"/>
        <item m="1" x="6833"/>
        <item m="1" x="7846"/>
        <item m="1" x="921"/>
        <item m="1" x="3076"/>
        <item m="1" x="4215"/>
        <item m="1" x="6034"/>
        <item m="1" x="2359"/>
        <item m="1" x="5446"/>
        <item m="1" x="6027"/>
        <item m="1" x="2608"/>
        <item m="1" x="215"/>
        <item m="1" x="2267"/>
        <item m="1" x="153"/>
        <item m="1" x="831"/>
        <item m="1" x="258"/>
        <item m="1" x="1224"/>
        <item m="1" x="978"/>
        <item m="1" x="3097"/>
        <item m="1" x="7344"/>
        <item m="1" x="5149"/>
        <item m="1" x="1266"/>
        <item m="1" x="1631"/>
        <item m="1" x="4581"/>
        <item m="1" x="1564"/>
        <item m="1" x="4606"/>
        <item m="1" x="959"/>
        <item m="1" x="7716"/>
        <item m="1" x="6574"/>
        <item m="1" x="2299"/>
        <item m="1" x="7372"/>
        <item m="1" x="3118"/>
        <item m="1" x="259"/>
        <item m="1" x="4725"/>
        <item m="1" x="2437"/>
        <item m="1" x="5255"/>
        <item m="1" x="4630"/>
        <item m="1" x="5225"/>
        <item m="1" x="2360"/>
        <item m="1" x="195"/>
        <item m="1" x="2361"/>
        <item m="1" x="2701"/>
        <item m="1" x="1291"/>
        <item m="1" x="3622"/>
        <item m="1" x="7628"/>
        <item m="1" x="2802"/>
        <item m="1" x="3915"/>
        <item m="1" x="1701"/>
        <item m="1" x="2388"/>
        <item m="1" x="3570"/>
        <item m="1" x="3180"/>
        <item m="1" x="4299"/>
        <item m="1" x="3145"/>
        <item m="1" x="979"/>
        <item m="1" x="7373"/>
        <item m="1" x="7996"/>
        <item m="1" x="1632"/>
        <item m="1" x="7749"/>
        <item m="1" x="2827"/>
        <item m="1" x="3801"/>
        <item m="1" x="6081"/>
        <item m="1" x="2467"/>
        <item m="1" x="7704"/>
        <item m="1" x="5491"/>
        <item m="1" x="6074"/>
        <item m="1" x="2656"/>
        <item m="1" x="672"/>
        <item m="1" x="2024"/>
        <item m="1" x="1702"/>
        <item m="1" x="371"/>
        <item m="1" x="2049"/>
        <item m="1" x="7763"/>
        <item m="1" x="922"/>
        <item m="1" x="2529"/>
        <item m="1" x="4688"/>
        <item m="1" x="3287"/>
        <item m="1" x="4422"/>
        <item m="1" x="2564"/>
        <item m="1" x="4703"/>
        <item m="1" x="348"/>
        <item m="1" x="7997"/>
        <item m="1" x="2750"/>
        <item m="1" x="5274"/>
        <item m="1" x="4016"/>
        <item m="1" x="4669"/>
        <item m="1" x="3250"/>
        <item m="1" x="7454"/>
        <item m="1" x="2530"/>
        <item m="1" x="404"/>
        <item m="1" x="1368"/>
        <item m="1" x="4035"/>
        <item m="1" x="421"/>
        <item m="1" x="136"/>
        <item m="1" x="975"/>
        <item m="1" x="6606"/>
        <item m="1" x="2095"/>
        <item m="1" x="4682"/>
        <item m="1" x="5343"/>
        <item m="1" x="1079"/>
        <item m="1" x="2531"/>
        <item m="1" x="3288"/>
        <item m="1" x="7733"/>
        <item m="1" x="673"/>
        <item m="1" x="1752"/>
        <item m="1" x="2468"/>
        <item m="1" x="6318"/>
        <item m="1" x="3251"/>
        <item m="1" x="3311"/>
        <item m="1" x="7791"/>
        <item m="1" x="3770"/>
        <item m="1" x="2565"/>
        <item m="1" x="4449"/>
        <item m="1" x="5332"/>
        <item m="1" x="5774"/>
        <item m="1" x="99"/>
        <item m="1" x="1014"/>
        <item m="1" x="5993"/>
        <item m="1" x="2868"/>
        <item m="1" x="4060"/>
        <item m="1" x="4756"/>
        <item m="1" x="2627"/>
        <item m="1" x="5373"/>
        <item m="1" x="5743"/>
        <item m="1" x="6387"/>
        <item m="1" x="4487"/>
        <item m="1" x="4768"/>
        <item m="1" x="3410"/>
        <item m="1" x="1439"/>
        <item m="1" x="6780"/>
        <item m="1" x="7585"/>
        <item m="1" x="1463"/>
        <item m="1" x="7117"/>
        <item m="1" x="3351"/>
        <item m="1" x="4148"/>
        <item m="1" x="5051"/>
        <item m="1" x="5673"/>
        <item m="1" x="3760"/>
        <item m="1" x="5812"/>
        <item m="1" x="6523"/>
        <item m="1" x="6105"/>
        <item m="1" x="6457"/>
        <item m="1" x="5873"/>
        <item m="1" x="2181"/>
        <item m="1" x="3587"/>
        <item m="1" x="6131"/>
        <item m="1" x="1876"/>
        <item m="1" x="5536"/>
        <item m="1" x="6120"/>
        <item m="1" x="4814"/>
        <item m="1" x="5431"/>
        <item m="1" x="6132"/>
        <item m="1" x="4531"/>
        <item m="1" x="4834"/>
        <item m="1" x="2553"/>
        <item m="1" x="3036"/>
        <item m="1" x="6554"/>
        <item m="1" x="2207"/>
        <item m="1" x="7603"/>
        <item m="1" x="4121"/>
        <item m="1" x="5917"/>
        <item m="1" x="6819"/>
        <item m="1" x="7147"/>
        <item m="1" x="5834"/>
        <item m="1" x="4690"/>
        <item m="1" x="6476"/>
        <item m="1" x="5407"/>
        <item m="1" x="3423"/>
        <item m="1" x="7197"/>
        <item m="1" x="4835"/>
        <item m="1" x="5476"/>
        <item m="1" x="4607"/>
        <item m="1" x="5459"/>
        <item m="1" x="5173"/>
        <item m="1" x="3402"/>
        <item m="1" x="4488"/>
        <item m="1" x="4172"/>
        <item m="1" x="5477"/>
        <item m="1" x="6477"/>
        <item m="1" x="6190"/>
        <item m="1" x="2243"/>
        <item m="1" x="3424"/>
        <item m="1" x="2432"/>
        <item m="1" x="6641"/>
        <item m="1" x="7623"/>
        <item m="1" x="5157"/>
        <item m="1" x="7646"/>
        <item m="1" x="2645"/>
        <item m="1" x="2224"/>
        <item m="1" x="6499"/>
        <item m="1" x="7173"/>
        <item m="1" x="7855"/>
        <item m="1" x="4149"/>
        <item m="1" x="6306"/>
        <item m="1" x="1519"/>
        <item m="1" x="4507"/>
        <item m="1" x="3887"/>
        <item m="1" x="4196"/>
        <item m="1" x="6351"/>
        <item m="1" x="7666"/>
        <item m="1" x="1539"/>
        <item m="1" x="6627"/>
        <item m="1" x="3479"/>
        <item m="1" x="5158"/>
        <item m="1" x="2666"/>
        <item m="1" x="5894"/>
        <item m="1" x="5787"/>
        <item m="1" x="4848"/>
        <item m="1" x="5918"/>
        <item m="1" x="3146"/>
        <item m="1" x="5232"/>
        <item m="1" x="1578"/>
        <item m="1" x="5976"/>
        <item m="1" x="4195"/>
        <item m="1" x="2329"/>
        <item m="1" x="4346"/>
        <item m="1" x="6176"/>
        <item m="1" x="1778"/>
        <item m="1" x="3964"/>
        <item m="1" x="4934"/>
        <item m="1" x="5565"/>
        <item m="1" x="6614"/>
        <item m="1" x="4648"/>
        <item m="1" x="5586"/>
        <item m="1" x="6281"/>
        <item m="1" x="2734"/>
        <item m="1" x="4547"/>
        <item m="1" x="3941"/>
        <item m="1" x="5544"/>
        <item m="1" x="7715"/>
        <item m="1" x="4917"/>
        <item m="1" x="5233"/>
        <item m="1" x="5376"/>
        <item m="1" x="5919"/>
        <item m="1" x="3965"/>
        <item m="1" x="6307"/>
        <item m="1" x="4608"/>
        <item m="1" x="5956"/>
        <item m="1" x="4277"/>
        <item m="1" x="4918"/>
        <item m="1" x="5208"/>
        <item m="1" x="4582"/>
        <item m="1" x="3984"/>
        <item m="1" x="5895"/>
        <item m="1" x="4958"/>
        <item m="1" x="5587"/>
        <item m="1" x="6546"/>
        <item m="1" x="4890"/>
        <item m="1" x="4015"/>
        <item m="1" x="5088"/>
        <item m="1" x="2498"/>
        <item m="1" x="7744"/>
        <item m="1" x="3571"/>
        <item m="1" x="6661"/>
        <item m="1" x="6662"/>
        <item m="1" x="7222"/>
        <item m="1" x="7892"/>
        <item m="1" x="4238"/>
        <item m="1" x="1703"/>
        <item m="1" x="2953"/>
        <item m="1" x="1735"/>
        <item m="1" x="332"/>
        <item m="1" x="4111"/>
        <item m="1" x="7023"/>
        <item m="1" x="7350"/>
        <item m="1" x="752"/>
        <item m="1" x="7460"/>
        <item m="1" x="7783"/>
        <item m="1" x="5030"/>
        <item m="1" x="2572"/>
        <item m="1" x="4409"/>
        <item m="1" x="2175"/>
        <item m="1" x="7482"/>
        <item m="1" x="4722"/>
        <item m="1" x="4089"/>
        <item m="1" x="4276"/>
        <item m="1" x="2566"/>
        <item m="1" x="5048"/>
        <item m="1" x="7516"/>
        <item m="1" x="6232"/>
        <item m="1" x="7955"/>
        <item m="1" x="4973"/>
        <item m="1" x="780"/>
        <item m="1" x="2156"/>
        <item m="1" x="4112"/>
        <item m="1" x="3417"/>
        <item m="1" x="349"/>
        <item m="1" x="2773"/>
        <item m="1" x="3393"/>
        <item m="1" x="5082"/>
        <item m="1" x="4133"/>
        <item m="1" x="1457"/>
        <item m="1" x="2573"/>
        <item m="1" x="105"/>
        <item m="1" x="4136"/>
        <item m="1" x="2259"/>
        <item m="1" x="1088"/>
        <item m="1" x="1549"/>
        <item m="1" x="124"/>
        <item m="1" x="5329"/>
        <item m="1" x="227"/>
        <item m="1" x="4325"/>
        <item m="1" x="424"/>
        <item m="1" x="7515"/>
        <item m="1" x="1042"/>
        <item m="1" x="1087"/>
        <item m="1" x="2609"/>
        <item m="1" x="3394"/>
        <item m="1" x="781"/>
        <item m="1" x="7604"/>
        <item m="1" x="728"/>
        <item m="1" x="511"/>
        <item m="1" x="7049"/>
        <item m="1" x="7931"/>
        <item m="1" x="7829"/>
        <item m="1" x="2176"/>
        <item m="1" x="3469"/>
        <item m="1" x="1625"/>
        <item m="1" x="1458"/>
        <item m="1" x="7605"/>
        <item m="1" x="782"/>
        <item m="1" x="3443"/>
        <item m="1" x="7148"/>
        <item m="1" x="157"/>
        <item m="1" x="2721"/>
        <item m="1" x="2260"/>
        <item m="1" x="4502"/>
        <item m="1" x="2722"/>
        <item m="1" x="850"/>
        <item m="1" x="1881"/>
        <item m="1" x="209"/>
        <item m="1" x="3470"/>
        <item m="1" x="4363"/>
        <item m="1" x="1724"/>
        <item m="1" x="6271"/>
        <item m="1" x="1910"/>
        <item m="1" x="1305"/>
        <item m="1" x="2129"/>
        <item m="1" x="4233"/>
        <item m="1" x="253"/>
        <item m="1" x="2698"/>
        <item m="1" x="7647"/>
        <item m="1" x="5168"/>
        <item m="1" x="3846"/>
        <item m="1" x="7586"/>
        <item m="1" x="2323"/>
        <item m="1" x="3503"/>
        <item m="1" x="895"/>
        <item m="1" x="2461"/>
        <item m="1" x="3094"/>
        <item m="1" x="7606"/>
        <item m="1" x="4561"/>
        <item m="1" x="7686"/>
        <item m="1" x="7912"/>
        <item m="1" x="5396"/>
        <item m="1" x="1218"/>
        <item m="1" x="1934"/>
        <item m="1" x="851"/>
        <item m="1" x="1935"/>
        <item m="1" x="1915"/>
        <item m="1" x="4542"/>
        <item m="1" x="3471"/>
        <item m="1" x="7667"/>
        <item m="1" x="3504"/>
        <item m="1" x="7957"/>
        <item m="1" x="4402"/>
        <item m="1" x="2762"/>
        <item m="1" x="191"/>
        <item m="1" x="7223"/>
        <item m="1" x="1217"/>
        <item m="1" x="1916"/>
        <item m="1" x="3072"/>
        <item m="1" x="914"/>
        <item m="1" x="6515"/>
        <item m="1" x="4878"/>
        <item m="1" x="3615"/>
        <item m="1" x="5204"/>
        <item m="1" x="2309"/>
        <item m="1" x="4224"/>
        <item m="1" x="4543"/>
        <item m="1" x="5925"/>
        <item m="1" x="3578"/>
        <item m="1" x="4309"/>
        <item m="1" x="5567"/>
        <item m="1" x="5550"/>
        <item m="1" x="4318"/>
        <item m="1" x="1992"/>
        <item m="1" x="7745"/>
        <item m="1" x="6267"/>
        <item m="1" x="5568"/>
        <item m="1" x="4349"/>
        <item m="1" x="4898"/>
        <item m="1" x="4920"/>
        <item m="1" x="7014"/>
        <item m="1" x="3631"/>
        <item m="1" x="4450"/>
        <item m="1" x="6316"/>
        <item m="1" x="1951"/>
        <item m="1" x="5987"/>
        <item m="1" x="2869"/>
        <item m="1" x="4921"/>
        <item m="1" x="3923"/>
        <item m="1" x="1300"/>
        <item m="1" x="5569"/>
        <item m="1" x="6356"/>
        <item m="1" x="4225"/>
        <item m="1" x="6285"/>
        <item m="1" x="6384"/>
        <item m="1" x="5596"/>
        <item m="1" x="3942"/>
        <item m="1" x="7455"/>
        <item m="1" x="3579"/>
        <item m="1" x="6412"/>
        <item m="1" x="4333"/>
        <item m="1" x="6266"/>
        <item m="1" x="2856"/>
        <item m="1" x="4899"/>
        <item m="1" x="4265"/>
        <item m="1" x="3681"/>
        <item m="1" x="5632"/>
        <item m="1" x="4334"/>
        <item m="1" x="2423"/>
        <item m="1" x="6402"/>
        <item m="1" x="3211"/>
        <item m="1" x="3555"/>
        <item m="1" x="6969"/>
        <item m="1" x="1275"/>
        <item m="1" x="5337"/>
        <item m="1" x="7088"/>
        <item m="1" x="5064"/>
        <item m="1" x="2030"/>
        <item m="1" x="5647"/>
        <item m="1" x="4998"/>
        <item m="1" x="4350"/>
        <item m="1" x="4431"/>
        <item m="1" x="5355"/>
        <item m="1" x="6797"/>
        <item m="1" x="4332"/>
        <item m="1" x="5265"/>
        <item m="1" x="3554"/>
        <item m="1" x="5646"/>
        <item m="1" x="4960"/>
        <item m="1" x="4726"/>
        <item m="1" x="3186"/>
        <item m="1" x="1335"/>
        <item m="1" x="3970"/>
        <item m="1" x="7089"/>
        <item m="1" x="6452"/>
        <item m="1" x="4999"/>
        <item m="1" x="5633"/>
        <item m="1" x="2130"/>
        <item m="1" x="3292"/>
        <item m="1" x="4387"/>
        <item m="1" x="2954"/>
        <item m="1" x="3606"/>
        <item m="1" x="3726"/>
        <item m="1" x="6756"/>
        <item m="1" x="7138"/>
        <item m="1" x="5736"/>
        <item m="1" x="4038"/>
        <item m="1" x="3657"/>
        <item m="1" x="5615"/>
        <item m="1" x="4458"/>
        <item m="1" x="3013"/>
        <item m="1" x="4751"/>
        <item m="1" x="2544"/>
        <item m="1" x="6365"/>
        <item m="1" x="6028"/>
        <item m="1" x="5943"/>
        <item m="1" x="2574"/>
        <item m="1" x="3727"/>
        <item m="1" x="4410"/>
        <item m="1" x="6834"/>
        <item m="1" x="6519"/>
        <item m="1" x="4285"/>
        <item m="1" x="5631"/>
        <item m="1" x="5696"/>
        <item m="1" x="149"/>
        <item m="1" x="166"/>
        <item m="1" x="3320"/>
        <item m="1" x="5031"/>
        <item m="1" x="2996"/>
        <item m="1" x="5049"/>
        <item m="1" x="3778"/>
        <item m="1" x="4771"/>
        <item m="1" x="7347"/>
        <item m="1" x="7139"/>
        <item m="1" x="3565"/>
        <item m="1" x="5712"/>
        <item m="1" x="5016"/>
        <item m="1" x="2200"/>
        <item m="1" x="7576"/>
        <item m="1" x="6357"/>
        <item m="1" x="4752"/>
        <item m="1" x="7681"/>
        <item m="1" x="1478"/>
        <item m="1" x="4459"/>
        <item m="1" x="4137"/>
        <item m="1" x="2104"/>
        <item m="1" x="2575"/>
        <item m="1" x="3346"/>
        <item m="1" x="6430"/>
        <item m="1" x="7169"/>
        <item m="1" x="6122"/>
        <item m="1" x="6413"/>
        <item m="1" x="4173"/>
        <item m="1" x="1155"/>
        <item m="1" x="3264"/>
        <item m="1" x="7395"/>
        <item m="1" x="2300"/>
        <item m="1" x="4479"/>
        <item m="1" x="1496"/>
        <item m="1" x="6453"/>
        <item m="1" x="7188"/>
        <item m="1" x="5169"/>
        <item m="1" x="7433"/>
        <item m="1" x="7015"/>
        <item m="1" x="2855"/>
        <item m="1" x="3728"/>
        <item m="1" x="5695"/>
        <item m="1" x="4503"/>
        <item m="1" x="7945"/>
        <item m="1" x="4239"/>
        <item m="1" x="2025"/>
        <item m="1" x="7673"/>
        <item m="1" x="1183"/>
        <item m="1" x="7705"/>
        <item m="1" x="6075"/>
        <item m="1" x="5015"/>
        <item m="1" x="2634"/>
        <item m="1" x="3777"/>
        <item m="1" x="4457"/>
        <item m="1" x="7958"/>
        <item m="1" x="6493"/>
        <item m="1" x="1939"/>
        <item m="1" x="2735"/>
        <item m="1" x="4216"/>
        <item m="1" x="497"/>
        <item m="1" x="3161"/>
        <item m="1" x="5670"/>
        <item m="1" x="7111"/>
        <item m="1" x="1921"/>
        <item m="1" x="3513"/>
        <item m="1" x="2362"/>
        <item m="1" x="6547"/>
        <item m="1" x="5757"/>
        <item m="1" x="2330"/>
        <item m="1" x="4935"/>
        <item m="1" x="7947"/>
        <item m="1" x="7434"/>
        <item m="1" x="7981"/>
        <item m="1" x="7435"/>
        <item m="1" x="6655"/>
        <item m="1" x="3623"/>
        <item m="1" x="1242"/>
        <item m="1" x="2363"/>
        <item m="1" x="3839"/>
        <item m="1" x="5320"/>
        <item m="1" x="7066"/>
        <item m="1" x="543"/>
        <item m="1" x="4576"/>
        <item m="1" x="564"/>
        <item m="1" x="4300"/>
        <item m="1" x="3252"/>
        <item m="1" x="5735"/>
        <item m="1" x="610"/>
        <item m="1" x="7374"/>
        <item m="1" x="1162"/>
        <item m="1" x="544"/>
        <item m="1" x="3226"/>
        <item m="1" x="2050"/>
        <item m="1" x="7412"/>
        <item m="1" x="545"/>
        <item m="1" x="1225"/>
        <item m="1" x="6970"/>
        <item m="1" x="4994"/>
        <item m="1" x="1292"/>
        <item m="1" x="980"/>
        <item m="1" x="2901"/>
        <item m="1" x="1940"/>
        <item m="1" x="2071"/>
        <item m="1" x="697"/>
        <item m="1" x="7413"/>
        <item m="1" x="1421"/>
        <item m="1" x="7477"/>
        <item m="1" x="674"/>
        <item m="1" x="2885"/>
        <item m="1" x="7962"/>
        <item m="1" x="588"/>
        <item m="1" x="4326"/>
        <item m="1" x="1314"/>
        <item m="1" x="1033"/>
        <item m="1" x="1704"/>
        <item m="1" x="3673"/>
        <item m="1" x="2469"/>
        <item m="1" x="7734"/>
        <item m="1" x="675"/>
        <item m="1" x="7948"/>
        <item m="1" x="2903"/>
        <item m="1" x="1315"/>
        <item m="1" x="100"/>
        <item m="1" x="4663"/>
        <item m="1" x="3312"/>
        <item m="1" x="1062"/>
        <item m="1" x="6121"/>
        <item m="1" x="5083"/>
        <item m="1" x="2678"/>
        <item m="1" x="5823"/>
        <item m="1" x="611"/>
        <item m="1" x="7982"/>
        <item m="1" x="2051"/>
        <item m="1" x="1080"/>
        <item m="1" x="676"/>
        <item m="1" x="2923"/>
        <item m="1" x="119"/>
        <item m="1" x="5711"/>
        <item m="1" x="3719"/>
        <item m="1" x="1422"/>
        <item m="1" x="2532"/>
        <item m="1" x="2902"/>
        <item m="1" x="5802"/>
        <item m="1" x="7478"/>
        <item m="1" x="2236"/>
        <item m="1" x="7531"/>
        <item m="1" x="1369"/>
        <item m="1" x="2193"/>
        <item m="1" x="4974"/>
        <item m="1" x="4435"/>
        <item m="1" x="1449"/>
        <item m="1" x="7110"/>
        <item m="1" x="1347"/>
        <item m="1" x="720"/>
        <item m="1" x="7998"/>
        <item m="1" x="3363"/>
        <item m="1" x="2072"/>
        <item m="1" x="2946"/>
        <item m="1" x="5779"/>
        <item m="1" x="1779"/>
        <item m="1" x="4423"/>
        <item m="1" x="388"/>
        <item m="1" x="2567"/>
        <item m="1" x="3341"/>
        <item m="1" x="5077"/>
        <item m="1" x="649"/>
        <item m="1" x="6191"/>
        <item m="1" x="5432"/>
        <item m="1" x="7149"/>
        <item m="1" x="2981"/>
        <item m="1" x="3761"/>
        <item m="1" x="4815"/>
        <item m="1" x="5760"/>
        <item m="1" x="6500"/>
        <item m="1" x="6839"/>
        <item m="1" x="1753"/>
        <item m="1" x="3411"/>
        <item m="1" x="3789"/>
        <item m="1" x="5113"/>
        <item m="1" x="6524"/>
        <item m="1" x="2723"/>
        <item m="1" x="5389"/>
        <item m="1" x="4122"/>
        <item m="1" x="4278"/>
        <item m="1" x="7474"/>
        <item m="1" x="5499"/>
        <item m="1" x="6895"/>
        <item m="1" x="5136"/>
        <item m="1" x="6555"/>
        <item m="1" x="5756"/>
        <item m="1" x="3461"/>
        <item m="1" x="5848"/>
        <item m="1" x="4327"/>
        <item m="1" x="3037"/>
        <item m="1" x="4567"/>
        <item m="1" x="5012"/>
        <item m="1" x="4873"/>
        <item m="1" x="5835"/>
        <item m="1" x="7168"/>
        <item m="1" x="6840"/>
        <item m="1" x="3828"/>
        <item m="1" x="5829"/>
        <item m="1" x="4150"/>
        <item m="1" x="5512"/>
        <item m="1" x="4217"/>
        <item m="1" x="6937"/>
        <item m="1" x="5478"/>
        <item m="1" x="6852"/>
        <item m="1" x="6556"/>
        <item m="1" x="7224"/>
        <item m="1" x="4836"/>
        <item m="1" x="6133"/>
        <item m="1" x="5855"/>
        <item m="1" x="5500"/>
        <item m="1" x="7370"/>
        <item m="1" x="3059"/>
        <item m="1" x="4174"/>
        <item m="1" x="6914"/>
        <item m="1" x="2244"/>
        <item m="1" x="5501"/>
        <item m="1" x="5190"/>
        <item m="1" x="5813"/>
        <item m="1" x="1854"/>
        <item m="1" x="5896"/>
        <item m="1" x="6938"/>
        <item m="1" x="7336"/>
        <item m="1" x="5935"/>
        <item m="1" x="7006"/>
        <item m="1" x="7338"/>
        <item m="1" x="2268"/>
        <item m="1" x="3452"/>
        <item m="1" x="3888"/>
        <item m="1" x="5256"/>
        <item m="1" x="5566"/>
        <item m="1" x="4891"/>
        <item m="1" x="4919"/>
        <item m="1" x="3916"/>
        <item m="1" x="3204"/>
        <item m="1" x="5801"/>
        <item m="1" x="3425"/>
        <item m="1" x="6873"/>
        <item m="1" x="4609"/>
        <item m="1" x="6983"/>
        <item m="1" x="5042"/>
        <item m="1" x="5527"/>
        <item m="1" x="4975"/>
        <item m="1" x="5977"/>
        <item m="1" x="5688"/>
        <item m="1" x="3985"/>
        <item m="1" x="2499"/>
        <item m="1" x="4670"/>
        <item m="1" x="5609"/>
        <item m="1" x="6926"/>
        <item m="1" x="7451"/>
        <item m="1" x="6965"/>
        <item m="1" x="7438"/>
        <item m="1" x="637"/>
        <item m="1" x="1895"/>
        <item m="1" x="168"/>
        <item m="1" x="7784"/>
        <item m="1" x="4218"/>
        <item m="1" x="4090"/>
        <item m="1" x="7498"/>
        <item m="1" x="992"/>
        <item m="1" x="705"/>
        <item m="1" x="356"/>
        <item m="1" x="3293"/>
        <item m="1" x="7024"/>
        <item m="1" x="245"/>
        <item m="1" x="7035"/>
        <item m="1" x="7819"/>
        <item m="1" x="2331"/>
        <item m="1" x="3514"/>
        <item m="1" x="1432"/>
        <item m="1" x="1089"/>
        <item m="1" x="7517"/>
        <item m="1" x="3321"/>
        <item m="1" x="1110"/>
        <item m="1" x="1681"/>
        <item m="1" x="377"/>
        <item m="1" x="314"/>
        <item m="1" x="5847"/>
        <item m="1" x="7844"/>
        <item m="1" x="729"/>
        <item m="1" x="2477"/>
        <item m="1" x="1829"/>
        <item m="1" x="1810"/>
        <item m="1" x="4065"/>
        <item m="1" x="228"/>
        <item m="1" x="3480"/>
        <item m="1" x="1830"/>
        <item m="1" x="3014"/>
        <item m="1" x="7874"/>
        <item m="1" x="2576"/>
        <item m="1" x="5076"/>
        <item m="1" x="1811"/>
        <item m="1" x="2610"/>
        <item m="1" x="5234"/>
        <item m="1" x="6022"/>
        <item m="1" x="175"/>
        <item m="1" x="7133"/>
        <item m="1" x="783"/>
        <item m="1" x="5608"/>
        <item m="1" x="7974"/>
        <item m="1" x="1111"/>
        <item m="1" x="3395"/>
        <item m="1" x="7005"/>
        <item m="1" x="1859"/>
        <item m="1" x="4113"/>
        <item m="1" x="7118"/>
        <item m="1" x="210"/>
        <item m="1" x="7587"/>
        <item m="1" x="225"/>
        <item m="1" x="827"/>
        <item m="1" x="2657"/>
        <item m="1" x="1929"/>
        <item m="1" x="1125"/>
        <item m="1" x="7970"/>
        <item m="1" x="1514"/>
        <item m="1" x="1198"/>
        <item m="1" x="1917"/>
        <item m="1" x="254"/>
        <item m="1" x="7668"/>
        <item m="1" x="211"/>
        <item m="1" x="1148"/>
        <item m="1" x="2261"/>
        <item m="1" x="3572"/>
        <item m="1" x="1149"/>
        <item m="1" x="1219"/>
        <item m="1" x="2699"/>
        <item m="1" x="7107"/>
        <item m="1" x="1999"/>
        <item m="1" x="1174"/>
        <item m="1" x="1199"/>
        <item m="1" x="2724"/>
        <item m="1" x="7234"/>
        <item m="1" x="5890"/>
        <item m="1" x="7198"/>
        <item m="1" x="1557"/>
        <item m="1" x="3472"/>
        <item m="1" x="1957"/>
        <item m="1" x="2020"/>
        <item m="1" x="270"/>
        <item m="1" x="3543"/>
        <item m="1" x="1882"/>
        <item m="1" x="255"/>
        <item m="1" x="5129"/>
        <item m="1" x="1200"/>
        <item m="1" x="5346"/>
        <item m="1" x="5687"/>
        <item m="1" x="3505"/>
        <item m="1" x="3144"/>
        <item m="1" x="7687"/>
        <item m="1" x="284"/>
        <item m="1" x="2065"/>
        <item m="1" x="2780"/>
        <item m="1" x="6066"/>
        <item m="1" x="3265"/>
        <item m="1" x="1736"/>
        <item m="1" x="479"/>
        <item m="1" x="4727"/>
        <item m="1" x="5671"/>
        <item m="1" x="6011"/>
        <item m="1" x="7016"/>
        <item m="1" x="1973"/>
        <item m="1" x="5266"/>
        <item m="1" x="1637"/>
        <item m="1" x="3580"/>
        <item m="1" x="5730"/>
        <item m="1" x="4351"/>
        <item m="1" x="4707"/>
        <item m="1" x="999"/>
        <item m="1" x="3370"/>
        <item m="1" x="2389"/>
        <item m="1" x="3624"/>
        <item m="1" x="7402"/>
        <item m="1" x="2857"/>
        <item m="1" x="5988"/>
        <item m="1" x="6704"/>
        <item m="1" x="6507"/>
        <item m="1" x="3266"/>
        <item m="1" x="7067"/>
        <item m="1" x="378"/>
        <item m="1" x="4982"/>
        <item m="1" x="3212"/>
        <item m="1" x="3473"/>
        <item m="1" x="2122"/>
        <item m="1" x="2442"/>
        <item m="1" x="2509"/>
        <item m="1" x="3971"/>
        <item m="1" x="4677"/>
        <item m="1" x="3707"/>
        <item m="1" x="5989"/>
        <item m="1" x="3682"/>
        <item m="1" x="3599"/>
        <item m="1" x="4695"/>
        <item m="1" x="5697"/>
        <item m="1" x="6775"/>
        <item m="1" x="1043"/>
        <item m="1" x="1788"/>
        <item m="1" x="4708"/>
        <item m="1" x="6049"/>
        <item m="1" x="6097"/>
        <item m="1" x="7112"/>
        <item m="1" x="6115"/>
        <item m="1" x="1710"/>
        <item m="1" x="7090"/>
        <item m="1" x="5050"/>
        <item m="1" x="1067"/>
        <item m="1" x="4728"/>
        <item m="1" x="5356"/>
        <item m="1" x="7315"/>
        <item m="1" x="425"/>
        <item m="1" x="6845"/>
        <item m="1" x="5052"/>
        <item m="1" x="6494"/>
        <item m="1" x="6076"/>
        <item m="1" x="1812"/>
        <item m="1" x="6865"/>
        <item m="1" x="5313"/>
        <item m="1" x="2931"/>
        <item m="1" x="2016"/>
        <item m="1" x="5713"/>
        <item m="1" x="2105"/>
        <item m="1" x="5780"/>
        <item m="1" x="4729"/>
        <item m="1" x="7170"/>
        <item m="1" x="4480"/>
        <item m="1" x="6909"/>
        <item m="1" x="6098"/>
        <item m="1" x="1831"/>
        <item m="1" x="6475"/>
        <item m="1" x="6178"/>
        <item m="1" x="1126"/>
        <item m="1" x="598"/>
        <item m="1" x="2908"/>
        <item m="1" x="440"/>
        <item m="1" x="1112"/>
        <item m="1" x="3051"/>
        <item m="1" x="3396"/>
        <item m="1" x="4788"/>
        <item m="1" x="6846"/>
        <item m="1" x="6252"/>
        <item m="1" x="5511"/>
        <item m="1" x="6956"/>
        <item m="1" x="2611"/>
        <item m="1" x="4504"/>
        <item m="1" x="5448"/>
        <item m="1" x="2201"/>
        <item m="1" x="3371"/>
        <item m="1" x="3474"/>
        <item m="1" x="6887"/>
        <item m="1" x="2658"/>
        <item m="1" x="2725"/>
        <item m="1" x="3030"/>
        <item m="1" x="4860"/>
        <item m="1" x="5830"/>
        <item m="1" x="6835"/>
        <item m="1" x="5555"/>
        <item m="1" x="3253"/>
        <item m="1" x="3227"/>
        <item m="1" x="3779"/>
        <item m="1" x="1267"/>
        <item m="1" x="7792"/>
        <item m="1" x="6151"/>
        <item m="1" x="288"/>
        <item m="1" x="5132"/>
        <item m="1" x="6029"/>
        <item m="1" x="1015"/>
        <item m="1" x="2997"/>
        <item m="1" x="512"/>
        <item m="1" x="1201"/>
        <item m="1" x="7865"/>
        <item m="1" x="101"/>
        <item m="1" x="6012"/>
        <item m="1" x="6757"/>
        <item m="1" x="316"/>
        <item m="1" x="7779"/>
        <item m="1" x="4061"/>
        <item m="1" x="2125"/>
        <item m="1" x="7764"/>
        <item m="1" x="2924"/>
        <item m="1" x="6310"/>
        <item m="1" x="1802"/>
        <item m="1" x="771"/>
        <item m="1" x="4772"/>
        <item m="1" x="4544"/>
        <item m="1" x="3007"/>
        <item m="1" x="433"/>
        <item m="1" x="452"/>
        <item m="1" x="7780"/>
        <item m="1" x="1780"/>
        <item m="1" x="5365"/>
        <item m="1" x="1622"/>
        <item m="1" x="2500"/>
        <item m="1" x="1034"/>
        <item m="1" x="372"/>
        <item m="1" x="4084"/>
        <item m="1" x="6030"/>
        <item m="1" x="3313"/>
        <item m="1" x="1877"/>
        <item m="1" x="1468"/>
        <item m="1" x="453"/>
        <item m="1" x="4132"/>
        <item m="1" x="3412"/>
        <item m="1" x="6317"/>
        <item m="1" x="7735"/>
        <item m="1" x="612"/>
        <item m="1" x="1633"/>
        <item m="1" x="6106"/>
        <item m="1" x="6578"/>
        <item m="1" x="4151"/>
        <item m="1" x="1803"/>
        <item m="1" x="5856"/>
        <item m="1" x="5758"/>
        <item m="1" x="6525"/>
        <item m="1" x="4568"/>
        <item m="1" x="2667"/>
        <item m="1" x="789"/>
        <item m="1" x="6501"/>
        <item m="1" x="5788"/>
        <item m="1" x="7199"/>
        <item m="1" x="6615"/>
        <item m="1" x="557"/>
        <item m="1" x="1235"/>
        <item m="1" x="5874"/>
        <item m="1" x="6599"/>
        <item m="1" x="2479"/>
        <item m="1" x="4508"/>
        <item m="1" x="7174"/>
        <item m="1" x="4664"/>
        <item m="1" x="1868"/>
        <item m="1" x="5138"/>
        <item m="1" x="6557"/>
        <item m="1" x="5875"/>
        <item m="1" x="3078"/>
        <item m="1" x="6366"/>
        <item m="1" x="389"/>
        <item m="1" x="5137"/>
        <item m="1" x="3889"/>
        <item m="1" x="876"/>
        <item m="1" x="744"/>
        <item m="1" x="7838"/>
        <item m="1" x="7456"/>
        <item m="1" x="3810"/>
        <item m="1" x="3481"/>
        <item m="1" x="4849"/>
        <item m="1" x="5814"/>
        <item m="1" x="5528"/>
        <item m="1" x="4610"/>
        <item m="1" x="3850"/>
        <item m="1" x="5257"/>
        <item m="1" x="2685"/>
        <item m="1" x="1888"/>
        <item m="1" x="1579"/>
        <item m="1" x="3453"/>
        <item m="1" x="3049"/>
        <item m="1" x="3482"/>
        <item m="1" x="6663"/>
        <item m="1" x="2332"/>
        <item m="1" x="6629"/>
        <item m="1" x="6646"/>
        <item m="1" x="1922"/>
        <item m="1" x="3872"/>
        <item m="1" x="5876"/>
        <item m="1" x="2774"/>
        <item m="1" x="1990"/>
        <item m="1" x="3917"/>
        <item m="1" x="601"/>
        <item m="1" x="1284"/>
        <item m="1" x="3018"/>
        <item m="1" x="4583"/>
        <item m="1" x="5625"/>
        <item m="1" x="3099"/>
        <item m="1" x="6702"/>
        <item m="1" x="7309"/>
        <item m="1" x="4700"/>
        <item m="1" x="2390"/>
        <item m="1" x="6002"/>
        <item m="1" x="2803"/>
        <item m="1" x="4489"/>
        <item m="1" x="6734"/>
        <item m="1" x="6628"/>
        <item m="1" x="1887"/>
        <item m="1" x="275"/>
        <item m="1" x="5936"/>
        <item m="1" x="1965"/>
        <item m="1" x="5292"/>
        <item m="1" x="4611"/>
        <item m="1" x="3162"/>
        <item m="1" x="4219"/>
        <item m="1" x="3891"/>
        <item m="1" x="6352"/>
        <item m="1" x="960"/>
        <item m="1" x="4689"/>
        <item m="1" x="533"/>
        <item m="1" x="1348"/>
        <item m="1" x="1801"/>
        <item m="1" x="3972"/>
        <item m="1" x="1770"/>
        <item m="1" x="3130"/>
        <item m="1" x="6705"/>
        <item m="1" x="3342"/>
        <item m="1" x="1824"/>
        <item m="1" x="2990"/>
        <item m="1" x="6050"/>
        <item m="1" x="196"/>
        <item m="1" x="1842"/>
        <item m="1" x="3077"/>
        <item m="1" x="1867"/>
        <item m="1" x="4175"/>
        <item m="1" x="5978"/>
        <item m="1" x="5191"/>
        <item m="1" x="2775"/>
        <item m="1" x="6915"/>
        <item m="1" x="923"/>
        <item m="1" x="3515"/>
        <item m="1" x="1243"/>
        <item m="1" x="3890"/>
        <item m="1" x="3986"/>
        <item m="1" x="3516"/>
        <item m="1" x="1604"/>
        <item m="1" x="6325"/>
        <item m="1" x="4280"/>
        <item m="1" x="5310"/>
        <item m="1" x="6714"/>
        <item m="1" x="3163"/>
        <item m="1" x="3181"/>
        <item m="1" x="2108"/>
        <item m="1" x="1738"/>
        <item m="1" x="4671"/>
        <item m="1" x="3647"/>
        <item m="1" x="6023"/>
        <item m="1" x="4279"/>
        <item m="1" x="5209"/>
        <item m="1" x="6664"/>
        <item m="1" x="995"/>
        <item m="1" x="2026"/>
        <item m="1" x="1045"/>
        <item m="1" x="6067"/>
        <item m="1" x="7134"/>
        <item m="1" x="6024"/>
        <item m="1" x="2804"/>
        <item m="1" x="3556"/>
        <item m="1" x="4778"/>
        <item m="1" x="106"/>
        <item m="1" x="5716"/>
        <item m="1" x="4092"/>
        <item m="1" x="6116"/>
        <item m="1" x="7499"/>
        <item m="1" x="3060"/>
        <item m="1" x="2415"/>
        <item m="1" x="4301"/>
        <item m="1" x="6984"/>
        <item m="1" x="192"/>
        <item m="1" x="330"/>
        <item m="1" x="1832"/>
        <item m="1" x="3780"/>
        <item m="1" x="3147"/>
        <item m="1" x="1479"/>
        <item m="1" x="7588"/>
        <item m="1" x="411"/>
        <item m="1" x="1407"/>
        <item m="1" x="5701"/>
        <item m="1" x="5065"/>
        <item m="1" x="6751"/>
        <item m="1" x="138"/>
        <item m="1" x="6001"/>
        <item m="1" x="426"/>
        <item m="1" x="1150"/>
        <item m="1" x="7669"/>
        <item m="1" x="1883"/>
        <item m="1" x="176"/>
        <item m="1" x="5761"/>
        <item m="1" x="7425"/>
        <item m="1" x="2613"/>
        <item m="1" x="808"/>
        <item m="1" x="1536"/>
        <item m="1" x="3098"/>
        <item m="1" x="2470"/>
        <item m="1" x="2222"/>
        <item m="1" x="256"/>
        <item m="1" x="193"/>
        <item m="1" x="7728"/>
        <item m="1" x="493"/>
        <item m="1" x="7508"/>
        <item m="1" x="1236"/>
        <item m="1" x="3088"/>
        <item m="1" x="2660"/>
        <item m="1" x="513"/>
        <item m="1" x="1220"/>
        <item m="1" x="1537"/>
        <item m="1" x="852"/>
        <item m="1" x="6432"/>
        <item m="1" x="301"/>
        <item m="1" x="6790"/>
        <item m="1" x="7688"/>
        <item m="1" x="2819"/>
        <item m="1" x="3884"/>
        <item m="1" x="5836"/>
        <item m="1" x="6600"/>
        <item m="1" x="6874"/>
        <item m="1" x="6853"/>
        <item m="1" x="2289"/>
        <item m="1" x="7389"/>
        <item m="1" x="3155"/>
        <item m="1" x="991"/>
        <item m="1" x="1258"/>
        <item m="1" x="7648"/>
        <item m="1" x="3529"/>
        <item m="1" x="896"/>
        <item m="1" x="7729"/>
        <item m="1" x="581"/>
        <item m="1" x="3156"/>
        <item m="1" x="1597"/>
        <item m="1" x="7670"/>
        <item m="1" x="2000"/>
        <item m="1" x="897"/>
        <item m="1" x="558"/>
        <item m="1" x="7307"/>
        <item m="1" x="7964"/>
        <item m="1" x="3958"/>
        <item m="1" x="2533"/>
        <item m="1" x="2262"/>
        <item m="1" x="3708"/>
        <item m="1" x="5597"/>
        <item m="1" x="3632"/>
        <item m="1" x="2031"/>
        <item m="1" x="4944"/>
        <item m="1" x="4368"/>
        <item m="1" x="934"/>
        <item m="1" x="5961"/>
        <item m="1" x="2851"/>
        <item m="1" x="618"/>
        <item m="1" x="3755"/>
        <item m="1" x="6414"/>
        <item m="1" x="638"/>
        <item m="1" x="1176"/>
        <item m="1" x="3213"/>
        <item m="1" x="2807"/>
        <item m="1" x="5318"/>
        <item m="1" x="2545"/>
        <item m="1" x="6992"/>
        <item m="1" x="4460"/>
        <item m="1" x="2700"/>
        <item m="1" x="6013"/>
        <item m="1" x="6739"/>
        <item m="1" x="302"/>
        <item m="1" x="6827"/>
        <item m="1" x="3581"/>
        <item m="1" x="1336"/>
        <item m="1" x="655"/>
        <item m="1" x="5357"/>
        <item m="1" x="2978"/>
        <item m="1" x="5634"/>
        <item m="1" x="3633"/>
        <item m="1" x="1682"/>
        <item m="1" x="7017"/>
        <item m="1" x="5698"/>
        <item m="1" x="6721"/>
        <item m="1" x="2079"/>
        <item m="1" x="4983"/>
        <item m="1" x="5962"/>
        <item m="1" x="1000"/>
        <item m="1" x="5338"/>
        <item m="1" x="1711"/>
        <item m="1" x="3729"/>
        <item m="1" x="4352"/>
        <item m="1" x="2106"/>
        <item m="1" x="2478"/>
        <item m="1" x="4039"/>
        <item m="1" x="6758"/>
        <item m="1" x="107"/>
        <item m="1" x="2595"/>
        <item m="1" x="2324"/>
        <item m="1" x="5017"/>
        <item m="1" x="4388"/>
        <item m="1" x="3634"/>
        <item m="1" x="3233"/>
        <item m="1" x="3683"/>
        <item m="1" x="6077"/>
        <item m="1" x="6888"/>
        <item m="1" x="3756"/>
        <item m="1" x="3730"/>
        <item m="1" x="6759"/>
        <item m="1" x="7091"/>
        <item m="1" x="730"/>
        <item m="1" x="7312"/>
        <item m="1" x="2910"/>
        <item m="1" x="2858"/>
        <item m="1" x="2157"/>
        <item m="1" x="3781"/>
        <item m="1" x="7310"/>
        <item m="1" x="5385"/>
        <item m="1" x="4091"/>
        <item m="1" x="6861"/>
        <item m="1" x="3322"/>
        <item m="1" x="4773"/>
        <item m="1" x="1789"/>
        <item m="1" x="754"/>
        <item m="1" x="2612"/>
        <item m="1" x="3823"/>
        <item m="1" x="3573"/>
        <item m="1" x="6593"/>
        <item m="1" x="4389"/>
        <item m="1" x="6810"/>
        <item m="1" x="2239"/>
        <item m="1" x="4505"/>
        <item m="1" x="158"/>
        <item m="1" x="6123"/>
        <item m="1" x="5421"/>
        <item m="1" x="1090"/>
        <item m="1" x="2738"/>
        <item m="1" x="3808"/>
        <item m="1" x="7215"/>
        <item m="1" x="3323"/>
        <item m="1" x="3031"/>
        <item m="1" x="6520"/>
        <item m="1" x="4461"/>
        <item m="1" x="6495"/>
        <item m="1" x="6124"/>
        <item m="1" x="1221"/>
        <item m="1" x="5737"/>
        <item m="1" x="6212"/>
        <item m="1" x="6847"/>
        <item m="1" x="7216"/>
        <item m="1" x="1790"/>
        <item m="1" x="6454"/>
        <item m="1" x="7171"/>
        <item m="1" x="4545"/>
        <item m="1" x="5449"/>
        <item m="1" x="5470"/>
        <item m="1" x="4522"/>
        <item m="1" x="3782"/>
        <item m="1" x="1558"/>
        <item m="1" x="4114"/>
        <item m="1" x="4481"/>
        <item m="1" x="784"/>
        <item m="1" x="1151"/>
        <item m="1" x="5182"/>
        <item m="1" x="6213"/>
        <item m="1" x="2202"/>
        <item m="1" x="6562"/>
        <item m="1" x="5505"/>
        <item m="1" x="6848"/>
        <item m="1" x="7229"/>
        <item m="1" x="2354"/>
        <item m="1" x="2909"/>
        <item m="1" x="6625"/>
        <item m="1" x="1634"/>
        <item m="1" x="6889"/>
        <item m="1" x="2353"/>
        <item m="1" x="7914"/>
        <item m="1" x="6866"/>
        <item m="1" x="5803"/>
        <item m="1" x="3032"/>
        <item m="1" x="6225"/>
        <item m="1" x="6179"/>
        <item m="1" x="2172"/>
        <item m="1" x="5531"/>
        <item m="1" x="6180"/>
        <item m="1" x="6836"/>
        <item m="1" x="7189"/>
        <item m="1" x="6244"/>
        <item m="1" x="4261"/>
        <item m="1" x="6713"/>
        <item m="1" x="3600"/>
        <item m="1" x="5849"/>
        <item m="1" x="6254"/>
        <item m="1" x="7375"/>
        <item m="1" x="7823"/>
        <item m="1" x="4562"/>
        <item m="1" x="1244"/>
        <item m="1" x="7934"/>
        <item m="1" x="7436"/>
        <item m="1" x="3899"/>
        <item m="1" x="2177"/>
        <item m="1" x="1966"/>
        <item m="1" x="2776"/>
        <item m="1" x="613"/>
        <item m="1" x="589"/>
        <item m="1" x="3574"/>
        <item m="1" x="7983"/>
        <item m="1" x="7396"/>
        <item m="1" x="2828"/>
        <item m="1" x="2008"/>
        <item m="1" x="3601"/>
        <item m="1" x="6617"/>
        <item m="1" x="1268"/>
        <item m="1" x="7457"/>
        <item m="1" x="6900"/>
        <item m="1" x="590"/>
        <item m="1" x="2471"/>
        <item m="1" x="6253"/>
        <item m="1" x="6455"/>
        <item m="1" x="7765"/>
        <item m="1" x="6971"/>
        <item m="1" x="331"/>
        <item m="1" x="5570"/>
        <item m="1" x="1035"/>
        <item m="1" x="2852"/>
        <item m="1" x="7479"/>
        <item m="1" x="1941"/>
        <item m="1" x="1754"/>
        <item m="1" x="2501"/>
        <item m="1" x="6669"/>
        <item m="1" x="317"/>
        <item m="1" x="6651"/>
        <item m="1" x="630"/>
        <item m="1" x="2527"/>
        <item m="1" x="2955"/>
        <item m="1" x="6656"/>
        <item m="1" x="6928"/>
        <item m="1" x="2462"/>
        <item m="1" x="6944"/>
        <item m="1" x="1316"/>
        <item m="1" x="6334"/>
        <item m="1" x="5781"/>
        <item m="1" x="3648"/>
        <item m="1" x="7496"/>
        <item m="1" x="3157"/>
        <item m="1" x="7984"/>
        <item m="1" x="614"/>
        <item m="1" x="7750"/>
        <item m="1" x="1063"/>
        <item m="1" x="1755"/>
        <item m="1" x="2096"/>
        <item m="1" x="2925"/>
        <item m="1" x="745"/>
        <item m="1" x="6993"/>
        <item m="1" x="7512"/>
        <item m="1" x="1349"/>
        <item m="1" x="2052"/>
        <item m="1" x="2073"/>
        <item m="1" x="2502"/>
        <item m="1" x="1036"/>
        <item m="1" x="2926"/>
        <item m="1" x="6631"/>
        <item m="1" x="1332"/>
        <item m="1" x="120"/>
        <item m="1" x="1018"/>
        <item m="1" x="3952"/>
        <item m="1" x="88"/>
        <item m="1" x="1756"/>
        <item m="1" x="2097"/>
        <item m="1" x="7781"/>
        <item m="1" x="1371"/>
        <item m="1" x="6358"/>
        <item m="1" x="246"/>
        <item m="1" x="2074"/>
        <item m="1" x="1401"/>
        <item m="1" x="7044"/>
        <item m="1" x="102"/>
        <item m="1" x="7848"/>
        <item m="1" x="405"/>
        <item m="1" x="698"/>
        <item m="1" x="6385"/>
        <item m="1" x="2098"/>
        <item m="1" x="6295"/>
        <item m="1" x="3720"/>
        <item m="1" x="276"/>
        <item m="1" x="2975"/>
        <item m="1" x="2927"/>
        <item m="1" x="2991"/>
        <item m="1" x="6706"/>
        <item m="1" x="772"/>
        <item m="1" x="2596"/>
        <item m="1" x="1402"/>
        <item m="1" x="5672"/>
        <item m="1" x="1878"/>
        <item m="1" x="6768"/>
        <item m="1" x="7032"/>
        <item m="1" x="2526"/>
        <item m="1" x="3746"/>
        <item m="1" x="5648"/>
        <item m="1" x="1731"/>
        <item m="1" x="1423"/>
        <item m="1" x="422"/>
        <item m="1" x="3199"/>
        <item m="1" x="798"/>
        <item m="1" x="3699"/>
        <item m="1" x="2126"/>
        <item m="1" x="151"/>
        <item m="1" x="2151"/>
        <item m="1" x="1804"/>
        <item m="1" x="3944"/>
        <item m="1" x="7548"/>
        <item m="1" x="103"/>
        <item m="1" x="7810"/>
        <item m="1" x="1370"/>
        <item m="1" x="2976"/>
        <item m="1" x="677"/>
        <item m="1" x="1372"/>
        <item m="1" x="7092"/>
        <item m="1" x="1081"/>
        <item m="1" x="4850"/>
        <item m="1" x="5532"/>
        <item m="1" x="2568"/>
        <item m="1" x="4464"/>
        <item m="1" x="1482"/>
        <item m="1" x="1855"/>
        <item m="1" x="3811"/>
        <item m="1" x="1869"/>
        <item m="1" x="4777"/>
        <item m="1" x="5068"/>
        <item m="1" x="6282"/>
        <item m="1" x="6158"/>
        <item m="1" x="6526"/>
        <item m="1" x="811"/>
        <item m="1" x="6345"/>
        <item m="1" x="1483"/>
        <item m="1" x="6192"/>
        <item m="1" x="4152"/>
        <item m="1" x="3352"/>
        <item m="1" x="6854"/>
        <item m="1" x="7886"/>
        <item m="1" x="4220"/>
        <item m="1" x="161"/>
        <item m="1" x="6558"/>
        <item m="1" x="2163"/>
        <item m="1" x="3019"/>
        <item m="1" x="5789"/>
        <item m="1" x="819"/>
        <item m="1" x="5815"/>
        <item m="1" x="7877"/>
        <item m="1" x="216"/>
        <item m="1" x="832"/>
        <item m="1" x="1870"/>
        <item m="1" x="2982"/>
        <item m="1" x="3762"/>
        <item m="1" x="4465"/>
        <item m="1" x="1499"/>
        <item m="1" x="1565"/>
        <item m="1" x="180"/>
        <item m="1" x="2080"/>
        <item m="1" x="4837"/>
        <item m="1" x="5762"/>
        <item m="1" x="833"/>
        <item m="1" x="5460"/>
        <item m="1" x="3483"/>
        <item m="1" x="5790"/>
        <item m="1" x="1906"/>
        <item m="1" x="4892"/>
        <item m="1" x="7311"/>
        <item m="1" x="6580"/>
        <item m="1" x="5545"/>
        <item m="1" x="6193"/>
        <item m="1" x="5479"/>
        <item m="1" x="6326"/>
        <item m="1" x="2225"/>
        <item m="1" x="1844"/>
        <item m="1" x="3829"/>
        <item m="1" x="2586"/>
        <item m="1" x="4509"/>
        <item m="1" x="229"/>
        <item m="1" x="5529"/>
        <item m="1" x="3851"/>
        <item m="1" x="6159"/>
        <item m="1" x="4758"/>
        <item m="1" x="3745"/>
        <item m="1" x="6160"/>
        <item m="1" x="3454"/>
        <item m="1" x="3245"/>
        <item m="1" x="4281"/>
        <item m="1" x="1843"/>
        <item m="1" x="6601"/>
        <item m="1" x="1871"/>
        <item m="1" x="4532"/>
        <item m="1" x="5877"/>
        <item m="1" x="6875"/>
        <item m="1" x="4258"/>
        <item m="1" x="877"/>
        <item m="1" x="1226"/>
        <item m="1" x="4176"/>
        <item m="1" x="230"/>
        <item m="1" x="2269"/>
        <item m="1" x="4259"/>
        <item m="1" x="4851"/>
        <item m="1" x="5267"/>
        <item m="1" x="7577"/>
        <item m="1" x="4123"/>
        <item m="1" x="4936"/>
        <item m="1" x="6353"/>
        <item m="1" x="3061"/>
        <item m="1" x="1967"/>
        <item m="1" x="878"/>
        <item m="1" x="5897"/>
        <item m="1" x="2364"/>
        <item m="1" x="6528"/>
        <item m="1" x="4240"/>
        <item m="1" x="4874"/>
        <item m="1" x="6161"/>
        <item m="1" x="3455"/>
        <item m="1" x="6896"/>
        <item m="1" x="2737"/>
        <item m="1" x="1540"/>
        <item m="1" x="706"/>
        <item m="1" x="6082"/>
        <item m="1" x="6665"/>
        <item m="1" x="7281"/>
        <item m="1" x="519"/>
        <item m="1" x="6527"/>
        <item m="1" x="7915"/>
        <item m="1" x="260"/>
        <item m="1" x="4347"/>
        <item m="1" x="3119"/>
        <item m="1" x="2736"/>
        <item m="1" x="4260"/>
        <item m="1" x="7706"/>
        <item m="1" x="6405"/>
        <item m="1" x="3649"/>
        <item m="1" x="6263"/>
        <item m="1" x="902"/>
        <item m="1" x="2365"/>
        <item m="1" x="5258"/>
        <item m="1" x="5588"/>
        <item m="1" x="4631"/>
        <item m="1" x="753"/>
        <item m="1" x="7925"/>
        <item m="1" x="287"/>
        <item m="1" x="6327"/>
        <item m="1" x="6966"/>
        <item m="1" x="5937"/>
        <item m="1" x="4328"/>
        <item m="1" x="3544"/>
        <item m="1" x="7916"/>
        <item m="1" x="4302"/>
        <item m="1" x="4852"/>
        <item m="1" x="5502"/>
        <item m="1" x="4584"/>
        <item m="1" x="3966"/>
        <item m="1" x="4995"/>
        <item m="1" x="5957"/>
        <item m="1" x="4649"/>
        <item m="1" x="5235"/>
        <item m="1" x="6283"/>
        <item m="1" x="1942"/>
        <item m="1" x="4938"/>
        <item m="1" x="6682"/>
        <item m="1" x="1605"/>
        <item m="1" x="7239"/>
        <item m="1" x="3918"/>
        <item m="1" x="3120"/>
        <item m="1" x="7248"/>
        <item m="1" x="214"/>
        <item m="1" x="3079"/>
        <item m="1" x="3675"/>
        <item m="1" x="318"/>
        <item m="1" x="6967"/>
        <item m="1" x="3650"/>
        <item m="1" x="3299"/>
        <item m="1" x="5236"/>
        <item m="1" x="5958"/>
        <item m="1" x="3164"/>
        <item m="1" x="565"/>
        <item m="1" x="5626"/>
        <item m="1" x="2777"/>
        <item m="1" x="5899"/>
        <item m="1" x="2805"/>
        <item m="1" x="1317"/>
        <item m="1" x="2886"/>
        <item m="1" x="3100"/>
        <item m="1" x="591"/>
        <item m="1" x="5979"/>
        <item m="1" x="961"/>
        <item m="1" x="6691"/>
        <item m="1" x="3545"/>
        <item m="1" x="319"/>
        <item m="1" x="2829"/>
        <item m="1" x="4329"/>
        <item m="1" x="2904"/>
        <item m="1" x="6559"/>
        <item m="1" x="494"/>
        <item m="1" x="5641"/>
        <item m="1" x="4806"/>
        <item m="1" x="7618"/>
        <item m="1" x="5980"/>
        <item m="1" x="6985"/>
        <item m="1" x="7271"/>
        <item m="1" x="7050"/>
        <item m="1" x="6939"/>
        <item m="1" x="7483"/>
        <item m="1" x="6666"/>
        <item m="1" x="7356"/>
        <item m="1" x="89"/>
        <item m="1" x="7589"/>
        <item m="1" x="6579"/>
        <item m="1" x="7949"/>
        <item m="1" x="3674"/>
        <item m="1" x="6388"/>
        <item m="1" x="1044"/>
        <item m="1" x="1382"/>
        <item m="1" x="7935"/>
        <item m="1" x="3873"/>
        <item m="1" x="1373"/>
        <item m="1" x="1374"/>
        <item m="1" x="2053"/>
        <item m="1" x="4381"/>
        <item m="1" x="5312"/>
        <item m="1" x="6354"/>
        <item m="1" x="6986"/>
        <item m="1" x="5027"/>
        <item m="1" x="6004"/>
        <item m="1" x="7007"/>
        <item m="1" x="7025"/>
        <item m="1" x="7351"/>
        <item m="1" x="7830"/>
        <item m="1" x="7258"/>
        <item m="1" x="7249"/>
        <item m="1" x="6389"/>
        <item m="1" x="441"/>
        <item m="1" x="1068"/>
        <item m="1" x="7500"/>
        <item m="1" x="5210"/>
        <item m="1" x="6194"/>
        <item m="1" x="5546"/>
        <item m="1" x="5280"/>
        <item m="1" x="4348"/>
        <item m="1" x="656"/>
        <item m="1" x="7288"/>
        <item m="1" x="2956"/>
        <item m="1" x="5675"/>
        <item m="1" x="2577"/>
        <item m="1" x="7954"/>
        <item m="1" x="3747"/>
        <item m="1" x="7607"/>
        <item m="1" x="1480"/>
        <item m="1" x="901"/>
        <item m="1" x="828"/>
        <item m="1" x="4893"/>
        <item m="1" x="5547"/>
        <item m="1" x="139"/>
        <item m="1" x="461"/>
        <item m="1" x="7518"/>
        <item m="1" x="1873"/>
        <item m="1" x="1814"/>
        <item m="1" x="1433"/>
        <item m="1" x="3324"/>
        <item m="1" x="3783"/>
        <item m="1" x="7297"/>
        <item m="1" x="6478"/>
        <item m="1" x="1246"/>
        <item m="1" x="2123"/>
        <item m="1" x="7259"/>
        <item m="1" x="5174"/>
        <item m="1" x="6416"/>
        <item m="1" x="7321"/>
        <item m="1" x="7119"/>
        <item m="1" x="5674"/>
        <item m="1" x="7276"/>
        <item m="1" x="7284"/>
        <item m="1" x="7290"/>
        <item m="1" x="140"/>
        <item m="1" x="7330"/>
        <item m="1" x="7073"/>
        <item m="1" x="1813"/>
        <item m="1" x="7785"/>
        <item m="1" x="6003"/>
        <item m="1" x="7282"/>
        <item m="1" x="7289"/>
        <item m="1" x="1408"/>
        <item m="1" x="1091"/>
        <item m="1" x="177"/>
        <item m="1" x="1113"/>
        <item m="1" x="1833"/>
        <item m="1" x="7240"/>
        <item m="1" x="2794"/>
        <item m="1" x="7831"/>
        <item m="1" x="7326"/>
        <item m="1" x="7150"/>
        <item m="1" x="1350"/>
        <item m="1" x="7299"/>
        <item m="1" x="7322"/>
        <item m="1" x="7293"/>
        <item m="1" x="7252"/>
        <item m="1" x="7318"/>
        <item m="1" x="7283"/>
        <item m="1" x="5662"/>
        <item m="1" x="6374"/>
        <item m="1" x="462"/>
        <item m="1" x="1860"/>
        <item m="1" x="7893"/>
        <item m="1" x="2659"/>
        <item m="1" x="3033"/>
        <item m="1" x="514"/>
        <item m="1" x="7658"/>
        <item m="1" x="7875"/>
        <item m="1" x="7264"/>
        <item m="1" x="7241"/>
        <item m="1" x="7246"/>
        <item m="1" x="7278"/>
        <item m="1" x="463"/>
        <item m="1" x="7269"/>
        <item m="1" x="7298"/>
        <item m="1" x="7320"/>
        <item m="1" x="7272"/>
        <item m="1" x="7242"/>
        <item m="1" x="7262"/>
        <item m="1" x="7273"/>
        <item m="1" x="7250"/>
        <item m="1" x="7294"/>
        <item m="1" x="1884"/>
        <item m="1" x="178"/>
        <item m="1" x="6616"/>
        <item m="1" x="7985"/>
        <item m="1" x="1901"/>
        <item m="1" x="7270"/>
        <item m="1" x="7285"/>
        <item m="1" x="3418"/>
        <item m="1" x="7291"/>
        <item m="1" x="1175"/>
        <item m="1" x="871"/>
        <item m="1" x="3015"/>
        <item m="1" x="7296"/>
        <item m="1" x="7437"/>
        <item m="1" x="5791"/>
        <item m="1" x="7341"/>
        <item m="1" x="6529"/>
        <item m="1" x="7300"/>
        <item m="1" x="898"/>
        <item m="1" x="5705"/>
        <item m="1" x="6427"/>
        <item m="1" x="1979"/>
        <item m="1" x="5738"/>
        <item m="1" x="7275"/>
        <item m="1" x="6162"/>
        <item m="1" x="1285"/>
        <item m="1" x="1497"/>
        <item m="1" x="2726"/>
        <item m="1" x="7245"/>
        <item m="1" x="5311"/>
        <item m="1" x="7292"/>
        <item m="1" x="7303"/>
        <item m="1" x="271"/>
        <item m="1" x="4380"/>
        <item m="1" x="2081"/>
        <item m="1" x="6855"/>
        <item m="1" x="7301"/>
        <item m="1" x="7256"/>
        <item m="1" x="5816"/>
        <item m="1" x="7254"/>
        <item m="1" x="1728"/>
        <item m="1" x="7175"/>
        <item m="1" x="7266"/>
        <item m="1" x="7279"/>
        <item m="1" x="7894"/>
        <item m="1" x="1259"/>
        <item m="1" x="6262"/>
        <item m="1" x="7287"/>
        <item m="1" x="7302"/>
        <item m="1" x="5486"/>
        <item m="1" x="7286"/>
        <item m="1" x="7200"/>
        <item m="1" x="7257"/>
        <item m="1" x="4937"/>
        <item m="1" x="5589"/>
        <item m="1" x="7328"/>
        <item m="1" x="6134"/>
        <item m="1" x="194"/>
        <item m="1" x="351"/>
        <item m="1" x="5358"/>
        <item m="1" x="5192"/>
        <item m="1" x="213"/>
        <item m="1" x="7426"/>
        <item m="1" x="6876"/>
        <item m="1" x="7625"/>
        <item m="1" x="480"/>
        <item m="1" x="7876"/>
        <item m="1" x="7895"/>
        <item m="1" x="7295"/>
        <item m="1" x="7339"/>
        <item m="1" x="5503"/>
        <item m="1" x="7308"/>
        <item m="1" x="5898"/>
        <item m="1" x="829"/>
        <item m="1" x="7345"/>
        <item m="1" x="1238"/>
        <item m="1" x="1064"/>
        <item m="1" x="916"/>
        <item m="1" x="899"/>
        <item m="1" x="785"/>
        <item m="1" x="7277"/>
        <item m="1" x="212"/>
        <item m="1" x="3073"/>
        <item m="1" x="7304"/>
        <item m="1" x="7332"/>
        <item m="1" x="7624"/>
        <item m="1" x="1747"/>
        <item m="1" x="1958"/>
        <item m="1" x="2325"/>
        <item m="1" x="79"/>
        <item m="1" x="602"/>
        <item m="1" x="915"/>
        <item m="1" x="1237"/>
        <item m="1" x="6581"/>
        <item m="1" x="7305"/>
        <item m="1" x="7334"/>
        <item m="1" x="7267"/>
        <item m="1" x="272"/>
        <item m="1" x="7999"/>
        <item m="1" x="7268"/>
        <item m="1" x="7333"/>
        <item m="1" x="3795"/>
        <item m="1" x="2898"/>
        <item m="1" x="3953"/>
        <item m="1" x="5098"/>
        <item m="1" x="6109"/>
        <item m="1" x="7261"/>
        <item m="1" x="4180"/>
        <item m="1" x="4515"/>
        <item m="1" x="2578"/>
        <item m="1" x="7560"/>
        <item m="1" x="2689"/>
        <item m="1" x="3943"/>
        <item m="1" x="3742"/>
        <item m="1" x="2066"/>
        <item m="1" x="6488"/>
        <item m="1" x="717"/>
        <item m="1" x="7251"/>
        <item m="1" x="7274"/>
        <item m="1" x="2188"/>
        <item m="1" x="1817"/>
        <item m="1" x="4029"/>
        <item m="1" x="5123"/>
        <item m="1" x="141"/>
        <item m="1" x="7244"/>
        <item m="1" x="1276"/>
        <item m="1" x="501"/>
        <item m="1" x="926"/>
        <item m="1" x="3223"/>
        <item m="1" x="7260"/>
        <item m="1" x="2988"/>
        <item m="1" x="7160"/>
        <item x="0"/>
        <item m="1" x="4103"/>
        <item m="1" x="1874"/>
        <item m="1" x="6240"/>
        <item m="1" x="6456"/>
        <item m="1" x="1775"/>
        <item m="1" x="7263"/>
        <item m="1" x="7359"/>
        <item m="1" x="665"/>
        <item m="1" x="5023"/>
        <item m="1" x="7247"/>
        <item m="1" x="7253"/>
        <item m="1" x="2559"/>
        <item m="1" x="7243"/>
        <item m="1" x="7265"/>
        <item m="1" x="4496"/>
        <item m="1" x="4802"/>
        <item m="1" x="7255"/>
        <item m="1" x="4292"/>
        <item m="1" x="7209"/>
        <item m="1" x="1695"/>
        <item m="1" x="7280"/>
        <item m="1" x="6445"/>
        <item m="1" x="4495"/>
        <item m="1" x="1205"/>
        <item m="1" x="1748"/>
        <item m="1" x="3282"/>
        <item x="1"/>
        <item x="2"/>
        <item x="3"/>
        <item x="4"/>
        <item x="5"/>
        <item m="1" x="1737"/>
        <item m="1" x="4801"/>
        <item m="1" x="597"/>
        <item m="1" x="471"/>
        <item m="1" x="2781"/>
        <item m="1" x="5769"/>
        <item m="1" x="2092"/>
        <item m="1" x="1031"/>
        <item m="1" x="7230"/>
        <item x="6"/>
        <item x="7"/>
        <item m="1" x="1489"/>
        <item m="1" x="6536"/>
        <item m="1" x="6038"/>
        <item m="1" x="4372"/>
        <item m="1" x="6730"/>
        <item m="1" x="444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4967"/>
        <item x="8"/>
        <item m="1" x="5260"/>
        <item m="1" x="7893"/>
        <item m="1" x="144"/>
        <item m="1" x="4295"/>
        <item m="1" x="3916"/>
        <item m="1" x="895"/>
        <item m="1" x="5834"/>
        <item m="1" x="7836"/>
        <item m="1" x="4175"/>
        <item m="1" x="4404"/>
        <item m="1" x="4762"/>
        <item m="1" x="4769"/>
        <item m="1" x="3990"/>
        <item m="1" x="3587"/>
        <item m="1" x="7362"/>
        <item m="1" x="3734"/>
        <item m="1" x="7509"/>
        <item m="1" x="3437"/>
        <item m="1" x="7225"/>
        <item m="1" x="7769"/>
        <item m="1" x="4053"/>
        <item m="1" x="3871"/>
        <item m="1" x="7897"/>
        <item m="1" x="4872"/>
        <item m="1" x="1019"/>
        <item m="1" x="3780"/>
        <item m="1" x="4768"/>
        <item m="1" x="7978"/>
        <item m="1" x="6152"/>
        <item m="1" x="123"/>
        <item m="1" x="2605"/>
        <item m="1" x="2911"/>
        <item m="1" x="3978"/>
        <item m="1" x="138"/>
        <item m="1" x="4356"/>
        <item m="1" x="7757"/>
        <item m="1" x="572"/>
        <item m="1" x="875"/>
        <item m="1" x="5718"/>
        <item m="1" x="214"/>
        <item m="1" x="75"/>
        <item m="1" x="7650"/>
        <item m="1" x="2153"/>
        <item m="1" x="624"/>
        <item m="1" x="6677"/>
        <item m="1" x="7105"/>
        <item m="1" x="4280"/>
        <item m="1" x="483"/>
        <item m="1" x="7691"/>
        <item m="1" x="5066"/>
        <item m="1" x="4721"/>
        <item m="1" x="5187"/>
        <item m="1" x="4653"/>
        <item m="1" x="904"/>
        <item m="1" x="6676"/>
        <item m="1" x="2729"/>
        <item m="1" x="2878"/>
        <item m="1" x="4239"/>
        <item m="1" x="989"/>
        <item m="1" x="2471"/>
        <item m="1" x="2366"/>
        <item m="1" x="3253"/>
        <item m="1" x="6726"/>
        <item m="1" x="3079"/>
        <item m="1" x="6255"/>
        <item m="1" x="2938"/>
        <item m="1" x="5447"/>
        <item m="1" x="6547"/>
        <item m="1" x="7523"/>
        <item m="1" x="5705"/>
        <item m="1" x="5717"/>
        <item m="1" x="1308"/>
        <item m="1" x="7822"/>
        <item m="1" x="2015"/>
        <item m="1" x="3074"/>
        <item m="1" x="6056"/>
        <item m="1" x="7376"/>
        <item m="1" x="3914"/>
        <item m="1" x="5568"/>
        <item m="1" x="3473"/>
        <item m="1" x="7259"/>
        <item m="1" x="5669"/>
        <item m="1" x="6725"/>
        <item m="1" x="6126"/>
        <item m="1" x="2585"/>
        <item m="1" x="569"/>
        <item m="1" x="7365"/>
        <item m="1" x="4158"/>
        <item m="1" x="6766"/>
        <item m="1" x="1355"/>
        <item m="1" x="3426"/>
        <item m="1" x="2532"/>
        <item m="1" x="1277"/>
        <item m="1" x="7401"/>
        <item m="1" x="3628"/>
        <item m="1" x="3765"/>
        <item m="1" x="913"/>
        <item m="1" x="1968"/>
        <item m="1" x="1079"/>
        <item m="1" x="892"/>
        <item m="1" x="7139"/>
        <item m="1" x="2566"/>
        <item m="1" x="2751"/>
        <item m="1" x="2763"/>
        <item m="1" x="3413"/>
        <item m="1" x="969"/>
        <item m="1" x="1091"/>
        <item m="1" x="3523"/>
        <item m="1" x="6591"/>
        <item m="1" x="2804"/>
        <item m="1" x="6529"/>
        <item m="1" x="6390"/>
        <item m="1" x="6605"/>
        <item m="1" x="7773"/>
        <item m="1" x="6183"/>
        <item m="1" x="2332"/>
        <item m="1" x="3801"/>
        <item m="1" x="1002"/>
        <item m="1" x="5610"/>
        <item m="1" x="1700"/>
        <item m="1" x="5473"/>
        <item m="1" x="3830"/>
        <item m="1" x="6854"/>
        <item m="1" x="5192"/>
        <item m="1" x="3710"/>
        <item m="1" x="1466"/>
        <item m="1" x="2653"/>
        <item m="1" x="6599"/>
        <item m="1" x="3196"/>
        <item m="1" x="3362"/>
        <item m="1" x="7012"/>
        <item m="1" x="3329"/>
        <item m="1" x="7803"/>
        <item m="1" x="4020"/>
        <item m="1" x="7669"/>
        <item m="1" x="7525"/>
        <item m="1" x="5734"/>
        <item m="1" x="679"/>
        <item m="1" x="6620"/>
        <item m="1" x="2831"/>
        <item m="1" x="6483"/>
        <item m="1" x="2679"/>
        <item m="1" x="7136"/>
        <item m="1" x="3360"/>
        <item m="1" x="7010"/>
        <item m="1" x="3236"/>
        <item m="1" x="6878"/>
        <item m="1" x="3104"/>
        <item m="1" x="6751"/>
        <item m="1" x="7274"/>
        <item m="1" x="4481"/>
        <item m="1" x="244"/>
        <item m="1" x="4370"/>
        <item m="1" x="102"/>
        <item m="1" x="4255"/>
        <item m="1" x="1529"/>
        <item m="1" x="1096"/>
        <item m="1" x="3275"/>
        <item m="1" x="6528"/>
        <item m="1" x="2428"/>
        <item m="1" x="6111"/>
        <item m="1" x="2251"/>
        <item m="1" x="5965"/>
        <item m="1" x="2080"/>
        <item m="1" x="5804"/>
        <item m="1" x="7928"/>
        <item m="1" x="1908"/>
        <item m="1" x="3648"/>
        <item m="1" x="5057"/>
        <item m="1" x="7276"/>
        <item m="1" x="3489"/>
        <item m="1" x="653"/>
        <item m="1" x="2127"/>
        <item m="1" x="2728"/>
        <item m="1" x="1140"/>
        <item m="1" x="7099"/>
        <item m="1" x="3757"/>
        <item m="1" x="7629"/>
        <item m="1" x="6389"/>
        <item m="1" x="7478"/>
        <item m="1" x="4767"/>
        <item m="1" x="3334"/>
        <item m="1" x="6028"/>
        <item m="1" x="4136"/>
        <item m="1" x="7789"/>
        <item m="1" x="4469"/>
        <item m="1" x="5943"/>
        <item m="1" x="3326"/>
        <item m="1" x="7096"/>
        <item m="1" x="2060"/>
        <item m="1" x="2410"/>
        <item m="1" x="4012"/>
        <item m="1" x="474"/>
        <item m="1" x="1770"/>
        <item m="1" x="349"/>
        <item m="1" x="2228"/>
        <item m="1" x="6095"/>
        <item m="1" x="6617"/>
        <item m="1" x="787"/>
        <item m="1" x="6243"/>
        <item m="1" x="4360"/>
        <item m="1" x="89"/>
        <item m="1" x="4243"/>
        <item m="1" x="7915"/>
        <item m="1" x="4236"/>
        <item m="1" x="4831"/>
        <item m="1" x="3462"/>
        <item m="1" x="230"/>
        <item m="1" x="199"/>
        <item m="1" x="2635"/>
        <item m="1" x="5056"/>
        <item m="1" x="4853"/>
        <item m="1" x="7244"/>
        <item m="1" x="686"/>
        <item m="1" x="7440"/>
        <item m="1" x="2797"/>
        <item m="1" x="6462"/>
        <item m="1" x="2860"/>
        <item m="1" x="7187"/>
        <item m="1" x="7659"/>
        <item m="1" x="902"/>
        <item m="1" x="6889"/>
        <item m="1" x="2171"/>
        <item m="1" x="6748"/>
        <item m="1" x="6191"/>
        <item m="1" x="6041"/>
        <item m="1" x="2344"/>
        <item m="1" x="4750"/>
        <item m="1" x="3238"/>
        <item m="1" x="7573"/>
        <item m="1" x="4129"/>
        <item m="1" x="578"/>
        <item m="1" x="463"/>
        <item m="1" x="338"/>
        <item m="1" x="4458"/>
        <item m="1" x="218"/>
        <item m="1" x="4352"/>
        <item m="1" x="79"/>
        <item m="1" x="122"/>
        <item m="1" x="4279"/>
        <item m="1" x="4981"/>
        <item m="1" x="449"/>
        <item m="1" x="6979"/>
        <item m="1" x="2208"/>
        <item m="1" x="4451"/>
        <item m="1" x="208"/>
        <item m="1" x="2387"/>
        <item m="1" x="6224"/>
        <item m="1" x="7239"/>
        <item m="1" x="4344"/>
        <item m="1" x="792"/>
        <item m="1" x="5354"/>
        <item m="1" x="874"/>
        <item m="1" x="6011"/>
        <item m="1" x="298"/>
        <item m="1" x="779"/>
        <item m="1" x="4921"/>
        <item m="1" x="4904"/>
        <item m="1" x="7419"/>
        <item m="1" x="326"/>
        <item m="1" x="5094"/>
        <item m="1" x="6513"/>
        <item m="1" x="6371"/>
        <item m="1" x="2931"/>
        <item m="1" x="450"/>
        <item m="1" x="7380"/>
        <item m="1" x="3607"/>
        <item m="1" x="2712"/>
        <item m="1" x="6459"/>
        <item m="1" x="5316"/>
        <item m="1" x="1514"/>
        <item m="1" x="517"/>
        <item m="1" x="2314"/>
        <item m="1" x="6798"/>
        <item m="1" x="6205"/>
        <item m="1" x="5054"/>
        <item m="1" x="6723"/>
        <item m="1" x="4614"/>
        <item m="1" x="562"/>
        <item m="1" x="766"/>
        <item m="1" x="5431"/>
        <item m="1" x="6687"/>
        <item m="1" x="3399"/>
        <item m="1" x="676"/>
        <item m="1" x="5359"/>
        <item m="1" x="748"/>
        <item m="1" x="304"/>
        <item m="1" x="7841"/>
        <item m="1" x="669"/>
        <item m="1" x="4057"/>
        <item m="1" x="4655"/>
        <item m="1" x="2770"/>
        <item m="1" x="5339"/>
        <item m="1" x="6783"/>
        <item m="1" x="7122"/>
        <item m="1" x="3350"/>
        <item m="1" x="2992"/>
        <item m="1" x="5300"/>
        <item m="1" x="3947"/>
        <item m="1" x="5724"/>
        <item m="1" x="2534"/>
        <item m="1" x="6357"/>
        <item m="1" x="2698"/>
        <item m="1" x="6897"/>
        <item m="1" x="6207"/>
        <item m="1" x="3120"/>
        <item m="1" x="4429"/>
        <item m="1" x="61"/>
        <item m="1" x="6448"/>
        <item m="1" x="978"/>
        <item m="1" x="2816"/>
        <item m="1" x="7910"/>
        <item m="1" x="7695"/>
        <item m="1" x="7597"/>
        <item m="1" x="2915"/>
        <item m="1" x="2210"/>
        <item m="1" x="6076"/>
        <item m="1" x="551"/>
        <item m="1" x="4448"/>
        <item m="1" x="5288"/>
        <item m="1" x="6635"/>
        <item m="1" x="4267"/>
        <item m="1" x="7941"/>
        <item m="1" x="4147"/>
        <item m="1" x="7805"/>
        <item m="1" x="4022"/>
        <item m="1" x="7671"/>
        <item m="1" x="3891"/>
        <item m="1" x="7527"/>
        <item m="1" x="3759"/>
        <item m="1" x="243"/>
        <item m="1" x="4369"/>
        <item m="1" x="101"/>
        <item m="1" x="5165"/>
        <item m="1" x="7927"/>
        <item m="1" x="6619"/>
        <item m="1" x="4440"/>
        <item m="1" x="1164"/>
        <item m="1" x="6031"/>
        <item m="1" x="6767"/>
        <item m="1" x="2975"/>
        <item m="1" x="3455"/>
        <item m="1" x="7925"/>
        <item m="1" x="4133"/>
        <item m="1" x="6482"/>
        <item m="1" x="2830"/>
        <item m="1" x="7662"/>
        <item m="1" x="3883"/>
        <item m="1" x="7520"/>
        <item m="1" x="3751"/>
        <item m="1" x="7374"/>
        <item m="1" x="4944"/>
        <item m="1" x="3598"/>
        <item m="1" x="4135"/>
        <item m="1" x="87"/>
        <item m="1" x="7537"/>
        <item m="1" x="5216"/>
        <item m="1" x="659"/>
        <item m="1" x="311"/>
        <item m="1" x="7892"/>
        <item m="1" x="7588"/>
        <item m="1" x="4955"/>
        <item m="1" x="5589"/>
        <item m="1" x="6175"/>
        <item m="1" x="4131"/>
        <item m="1" x="878"/>
        <item m="1" x="6900"/>
        <item m="1" x="5432"/>
        <item m="1" x="1383"/>
        <item m="1" x="3821"/>
        <item m="1" x="4727"/>
        <item m="1" x="5164"/>
        <item m="1" x="3668"/>
        <item m="1" x="7296"/>
        <item m="1" x="7441"/>
        <item m="1" x="314"/>
        <item m="1" x="5711"/>
        <item m="1" x="3388"/>
        <item m="1" x="6958"/>
        <item m="1" x="4011"/>
        <item m="1" x="4954"/>
        <item m="1" x="1651"/>
        <item m="1" x="6720"/>
        <item m="1" x="7489"/>
        <item m="1" x="67"/>
        <item m="1" x="901"/>
        <item m="1" x="7381"/>
        <item m="1" x="3758"/>
        <item m="1" x="7037"/>
        <item m="1" x="4241"/>
        <item m="1" x="7912"/>
        <item m="1" x="4126"/>
        <item m="1" x="7778"/>
        <item m="1" x="7788"/>
        <item m="1" x="2530"/>
        <item m="1" x="4468"/>
        <item m="1" x="348"/>
        <item m="1" x="3885"/>
        <item m="1" x="7664"/>
        <item m="1" x="1399"/>
        <item m="1" x="7214"/>
        <item m="1" x="980"/>
        <item m="1" x="2340"/>
        <item m="1" x="5737"/>
        <item m="1" x="3506"/>
        <item m="1" x="533"/>
        <item m="1" x="5136"/>
        <item m="1" x="3769"/>
        <item m="1" x="5201"/>
        <item m="1" x="1241"/>
        <item m="1" x="5073"/>
        <item m="1" x="1114"/>
        <item m="1" x="5753"/>
        <item m="1" x="1852"/>
        <item m="1" x="5599"/>
        <item m="1" x="1685"/>
        <item m="1" x="5463"/>
        <item m="1" x="1520"/>
        <item m="1" x="5329"/>
        <item m="1" x="1377"/>
        <item m="1" x="5198"/>
        <item m="1" x="1237"/>
        <item m="1" x="5891"/>
        <item m="1" x="2004"/>
        <item m="1" x="1676"/>
        <item m="1" x="5461"/>
        <item m="1" x="1512"/>
        <item m="1" x="1371"/>
        <item m="1" x="2161"/>
        <item m="1" x="5883"/>
        <item m="1" x="1997"/>
        <item m="1" x="229"/>
        <item m="1" x="4359"/>
        <item m="1" x="88"/>
        <item m="1" x="1834"/>
        <item m="1" x="1509"/>
        <item m="1" x="5038"/>
        <item m="1" x="1272"/>
        <item m="1" x="3934"/>
        <item m="1" x="7712"/>
        <item m="1" x="4073"/>
        <item m="1" x="7009"/>
        <item m="1" x="1203"/>
        <item m="1" x="4010"/>
        <item m="1" x="7402"/>
        <item m="1" x="4920"/>
        <item m="1" x="7209"/>
        <item m="1" x="3981"/>
        <item m="1" x="6922"/>
        <item m="1" x="2594"/>
        <item m="1" x="3532"/>
        <item m="1" x="4553"/>
        <item m="1" x="4776"/>
        <item m="1" x="1356"/>
        <item m="1" x="539"/>
        <item m="1" x="5063"/>
        <item m="1" x="561"/>
        <item m="1" x="448"/>
        <item m="1" x="844"/>
        <item m="1" x="7906"/>
        <item m="1" x="3802"/>
        <item m="1" x="3363"/>
        <item m="1" x="7856"/>
        <item m="1" x="7574"/>
        <item m="1" x="4121"/>
        <item m="1" x="1503"/>
        <item m="1" x="5154"/>
        <item m="1" x="1636"/>
        <item m="1" x="4235"/>
        <item m="1" x="78"/>
        <item m="1" x="4351"/>
        <item m="1" x="1731"/>
        <item m="1" x="4817"/>
        <item m="1" x="952"/>
        <item m="1" x="325"/>
        <item m="1" x="4450"/>
        <item m="1" x="5995"/>
        <item m="1" x="6821"/>
        <item m="1" x="1018"/>
        <item m="1" x="726"/>
        <item m="1" x="7140"/>
        <item m="1" x="1191"/>
        <item m="1" x="1340"/>
        <item m="1" x="7403"/>
        <item m="1" x="5029"/>
        <item m="1" x="3174"/>
        <item m="1" x="217"/>
        <item m="1" x="4242"/>
        <item m="1" x="7914"/>
        <item m="1" x="4128"/>
        <item m="1" x="7780"/>
        <item m="1" x="4004"/>
        <item m="1" x="462"/>
        <item m="1" x="5586"/>
        <item m="1" x="4225"/>
        <item m="1" x="7728"/>
        <item m="1" x="1429"/>
        <item m="1" x="7277"/>
        <item m="1" x="322"/>
        <item m="1" x="1544"/>
        <item m="1" x="988"/>
        <item m="1" x="7175"/>
        <item m="1" x="776"/>
        <item m="1" x="1586"/>
        <item m="1" x="5385"/>
        <item m="1" x="7420"/>
        <item m="1" x="3649"/>
        <item m="1" x="5915"/>
        <item m="1" x="3431"/>
        <item m="1" x="1109"/>
        <item m="1" x="7743"/>
        <item m="1" x="3490"/>
        <item m="1" x="674"/>
        <item m="1" x="2708"/>
        <item m="1" x="5238"/>
        <item m="1" x="5141"/>
        <item m="1" x="1025"/>
        <item m="1" x="4849"/>
        <item m="1" x="5064"/>
        <item m="1" x="2640"/>
        <item m="1" x="2300"/>
        <item m="1" x="4953"/>
        <item m="1" x="4579"/>
        <item m="1" x="1326"/>
        <item m="1" x="903"/>
        <item m="1" x="786"/>
        <item m="1" x="4903"/>
        <item m="1" x="1051"/>
        <item m="1" x="5014"/>
        <item m="1" x="1177"/>
        <item m="1" x="5544"/>
        <item m="1" x="935"/>
        <item m="1" x="1604"/>
        <item m="1" x="2495"/>
        <item m="1" x="5092"/>
        <item m="1" x="1269"/>
        <item m="1" x="5225"/>
        <item m="1" x="1413"/>
        <item m="1" x="5367"/>
        <item m="1" x="1568"/>
        <item m="1" x="5511"/>
        <item m="1" x="1749"/>
        <item m="1" x="5652"/>
        <item m="1" x="7236"/>
        <item m="1" x="1506"/>
        <item m="1" x="6051"/>
        <item m="1" x="5403"/>
        <item m="1" x="7487"/>
        <item m="1" x="2246"/>
        <item m="1" x="5271"/>
        <item m="1" x="830"/>
        <item m="1" x="4806"/>
        <item m="1" x="945"/>
        <item m="1" x="1065"/>
        <item m="1" x="4912"/>
        <item m="1" x="4987"/>
        <item m="1" x="1148"/>
        <item m="1" x="1284"/>
        <item m="1" x="6580"/>
        <item m="1" x="1444"/>
        <item m="1" x="1130"/>
        <item m="1" x="985"/>
        <item m="1" x="5072"/>
        <item m="1" x="5105"/>
        <item m="1" x="1086"/>
        <item m="1" x="3474"/>
        <item m="1" x="993"/>
        <item m="1" x="3098"/>
        <item m="1" x="5123"/>
        <item m="1" x="1400"/>
        <item m="1" x="7955"/>
        <item m="1" x="6468"/>
        <item m="1" x="5795"/>
        <item m="1" x="1040"/>
        <item m="1" x="5002"/>
        <item m="1" x="7087"/>
        <item m="1" x="7469"/>
        <item m="1" x="2399"/>
        <item m="1" x="5668"/>
        <item m="1" x="1898"/>
        <item m="1" x="5634"/>
        <item m="1" x="7375"/>
        <item m="1" x="2114"/>
        <item m="1" x="4937"/>
        <item m="1" x="5493"/>
        <item m="1" x="2049"/>
        <item m="1" x="2143"/>
        <item m="1" x="4922"/>
        <item m="1" x="1742"/>
        <item m="1" x="3195"/>
        <item m="1" x="736"/>
        <item m="1" x="5239"/>
        <item m="1" x="1285"/>
        <item m="1" x="5816"/>
        <item m="1" x="2777"/>
        <item m="1" x="2269"/>
        <item m="1" x="1162"/>
        <item m="1" x="5386"/>
        <item m="1" x="1430"/>
        <item m="1" x="1587"/>
        <item m="1" x="5527"/>
        <item m="1" x="1769"/>
        <item m="1" x="626"/>
        <item m="1" x="5767"/>
        <item m="1" x="6576"/>
        <item m="1" x="5934"/>
        <item m="1" x="1396"/>
        <item m="1" x="622"/>
        <item m="1" x="5351"/>
        <item m="1" x="3629"/>
        <item m="1" x="1727"/>
        <item m="1" x="4966"/>
        <item m="1" x="1124"/>
        <item m="1" x="1106"/>
        <item m="1" x="3320"/>
        <item m="1" x="5218"/>
        <item m="1" x="1262"/>
        <item m="1" x="5086"/>
        <item m="1" x="1009"/>
        <item m="1" x="505"/>
        <item m="1" x="4379"/>
        <item m="1" x="7842"/>
        <item m="1" x="3042"/>
        <item m="1" x="5342"/>
        <item m="1" x="958"/>
        <item m="1" x="4822"/>
        <item m="1" x="848"/>
        <item m="1" x="731"/>
        <item m="1" x="618"/>
        <item m="1" x="500"/>
        <item m="1" x="5037"/>
        <item m="1" x="1070"/>
        <item m="1" x="4919"/>
        <item m="1" x="951"/>
        <item m="1" x="4816"/>
        <item m="1" x="843"/>
        <item m="1" x="725"/>
        <item m="1" x="610"/>
        <item m="1" x="4002"/>
        <item m="1" x="7517"/>
        <item m="1" x="3745"/>
        <item m="1" x="7177"/>
        <item m="1" x="3147"/>
        <item m="1" x="6800"/>
        <item m="1" x="3007"/>
        <item m="1" x="1387"/>
        <item m="1" x="5338"/>
        <item m="1" x="1534"/>
        <item m="1" x="5479"/>
        <item m="1" x="1706"/>
        <item m="1" x="6239"/>
        <item m="1" x="7886"/>
        <item m="1" x="7458"/>
        <item m="1" x="388"/>
        <item m="1" x="274"/>
        <item m="1" x="4821"/>
        <item m="1" x="730"/>
        <item m="1" x="617"/>
        <item m="1" x="847"/>
        <item m="1" x="499"/>
        <item m="1" x="376"/>
        <item m="1" x="4815"/>
        <item m="1" x="724"/>
        <item m="1" x="328"/>
        <item m="1" x="1882"/>
        <item m="1" x="5214"/>
        <item m="1" x="3683"/>
        <item m="1" x="1256"/>
        <item m="1" x="1551"/>
        <item m="1" x="7960"/>
        <item m="1" x="6664"/>
        <item m="1" x="535"/>
        <item m="1" x="5757"/>
        <item m="1" x="1182"/>
        <item m="1" x="7678"/>
        <item m="1" x="7794"/>
        <item m="1" x="7260"/>
        <item m="1" x="4761"/>
        <item m="1" x="2012"/>
        <item m="1" x="3770"/>
        <item m="1" x="3904"/>
        <item m="1" x="780"/>
        <item m="1" x="2783"/>
        <item m="1" x="7454"/>
        <item m="1" x="7324"/>
        <item m="1" x="7157"/>
        <item m="1" x="2134"/>
        <item m="1" x="7628"/>
        <item m="1" x="6066"/>
        <item m="1" x="2198"/>
        <item m="1" x="5909"/>
        <item m="1" x="2024"/>
        <item m="1" x="5028"/>
        <item m="1" x="996"/>
        <item m="1" x="1856"/>
        <item m="1" x="5871"/>
        <item m="1" x="5675"/>
        <item m="1" x="1774"/>
        <item m="1" x="5534"/>
        <item m="1" x="1063"/>
        <item m="1" x="5167"/>
        <item m="1" x="7696"/>
        <item m="1" x="4058"/>
        <item m="1" x="3630"/>
        <item m="1" x="1943"/>
        <item m="1" x="7555"/>
        <item m="1" x="3877"/>
        <item m="1" x="1593"/>
        <item m="1" x="2097"/>
        <item m="1" x="914"/>
        <item m="1" x="1524"/>
        <item m="1" x="943"/>
        <item m="1" x="3920"/>
        <item m="1" x="4910"/>
        <item m="1" x="6910"/>
        <item m="1" x="3131"/>
        <item m="1" x="2861"/>
        <item m="1" x="6651"/>
        <item m="1" x="1435"/>
        <item m="1" x="5243"/>
        <item m="1" x="1290"/>
        <item m="1" x="5982"/>
        <item m="1" x="2099"/>
        <item m="1" x="5821"/>
        <item m="1" x="1926"/>
        <item m="1" x="609"/>
        <item m="1" x="3786"/>
        <item m="1" x="5027"/>
        <item m="1" x="489"/>
        <item m="1" x="5394"/>
        <item m="1" x="1181"/>
        <item m="1" x="5657"/>
        <item m="1" x="1758"/>
        <item m="1" x="4285"/>
        <item m="1" x="128"/>
        <item m="1" x="4163"/>
        <item m="1" x="7961"/>
        <item m="1" x="970"/>
        <item m="1" x="711"/>
        <item m="1" x="595"/>
        <item m="1" x="671"/>
        <item m="1" x="6925"/>
        <item m="1" x="5778"/>
        <item m="1" x="537"/>
        <item m="1" x="2089"/>
        <item m="1" x="2785"/>
        <item m="1" x="5208"/>
        <item m="1" x="1050"/>
        <item m="1" x="3162"/>
        <item m="1" x="4106"/>
        <item m="1" x="83"/>
        <item m="1" x="1906"/>
        <item m="1" x="5802"/>
        <item m="1" x="2078"/>
        <item m="1" x="5963"/>
        <item m="1" x="2249"/>
        <item m="1" x="1420"/>
        <item m="1" x="5516"/>
        <item m="1" x="1575"/>
        <item m="1" x="5373"/>
        <item m="1" x="5013"/>
        <item m="1" x="4107"/>
        <item m="1" x="3035"/>
        <item m="1" x="7750"/>
        <item m="1" x="5144"/>
        <item m="1" x="3264"/>
        <item m="1" x="6912"/>
        <item m="1" x="3132"/>
        <item m="1" x="6241"/>
        <item m="1" x="1559"/>
        <item m="1" x="5501"/>
        <item m="1" x="933"/>
        <item m="1" x="6784"/>
        <item m="1" x="1710"/>
        <item m="1" x="4774"/>
        <item m="1" x="1881"/>
        <item m="1" x="4797"/>
        <item m="1" x="2656"/>
        <item m="1" x="4901"/>
        <item m="1" x="1735"/>
        <item m="1" x="5139"/>
        <item m="1" x="5327"/>
        <item m="1" x="1250"/>
        <item m="1" x="5928"/>
        <item m="1" x="1887"/>
        <item m="1" x="5783"/>
        <item m="1" x="6369"/>
        <item m="1" x="2094"/>
        <item m="1" x="5293"/>
        <item m="1" x="5323"/>
        <item m="1" x="1955"/>
        <item m="1" x="2645"/>
        <item m="1" x="1119"/>
        <item m="1" x="894"/>
        <item m="1" x="5623"/>
        <item m="1" x="1716"/>
        <item m="1" x="7498"/>
        <item m="1" x="5023"/>
        <item m="1" x="52"/>
        <item m="1" x="262"/>
        <item m="1" x="3771"/>
        <item m="1" x="3905"/>
        <item m="1" x="7679"/>
        <item m="1" x="4384"/>
        <item m="1" x="816"/>
        <item m="1" x="2550"/>
        <item m="1" x="5639"/>
        <item m="1" x="53"/>
        <item m="1" x="6223"/>
        <item m="1" x="1118"/>
        <item m="1" x="6877"/>
        <item m="1" x="3483"/>
        <item m="1" x="1863"/>
        <item m="1" x="5918"/>
        <item m="1" x="6074"/>
        <item m="1" x="2385"/>
        <item m="1" x="6498"/>
        <item m="1" x="5254"/>
        <item m="1" x="3235"/>
        <item m="1" x="2384"/>
        <item m="1" x="6073"/>
        <item m="1" x="2207"/>
        <item m="1" x="5917"/>
        <item m="1" x="2036"/>
        <item m="1" x="5762"/>
        <item m="1" x="1862"/>
        <item m="1" x="5606"/>
        <item m="1" x="1697"/>
        <item m="1" x="6354"/>
        <item m="1" x="2531"/>
        <item m="1" x="6204"/>
        <item m="1" x="2365"/>
        <item m="1" x="6055"/>
        <item m="1" x="2186"/>
        <item m="1" x="4411"/>
        <item m="1" x="2014"/>
        <item m="1" x="1001"/>
        <item m="1" x="4859"/>
        <item m="1" x="5897"/>
        <item m="1" x="1867"/>
        <item m="1" x="4963"/>
        <item m="1" x="7539"/>
        <item m="1" x="2503"/>
        <item m="1" x="1849"/>
        <item m="1" x="5749"/>
        <item m="1" x="6846"/>
        <item m="1" x="3116"/>
        <item m="1" x="3880"/>
        <item m="1" x="5608"/>
        <item m="1" x="184"/>
        <item m="1" x="7937"/>
        <item m="1" x="612"/>
        <item m="1" x="6636"/>
        <item m="1" x="2264"/>
        <item m="1" x="2765"/>
        <item m="1" x="194"/>
        <item m="1" x="4268"/>
        <item m="1" x="4148"/>
        <item m="1" x="7942"/>
        <item m="1" x="7806"/>
        <item m="1" x="3103"/>
        <item m="1" x="5914"/>
        <item m="1" x="2307"/>
        <item m="1" x="7592"/>
        <item m="1" x="1650"/>
        <item m="1" x="50"/>
        <item m="1" x="6479"/>
        <item m="1" x="3594"/>
        <item m="1" x="3610"/>
        <item m="1" x="3318"/>
        <item m="1" x="4520"/>
        <item m="1" x="2031"/>
        <item m="1" x="5812"/>
        <item m="1" x="2676"/>
        <item m="1" x="6333"/>
        <item m="1" x="2513"/>
        <item m="1" x="6190"/>
        <item m="1" x="6500"/>
        <item m="1" x="2846"/>
        <item m="1" x="2699"/>
        <item m="1" x="4568"/>
        <item m="1" x="7538"/>
        <item m="1" x="7118"/>
        <item m="1" x="5334"/>
        <item m="1" x="6174"/>
        <item m="1" x="1407"/>
        <item m="1" x="1978"/>
        <item m="1" x="3346"/>
        <item m="1" x="6153"/>
        <item m="1" x="4426"/>
        <item m="1" x="6992"/>
        <item m="1" x="2805"/>
        <item m="1" x="6344"/>
        <item m="1" x="4823"/>
        <item m="1" x="888"/>
        <item m="1" x="482"/>
        <item m="1" x="2947"/>
        <item m="1" x="6182"/>
        <item m="1" x="6032"/>
        <item m="1" x="3335"/>
        <item m="1" x="2113"/>
        <item m="1" x="2003"/>
        <item m="1" x="3208"/>
        <item m="1" x="4023"/>
        <item m="1" x="804"/>
        <item m="1" x="6855"/>
        <item m="1" x="6159"/>
        <item m="1" x="666"/>
        <item m="1" x="2170"/>
        <item m="1" x="6040"/>
        <item m="1" x="2343"/>
        <item m="1" x="4889"/>
        <item m="1" x="5006"/>
        <item m="1" x="3471"/>
        <item m="1" x="2491"/>
        <item m="1" x="5889"/>
        <item m="1" x="2631"/>
        <item m="1" x="7107"/>
        <item m="1" x="364"/>
        <item m="1" x="6984"/>
        <item m="1" x="6734"/>
        <item m="1" x="3089"/>
        <item m="1" x="6592"/>
        <item m="1" x="6864"/>
        <item m="1" x="6320"/>
        <item m="1" x="2499"/>
        <item m="1" x="2381"/>
        <item m="1" x="7257"/>
        <item m="1" x="2160"/>
        <item m="1" x="2325"/>
        <item m="1" x="7253"/>
        <item m="1" x="2331"/>
        <item m="1" x="2655"/>
        <item m="1" x="3667"/>
        <item m="1" x="3856"/>
        <item m="1" x="794"/>
        <item m="1" x="6604"/>
        <item m="1" x="2651"/>
        <item m="1" x="2791"/>
        <item m="1" x="2959"/>
        <item m="1" x="2658"/>
        <item m="1" x="5472"/>
        <item m="1" x="1528"/>
        <item m="1" x="1382"/>
        <item m="1" x="1112"/>
        <item m="1" x="3221"/>
        <item m="1" x="4572"/>
        <item m="1" x="4215"/>
        <item m="1" x="4828"/>
        <item m="1" x="6607"/>
        <item m="1" x="2818"/>
        <item m="1" x="6470"/>
        <item m="1" x="6750"/>
        <item m="1" x="5837"/>
        <item m="1" x="1072"/>
        <item m="1" x="4428"/>
        <item m="1" x="5904"/>
        <item m="1" x="6461"/>
        <item m="1" x="2802"/>
        <item m="1" x="6589"/>
        <item m="1" x="2944"/>
        <item m="1" x="6732"/>
        <item m="1" x="6178"/>
        <item m="1" x="2939"/>
        <item m="1" x="3080"/>
        <item m="1" x="6727"/>
        <item m="1" x="3294"/>
        <item m="1" x="1180"/>
        <item m="1" x="1049"/>
        <item m="1" x="5437"/>
        <item m="1" x="1329"/>
        <item m="1" x="1894"/>
        <item m="1" x="4900"/>
        <item m="1" x="3202"/>
        <item m="1" x="6980"/>
        <item m="1" x="3327"/>
        <item m="1" x="7097"/>
        <item m="1" x="7524"/>
        <item m="1" x="2761"/>
        <item m="1" x="4799"/>
        <item m="1" x="822"/>
        <item m="1" x="7388"/>
        <item m="1" x="5145"/>
        <item m="1" x="1183"/>
        <item m="1" x="4676"/>
        <item m="1" x="938"/>
        <item m="1" x="4905"/>
        <item m="1" x="1054"/>
        <item m="1" x="5017"/>
        <item m="1" x="6574"/>
        <item m="1" x="113"/>
        <item m="1" x="509"/>
        <item m="1" x="628"/>
        <item m="1" x="2320"/>
        <item m="1" x="5912"/>
        <item m="1" x="3248"/>
        <item m="1" x="6616"/>
        <item m="1" x="3375"/>
        <item m="1" x="7027"/>
        <item m="1" x="3251"/>
        <item m="1" x="6898"/>
        <item m="1" x="3121"/>
        <item m="1" x="6768"/>
        <item m="1" x="6621"/>
        <item m="1" x="2832"/>
        <item m="1" x="7293"/>
        <item m="1" x="3503"/>
        <item m="1" x="7137"/>
        <item m="1" x="6879"/>
        <item m="1" x="3105"/>
        <item m="1" x="6752"/>
        <item m="1" x="2960"/>
        <item m="1" x="7417"/>
        <item m="1" x="3647"/>
        <item m="1" x="7275"/>
        <item m="1" x="3488"/>
        <item m="1" x="1828"/>
        <item m="1" x="4346"/>
        <item m="1" x="3484"/>
        <item m="1" x="2029"/>
        <item m="1" x="809"/>
        <item m="1" x="3755"/>
        <item m="1" x="6296"/>
        <item m="1" x="3605"/>
        <item m="1" x="7378"/>
        <item m="1" x="3756"/>
        <item m="1" x="7237"/>
        <item m="1" x="2473"/>
        <item m="1" x="3453"/>
        <item m="1" x="4162"/>
        <item m="1" x="5261"/>
        <item m="1" x="303"/>
        <item m="1" x="7755"/>
        <item m="1" x="2827"/>
        <item m="1" x="333"/>
        <item m="1" x="1338"/>
        <item m="1" x="3048"/>
        <item m="1" x="5003"/>
        <item m="1" x="398"/>
        <item m="1" x="416"/>
        <item m="1" x="1041"/>
        <item m="1" x="4892"/>
        <item m="1" x="3199"/>
        <item m="1" x="1004"/>
        <item m="1" x="922"/>
        <item m="1" x="1015"/>
        <item m="1" x="180"/>
        <item m="1" x="7120"/>
        <item m="1" x="2194"/>
        <item m="1" x="4805"/>
        <item m="1" x="829"/>
        <item m="1" x="712"/>
        <item m="1" x="5270"/>
        <item m="1" x="1325"/>
        <item m="1" x="5140"/>
        <item m="1" x="925"/>
        <item m="1" x="4902"/>
        <item m="1" x="934"/>
        <item m="1" x="4798"/>
        <item m="1" x="817"/>
        <item m="1" x="5402"/>
        <item m="1" x="1443"/>
        <item m="1" x="5255"/>
        <item m="1" x="1304"/>
        <item m="1" x="5122"/>
        <item m="1" x="1161"/>
        <item m="1" x="5587"/>
        <item m="1" x="5875"/>
        <item m="1" x="286"/>
        <item m="1" x="5103"/>
        <item m="1" x="5392"/>
        <item m="1" x="3970"/>
        <item m="1" x="1591"/>
        <item m="1" x="5001"/>
        <item m="1" x="7396"/>
        <item m="1" x="4249"/>
        <item m="1" x="7921"/>
        <item m="1" x="5241"/>
        <item m="1" x="4796"/>
        <item m="1" x="932"/>
        <item m="1" x="1288"/>
        <item m="1" x="2877"/>
        <item m="1" x="6976"/>
        <item m="1" x="2529"/>
        <item m="1" x="4125"/>
        <item m="1" x="7777"/>
        <item m="1" x="2522"/>
        <item m="1" x="5860"/>
        <item m="1" x="6091"/>
        <item m="1" x="2131"/>
        <item m="1" x="6368"/>
        <item m="1" x="2069"/>
        <item m="1" x="4320"/>
        <item m="1" x="6814"/>
        <item m="1" x="6202"/>
        <item m="1" x="2224"/>
        <item m="1" x="6090"/>
        <item m="1" x="2407"/>
        <item m="1" x="2561"/>
        <item m="1" x="5937"/>
        <item m="1" x="6238"/>
        <item m="1" x="6665"/>
        <item m="1" x="2052"/>
        <item m="1" x="6510"/>
        <item m="1" x="5777"/>
        <item m="1" x="1879"/>
        <item m="1" x="1903"/>
        <item m="1" x="2709"/>
        <item m="1" x="1733"/>
        <item m="1" x="5638"/>
        <item m="1" x="1905"/>
        <item m="1" x="5801"/>
        <item m="1" x="1138"/>
        <item m="1" x="5096"/>
        <item m="1" x="1273"/>
        <item m="1" x="5229"/>
        <item m="1" x="1418"/>
        <item m="1" x="1756"/>
        <item m="1" x="5655"/>
        <item m="1" x="1031"/>
        <item m="1" x="4989"/>
        <item m="1" x="1150"/>
        <item m="1" x="5108"/>
        <item m="1" x="1433"/>
        <item m="1" x="5499"/>
        <item m="1" x="1557"/>
        <item m="1" x="3348"/>
        <item m="1" x="6994"/>
        <item m="1" x="7553"/>
        <item m="1" x="741"/>
        <item m="1" x="5581"/>
        <item m="1" x="3585"/>
        <item m="1" x="4098"/>
        <item m="1" x="4317"/>
        <item m="1" x="5356"/>
        <item m="1" x="4948"/>
        <item m="1" x="1039"/>
        <item m="1" x="4174"/>
        <item m="1" x="496"/>
        <item m="1" x="6265"/>
        <item m="1" x="2547"/>
        <item m="1" x="1990"/>
        <item m="1" x="5706"/>
        <item m="1" x="148"/>
        <item m="1" x="4422"/>
        <item m="1" x="4408"/>
        <item m="1" x="5940"/>
        <item m="1" x="1233"/>
        <item m="1" x="173"/>
        <item m="1" x="457"/>
        <item m="1" x="4325"/>
        <item m="1" x="6860"/>
        <item m="1" x="1105"/>
        <item m="1" x="6050"/>
        <item m="1" x="3083"/>
        <item m="1" x="6859"/>
        <item m="1" x="2183"/>
        <item m="1" x="2526"/>
        <item m="1" x="1669"/>
        <item m="1" x="5557"/>
        <item m="1" x="4001"/>
        <item m="1" x="4540"/>
        <item m="1" x="997"/>
        <item m="1" x="2027"/>
        <item m="1" x="6496"/>
        <item m="1" x="2841"/>
        <item m="1" x="2691"/>
        <item m="1" x="6350"/>
        <item m="1" x="6200"/>
        <item m="1" x="2358"/>
        <item m="1" x="1956"/>
        <item m="1" x="5114"/>
        <item m="1" x="1446"/>
        <item m="1" x="5257"/>
        <item m="1" x="6613"/>
        <item m="1" x="5405"/>
        <item m="1" x="7369"/>
        <item m="1" x="5546"/>
        <item m="1" x="5687"/>
        <item m="1" x="1787"/>
        <item m="1" x="4527"/>
        <item m="1" x="6760"/>
        <item m="1" x="2968"/>
        <item m="1" x="1606"/>
        <item m="1" x="5736"/>
        <item m="1" x="5591"/>
        <item m="1" x="1620"/>
        <item m="1" x="5423"/>
        <item m="1" x="1465"/>
        <item m="1" x="5273"/>
        <item m="1" x="1328"/>
        <item m="1" x="5143"/>
        <item m="1" x="1179"/>
        <item m="1" x="5848"/>
        <item m="1" x="5835"/>
        <item m="1" x="1607"/>
        <item m="1" x="2955"/>
        <item m="1" x="6026"/>
        <item m="1" x="2142"/>
        <item m="1" x="1306"/>
        <item m="1" x="2129"/>
        <item m="1" x="1982"/>
        <item m="1" x="7516"/>
        <item m="1" x="5670"/>
        <item m="1" x="5183"/>
        <item m="1" x="2297"/>
        <item m="1" x="4576"/>
        <item m="1" x="2908"/>
        <item m="1" x="1771"/>
        <item m="1" x="5529"/>
        <item m="1" x="6187"/>
        <item m="1" x="2507"/>
        <item m="1" x="6009"/>
        <item m="1" x="7271"/>
        <item m="1" x="6384"/>
        <item m="1" x="3099"/>
        <item m="1" x="320"/>
        <item m="1" x="1405"/>
        <item m="1" x="6351"/>
        <item m="1" x="6326"/>
        <item m="1" x="1588"/>
        <item m="1" x="5388"/>
        <item m="1" x="1080"/>
        <item m="1" x="1684"/>
        <item m="1" x="1432"/>
        <item m="1" x="6125"/>
        <item m="1" x="2266"/>
        <item m="1" x="5979"/>
        <item m="1" x="2093"/>
        <item m="1" x="1752"/>
        <item m="1" x="5514"/>
        <item m="1" x="1571"/>
        <item m="1" x="6251"/>
        <item m="1" x="2422"/>
        <item m="1" x="6106"/>
        <item m="1" x="2242"/>
        <item m="1" x="5958"/>
        <item m="1" x="6744"/>
        <item m="1" x="4300"/>
        <item m="1" x="2338"/>
        <item m="1" x="6874"/>
        <item m="1" x="6435"/>
        <item m="1" x="420"/>
        <item m="1" x="2290"/>
        <item m="1" x="5703"/>
        <item m="1" x="1111"/>
        <item m="1" x="6053"/>
        <item m="1" x="161"/>
        <item m="1" x="6596"/>
        <item m="1" x="815"/>
        <item m="1" x="696"/>
        <item m="1" x="1621"/>
        <item m="1" x="2461"/>
        <item m="1" x="5728"/>
        <item m="1" x="5113"/>
        <item m="1" x="2811"/>
        <item m="1" x="2624"/>
        <item m="1" x="302"/>
        <item m="1" x="2074"/>
        <item m="1" x="5798"/>
        <item m="1" x="1901"/>
        <item m="1" x="6387"/>
        <item m="1" x="950"/>
        <item m="1" x="4813"/>
        <item m="1" x="840"/>
        <item m="1" x="722"/>
        <item m="1" x="606"/>
        <item m="1" x="485"/>
        <item m="1" x="6466"/>
        <item m="1" x="5025"/>
        <item m="1" x="4231"/>
        <item m="1" x="57"/>
        <item m="1" x="1061"/>
        <item m="1" x="7982"/>
        <item m="1" x="625"/>
        <item m="1" x="4644"/>
        <item m="1" x="73"/>
        <item m="1" x="4224"/>
        <item m="1" x="5220"/>
        <item m="1" x="5628"/>
        <item m="1" x="7075"/>
        <item m="1" x="4230"/>
        <item m="1" x="5179"/>
        <item m="1" x="6492"/>
        <item m="1" x="7752"/>
        <item m="1" x="6005"/>
        <item m="1" x="4624"/>
        <item m="1" x="3984"/>
        <item m="1" x="941"/>
        <item m="1" x="523"/>
        <item m="1" x="4319"/>
        <item m="1" x="327"/>
        <item m="1" x="7330"/>
        <item m="1" x="2665"/>
        <item m="1" x="1519"/>
        <item m="1" x="2328"/>
        <item m="1" x="1218"/>
        <item m="1" x="5462"/>
        <item m="1" x="4569"/>
        <item m="1" x="3561"/>
        <item m="1" x="1316"/>
        <item m="1" x="5262"/>
        <item m="1" x="1455"/>
        <item m="1" x="5409"/>
        <item m="1" x="7066"/>
        <item m="1" x="2497"/>
        <item m="1" x="5275"/>
        <item m="1" x="1609"/>
        <item m="1" x="6343"/>
        <item m="1" x="3549"/>
        <item m="1" x="6927"/>
        <item m="1" x="4227"/>
        <item m="1" x="415"/>
        <item m="1" x="1167"/>
        <item m="1" x="577"/>
        <item m="1" x="5129"/>
        <item m="1" x="163"/>
        <item m="1" x="1984"/>
        <item m="1" x="5004"/>
        <item m="1" x="4233"/>
        <item m="1" x="7905"/>
        <item m="1" x="3737"/>
        <item m="1" x="4263"/>
        <item m="1" x="4515"/>
        <item m="1" x="4343"/>
        <item m="1" x="4537"/>
        <item m="1" x="72"/>
        <item m="1" x="591"/>
        <item m="1" x="4187"/>
        <item m="1" x="2324"/>
        <item m="1" x="3310"/>
        <item m="1" x="2362"/>
        <item m="1" x="4453"/>
        <item m="1" x="1046"/>
        <item m="1" x="5325"/>
        <item m="1" x="1954"/>
        <item m="1" x="2826"/>
        <item m="1" x="4645"/>
        <item m="1" x="4311"/>
        <item m="1" x="739"/>
        <item m="1" x="1264"/>
        <item m="1" x="5010"/>
        <item m="1" x="2054"/>
        <item m="1" x="2796"/>
        <item m="1" x="6493"/>
        <item m="1" x="1663"/>
        <item m="1" x="1042"/>
        <item m="1" x="5674"/>
        <item m="1" x="5317"/>
        <item m="1" x="1372"/>
        <item m="1" x="826"/>
        <item m="1" x="4605"/>
        <item m="1" x="1360"/>
        <item m="1" x="6029"/>
        <item m="1" x="2154"/>
        <item m="1" x="4802"/>
        <item m="1" x="3400"/>
        <item m="1" x="3535"/>
        <item m="1" x="520"/>
        <item m="1" x="6167"/>
        <item m="1" x="2319"/>
        <item m="1" x="1159"/>
        <item m="1" x="5120"/>
        <item m="1" x="2639"/>
        <item m="1" x="4999"/>
        <item m="1" x="857"/>
        <item m="1" x="1631"/>
        <item m="1" x="3898"/>
        <item m="1" x="2672"/>
        <item m="1" x="1822"/>
        <item m="1" x="1497"/>
        <item m="1" x="3155"/>
        <item m="1" x="1883"/>
        <item m="1" x="773"/>
        <item m="1" x="4755"/>
        <item m="1" x="886"/>
        <item m="1" x="4896"/>
        <item m="1" x="928"/>
        <item m="1" x="4792"/>
        <item m="1" x="811"/>
        <item m="1" x="693"/>
        <item m="1" x="6416"/>
        <item m="1" x="3084"/>
        <item m="1" x="6729"/>
        <item m="1" x="417"/>
        <item m="1" x="5250"/>
        <item m="1" x="7328"/>
        <item m="1" x="1754"/>
        <item m="1" x="1537"/>
        <item m="1" x="6328"/>
        <item m="1" x="1773"/>
        <item m="1" x="4754"/>
        <item m="1" x="1617"/>
        <item m="1" x="986"/>
        <item m="1" x="1713"/>
        <item m="1" x="1299"/>
        <item m="1" x="5116"/>
        <item m="1" x="1155"/>
        <item m="1" x="4883"/>
        <item m="1" x="918"/>
        <item m="1" x="5533"/>
        <item m="1" x="4983"/>
        <item m="1" x="5393"/>
        <item m="1" x="5099"/>
        <item m="1" x="1279"/>
        <item m="1" x="7499"/>
        <item m="1" x="1964"/>
        <item m="1" x="1224"/>
        <item m="1" x="670"/>
        <item m="1" x="1289"/>
        <item m="1" x="1424"/>
        <item m="1" x="5380"/>
        <item m="1" x="1434"/>
        <item m="1" x="5233"/>
        <item m="1" x="1592"/>
        <item m="1" x="5109"/>
        <item m="1" x="4198"/>
        <item m="1" x="7865"/>
        <item m="1" x="884"/>
        <item m="1" x="1151"/>
        <item m="1" x="5507"/>
        <item m="1" x="38"/>
        <item m="1" x="5242"/>
        <item m="1" x="1021"/>
        <item m="1" x="5197"/>
        <item m="1" x="5656"/>
        <item m="1" x="2077"/>
        <item m="1" x="2317"/>
        <item m="1" x="4082"/>
        <item m="1" x="3960"/>
        <item m="1" x="1274"/>
        <item m="1" x="7371"/>
        <item m="1" x="7235"/>
        <item m="1" x="4536"/>
        <item m="1" x="5346"/>
        <item m="1" x="1545"/>
        <item m="1" x="896"/>
        <item m="1" x="1925"/>
        <item m="1" x="1574"/>
        <item m="1" x="1757"/>
        <item m="1" x="5515"/>
        <item m="1" x="454"/>
        <item m="1" x="3458"/>
        <item m="1" x="1734"/>
        <item m="1" x="2689"/>
        <item m="1" x="4980"/>
        <item m="1" x="2813"/>
        <item m="1" x="7189"/>
        <item m="1" x="4691"/>
        <item m="1" x="5372"/>
        <item m="1" x="3819"/>
        <item m="1" x="7595"/>
        <item m="1" x="3946"/>
        <item m="1" x="7727"/>
        <item m="1" x="6156"/>
        <item m="1" x="121"/>
        <item m="1" x="3422"/>
        <item m="1" x="4887"/>
        <item m="1" x="7882"/>
        <item m="1" x="5158"/>
        <item m="1" x="947"/>
        <item m="1" x="5077"/>
        <item m="1" x="5770"/>
        <item m="1" x="1872"/>
        <item m="1" x="5612"/>
        <item m="1" x="1702"/>
        <item m="1" x="5475"/>
        <item m="1" x="1530"/>
        <item m="1" x="5336"/>
        <item m="1" x="1385"/>
        <item m="1" x="5203"/>
        <item m="1" x="1243"/>
        <item m="1" x="5905"/>
        <item m="1" x="2020"/>
        <item m="1" x="1687"/>
        <item m="1" x="5465"/>
        <item m="1" x="3933"/>
        <item m="1" x="7571"/>
        <item m="1" x="284"/>
        <item m="1" x="4406"/>
        <item m="1" x="146"/>
        <item m="1" x="4298"/>
        <item m="1" x="7980"/>
        <item m="1" x="4177"/>
        <item m="1" x="7839"/>
        <item m="1" x="4056"/>
        <item m="1" x="7694"/>
        <item m="1" x="385"/>
        <item m="1" x="1522"/>
        <item m="1" x="2492"/>
        <item m="1" x="5500"/>
        <item m="1" x="1419"/>
        <item m="1" x="5230"/>
        <item m="1" x="387"/>
        <item m="1" x="1401"/>
        <item m="1" x="1558"/>
        <item m="1" x="7816"/>
        <item m="1" x="7952"/>
        <item m="1" x="1378"/>
        <item m="1" x="1846"/>
        <item m="1" x="1232"/>
        <item m="1" x="259"/>
        <item m="1" x="2482"/>
        <item m="1" x="4381"/>
        <item m="1" x="1246"/>
        <item m="1" x="4397"/>
        <item m="1" x="7622"/>
        <item m="1" x="4491"/>
        <item m="1" x="4782"/>
        <item m="1" x="801"/>
        <item m="1" x="5357"/>
        <item m="1" x="7958"/>
        <item m="1" x="4161"/>
        <item m="1" x="7821"/>
        <item m="1" x="685"/>
        <item m="1" x="5236"/>
        <item m="1" x="1282"/>
        <item m="1" x="273"/>
        <item m="1" x="2226"/>
        <item m="1" x="1236"/>
        <item m="1" x="6163"/>
        <item m="1" x="374"/>
        <item m="1" x="4495"/>
        <item m="1" x="4382"/>
        <item m="1" x="497"/>
        <item m="1" x="729"/>
        <item m="1" x="614"/>
        <item m="1" x="504"/>
        <item m="1" x="7433"/>
        <item m="1" x="7992"/>
        <item m="1" x="4071"/>
        <item m="1" x="4308"/>
        <item m="1" x="157"/>
        <item m="1" x="4413"/>
        <item m="1" x="7439"/>
        <item m="1" x="4191"/>
        <item m="1" x="7855"/>
        <item m="1" x="7710"/>
        <item m="1" x="127"/>
        <item m="1" x="1884"/>
        <item m="1" x="210"/>
        <item m="1" x="7468"/>
        <item m="1" x="1800"/>
        <item m="1" x="6299"/>
        <item m="1" x="3408"/>
        <item m="1" x="5941"/>
        <item m="1" x="1146"/>
        <item m="1" x="2057"/>
        <item m="1" x="719"/>
        <item m="1" x="1348"/>
        <item m="1" x="2799"/>
        <item m="1" x="4856"/>
        <item m="1" x="4554"/>
        <item m="1" x="5377"/>
        <item m="1" x="5782"/>
        <item m="1" x="2902"/>
        <item m="1" x="6021"/>
        <item m="1" x="6046"/>
        <item m="1" x="5526"/>
        <item m="1" x="1886"/>
        <item m="1" x="6092"/>
        <item m="1" x="4475"/>
        <item m="1" x="213"/>
        <item m="1" x="2181"/>
        <item m="1" x="109"/>
        <item m="1" x="372"/>
        <item m="1" x="4456"/>
        <item m="1" x="215"/>
        <item m="1" x="5892"/>
        <item m="1" x="2005"/>
        <item m="1" x="305"/>
        <item m="1" x="7338"/>
        <item m="1" x="3568"/>
        <item m="1" x="394"/>
        <item m="1" x="4985"/>
        <item m="1" x="257"/>
        <item m="1" x="5742"/>
        <item m="1" x="4780"/>
        <item m="1" x="4812"/>
        <item m="1" x="839"/>
        <item m="1" x="799"/>
        <item m="1" x="2486"/>
        <item m="1" x="5960"/>
        <item m="1" x="555"/>
        <item m="1" x="5743"/>
        <item m="1" x="7511"/>
        <item m="1" x="682"/>
        <item m="1" x="1572"/>
        <item m="1" x="4876"/>
        <item m="1" x="369"/>
        <item m="1" x="4309"/>
        <item m="1" x="158"/>
        <item m="1" x="4414"/>
        <item m="1" x="293"/>
        <item m="1" x="7993"/>
        <item m="1" x="7907"/>
        <item m="1" x="2789"/>
        <item m="1" x="5135"/>
        <item m="1" x="1160"/>
        <item m="1" x="1023"/>
        <item m="1" x="908"/>
        <item m="1" x="4773"/>
        <item m="1" x="6293"/>
        <item m="1" x="7998"/>
        <item m="1" x="4489"/>
        <item m="1" x="4091"/>
        <item m="1" x="4480"/>
        <item m="1" x="487"/>
        <item m="1" x="5622"/>
        <item m="1" x="1541"/>
        <item m="1" x="6222"/>
        <item m="1" x="5000"/>
        <item m="1" x="607"/>
        <item m="1" x="6161"/>
        <item m="1" x="5850"/>
        <item m="1" x="4192"/>
        <item m="1" x="507"/>
        <item m="1" x="3725"/>
        <item m="1" x="3976"/>
        <item m="1" x="252"/>
        <item m="1" x="6581"/>
        <item m="1" x="362"/>
        <item m="1" x="242"/>
        <item m="1" x="2310"/>
        <item m="1" x="99"/>
        <item m="1" x="4368"/>
        <item m="1" x="1918"/>
        <item m="1" x="6951"/>
        <item m="1" x="5365"/>
        <item m="1" x="791"/>
        <item m="1" x="1411"/>
        <item m="1" x="4682"/>
        <item m="1" x="346"/>
        <item m="1" x="5721"/>
        <item m="1" x="4143"/>
        <item m="1" x="3420"/>
        <item m="1" x="4072"/>
        <item m="1" x="3722"/>
        <item m="1" x="4949"/>
        <item m="1" x="605"/>
        <item m="1" x="721"/>
        <item m="1" x="3156"/>
        <item m="1" x="7899"/>
        <item m="1" x="2625"/>
        <item m="1" x="962"/>
        <item m="1" x="7386"/>
        <item m="1" x="386"/>
        <item m="1" x="7840"/>
        <item m="1" x="147"/>
        <item m="1" x="7981"/>
        <item m="1" x="4178"/>
        <item m="1" x="4407"/>
        <item m="1" x="1128"/>
        <item m="1" x="5090"/>
        <item m="1" x="4299"/>
        <item m="1" x="4971"/>
        <item m="1" x="472"/>
        <item m="1" x="484"/>
        <item m="1" x="4533"/>
        <item m="1" x="397"/>
        <item m="1" x="593"/>
        <item m="1" x="3161"/>
        <item m="1" x="3855"/>
        <item m="1" x="285"/>
        <item m="1" x="4100"/>
        <item m="1" x="5085"/>
        <item m="1" x="494"/>
        <item m="1" x="709"/>
        <item m="1" x="7308"/>
        <item m="1" x="4794"/>
        <item m="1" x="2784"/>
        <item m="1" x="7711"/>
        <item m="1" x="4597"/>
        <item m="1" x="813"/>
        <item m="1" x="2792"/>
        <item m="1" x="3186"/>
        <item m="1" x="272"/>
        <item m="1" x="4396"/>
        <item m="1" x="126"/>
        <item m="1" x="4284"/>
        <item m="1" x="7959"/>
        <item m="1" x="615"/>
        <item m="1" x="897"/>
        <item m="1" x="2807"/>
        <item m="1" x="558"/>
        <item m="1" x="260"/>
        <item m="1" x="4496"/>
        <item m="1" x="1013"/>
        <item m="1" x="4866"/>
        <item m="1" x="1550"/>
        <item m="1" x="5491"/>
        <item m="1" x="4383"/>
        <item m="1" x="4437"/>
        <item m="1" x="2481"/>
        <item m="1" x="112"/>
        <item m="1" x="1394"/>
        <item m="1" x="187"/>
        <item m="1" x="6173"/>
        <item m="1" x="616"/>
        <item m="1" x="575"/>
        <item m="1" x="4885"/>
        <item m="1" x="5349"/>
        <item m="1" x="4467"/>
        <item m="1" x="4488"/>
        <item m="1" x="6004"/>
        <item m="1" x="6896"/>
        <item m="1" x="447"/>
        <item m="1" x="7737"/>
        <item m="1" x="768"/>
        <item m="1" x="460"/>
        <item m="1" x="336"/>
        <item m="1" x="6160"/>
        <item m="1" x="608"/>
        <item m="1" x="2315"/>
        <item m="1" x="694"/>
        <item m="1" x="2623"/>
        <item m="1" x="373"/>
        <item m="1" x="723"/>
        <item m="1" x="920"/>
        <item m="1" x="3117"/>
        <item m="1" x="1977"/>
        <item m="1" x="6706"/>
        <item m="1" x="4479"/>
        <item m="1" x="7924"/>
        <item m="1" x="683"/>
        <item m="1" x="559"/>
        <item m="1" x="4252"/>
        <item m="1" x="4466"/>
        <item m="1" x="226"/>
        <item m="1" x="363"/>
        <item m="1" x="3533"/>
        <item m="1" x="6444"/>
        <item m="1" x="5212"/>
        <item m="1" x="1254"/>
        <item m="1" x="6453"/>
        <item m="1" x="192"/>
        <item m="1" x="7398"/>
        <item m="1" x="4947"/>
        <item m="1" x="4874"/>
        <item m="1" x="4771"/>
        <item m="1" x="765"/>
        <item m="1" x="5049"/>
        <item m="1" x="6763"/>
        <item m="1" x="4804"/>
        <item m="1" x="789"/>
        <item m="1" x="4220"/>
        <item m="1" x="6298"/>
        <item m="1" x="4541"/>
        <item m="1" x="7361"/>
        <item m="1" x="550"/>
        <item m="1" x="3733"/>
        <item m="1" x="6302"/>
        <item m="1" x="3141"/>
        <item m="1" x="4990"/>
        <item m="1" x="7083"/>
        <item m="1" x="1362"/>
        <item m="1" x="5556"/>
        <item m="1" x="7772"/>
        <item m="1" x="3323"/>
        <item m="1" x="5030"/>
        <item m="1" x="7357"/>
        <item m="1" x="906"/>
        <item m="1" x="3066"/>
        <item m="1" x="6840"/>
        <item m="1" x="5155"/>
        <item m="1" x="1192"/>
        <item m="1" x="2986"/>
        <item m="1" x="3711"/>
        <item m="1" x="355"/>
        <item m="1" x="342"/>
        <item m="1" x="6962"/>
        <item m="1" x="5284"/>
        <item m="1" x="1341"/>
        <item m="1" x="3586"/>
        <item m="1" x="3436"/>
        <item m="1" x="7224"/>
        <item m="1" x="4524"/>
        <item m="1" x="6701"/>
        <item m="1" x="498"/>
        <item m="1" x="5585"/>
        <item m="1" x="4035"/>
        <item m="1" x="371"/>
        <item m="1" x="3187"/>
        <item m="1" x="7734"/>
        <item m="1" x="341"/>
        <item m="1" x="3593"/>
        <item m="1" x="2477"/>
        <item m="1" x="1464"/>
        <item m="1" x="1066"/>
        <item m="1" x="4913"/>
        <item m="1" x="946"/>
        <item m="1" x="1619"/>
        <item m="1" x="5272"/>
        <item m="1" x="825"/>
        <item m="1" x="4801"/>
        <item m="1" x="924"/>
        <item m="1" x="6711"/>
        <item m="1" x="1178"/>
        <item m="1" x="5015"/>
        <item m="1" x="6836"/>
        <item m="1" x="5422"/>
        <item m="1" x="5962"/>
        <item m="1" x="3499"/>
        <item m="1" x="1327"/>
        <item m="1" x="3867"/>
        <item m="1" x="261"/>
        <item m="1" x="4492"/>
        <item m="1" x="4418"/>
        <item m="1" x="4080"/>
        <item m="1" x="4111"/>
        <item m="1" x="2775"/>
        <item m="1" x="7358"/>
        <item m="1" x="3557"/>
        <item m="1" x="256"/>
        <item m="1" x="4264"/>
        <item m="1" x="299"/>
        <item m="1" x="2450"/>
        <item m="1" x="3967"/>
        <item m="1" x="2483"/>
        <item m="1" x="3583"/>
        <item m="1" x="6560"/>
        <item m="1" x="6012"/>
        <item m="1" x="6295"/>
        <item m="1" x="1623"/>
        <item m="1" x="3428"/>
        <item m="1" x="375"/>
        <item m="1" x="3050"/>
        <item m="1" x="4144"/>
        <item m="1" x="7800"/>
        <item m="1" x="4539"/>
        <item m="1" x="5818"/>
        <item m="1" x="706"/>
        <item m="1" x="356"/>
        <item m="1" x="4632"/>
        <item m="1" x="7549"/>
        <item m="1" x="2470"/>
        <item m="1" x="1789"/>
        <item m="1" x="1513"/>
        <item m="1" x="4327"/>
        <item m="1" x="354"/>
        <item m="1" x="6950"/>
        <item m="1" x="5545"/>
        <item m="1" x="5104"/>
        <item m="1" x="1147"/>
        <item m="1" x="4986"/>
        <item m="1" x="1024"/>
        <item m="1" x="4877"/>
        <item m="1" x="909"/>
        <item m="1" x="5510"/>
        <item m="1" x="1567"/>
        <item m="1" x="5366"/>
        <item m="1" x="5224"/>
        <item m="1" x="1268"/>
        <item m="1" x="5091"/>
        <item m="1" x="1129"/>
        <item m="1" x="4972"/>
        <item m="1" x="1014"/>
        <item m="1" x="5633"/>
        <item m="1" x="1726"/>
        <item m="1" x="5492"/>
        <item m="1" x="5350"/>
        <item m="1" x="1395"/>
        <item m="1" x="5213"/>
        <item m="1" x="1255"/>
        <item m="1" x="5078"/>
        <item m="1" x="1122"/>
        <item m="1" x="5774"/>
        <item m="1" x="1876"/>
        <item m="1" x="5615"/>
        <item m="1" x="1705"/>
        <item m="1" x="5478"/>
        <item m="1" x="2916"/>
        <item m="1" x="1052"/>
        <item m="1" x="1286"/>
        <item m="1" x="5978"/>
        <item m="1" x="7754"/>
        <item m="1" x="5240"/>
        <item m="1" x="7076"/>
        <item m="1" x="358"/>
        <item m="1" x="4477"/>
        <item m="1" x="239"/>
        <item m="1" x="5387"/>
        <item m="1" x="4103"/>
        <item m="1" x="2406"/>
        <item m="1" x="2613"/>
        <item m="1" x="1431"/>
        <item m="1" x="716"/>
        <item m="1" x="4603"/>
        <item m="1" x="5070"/>
        <item m="1" x="3694"/>
        <item m="1" x="549"/>
        <item m="1" x="1445"/>
        <item m="1" x="5256"/>
        <item m="1" x="1305"/>
        <item m="1" x="5124"/>
        <item m="1" x="1163"/>
        <item m="1" x="1939"/>
        <item m="1" x="2545"/>
        <item m="1" x="5654"/>
        <item m="1" x="5817"/>
        <item m="1" x="1922"/>
        <item m="1" x="1751"/>
        <item m="1" x="2989"/>
        <item m="1" x="2092"/>
        <item m="1" x="2454"/>
        <item m="1" x="1605"/>
        <item m="1" x="5528"/>
        <item m="1" x="1786"/>
        <item m="1" x="2223"/>
        <item m="1" x="4365"/>
        <item m="1" x="7922"/>
        <item m="1" x="1158"/>
        <item m="1" x="1221"/>
        <item m="1" x="5667"/>
        <item m="1" x="5404"/>
        <item m="1" x="4611"/>
        <item m="1" x="6105"/>
        <item m="1" x="1570"/>
        <item m="1" x="4250"/>
        <item m="1" x="97"/>
        <item m="1" x="3308"/>
        <item m="1" x="6960"/>
        <item m="1" x="7081"/>
        <item m="1" x="3433"/>
        <item m="1" x="3982"/>
        <item m="1" x="7644"/>
        <item m="1" x="3866"/>
        <item m="1" x="7497"/>
        <item m="1" x="7216"/>
        <item m="1" x="1008"/>
        <item m="1" x="4863"/>
        <item m="1" x="3860"/>
        <item m="1" x="7492"/>
        <item m="1" x="5543"/>
        <item m="1" x="3118"/>
        <item m="1" x="4672"/>
        <item m="1" x="5153"/>
        <item m="1" x="5525"/>
        <item m="1" x="7895"/>
        <item m="1" x="4433"/>
        <item m="1" x="6566"/>
        <item m="1" x="2241"/>
        <item m="1" x="589"/>
        <item m="1" x="1585"/>
        <item m="1" x="1538"/>
        <item m="1" x="5513"/>
        <item m="1" x="4214"/>
        <item m="1" x="227"/>
        <item m="1" x="7003"/>
        <item m="1" x="3618"/>
        <item m="1" x="4538"/>
        <item m="1" x="2774"/>
        <item m="1" x="5008"/>
        <item m="1" x="4497"/>
        <item m="1" x="590"/>
        <item m="1" x="4211"/>
        <item m="1" x="4610"/>
        <item m="1" x="5343"/>
        <item m="1" x="1281"/>
        <item m="1" x="5598"/>
        <item m="1" x="479"/>
        <item m="1" x="3342"/>
        <item m="1" x="6716"/>
        <item m="1" x="7616"/>
        <item m="1" x="2985"/>
        <item m="1" x="2051"/>
        <item m="1" x="4760"/>
        <item m="1" x="3714"/>
        <item m="1" x="224"/>
        <item m="1" x="3596"/>
        <item m="1" x="2490"/>
        <item m="1" x="4975"/>
        <item m="1" x="3961"/>
        <item m="1" x="5483"/>
        <item m="1" x="4464"/>
        <item m="1" x="5776"/>
        <item m="1" x="1103"/>
        <item m="1" x="7640"/>
        <item m="1" x="4719"/>
        <item m="1" x="6054"/>
        <item m="1" x="4355"/>
        <item m="1" x="1920"/>
        <item m="1" x="84"/>
        <item m="1" x="6707"/>
        <item m="1" x="4745"/>
        <item m="1" x="1603"/>
        <item m="1" x="5401"/>
        <item m="1" x="1442"/>
        <item m="1" x="5651"/>
        <item m="1" x="1748"/>
        <item m="1" x="6044"/>
        <item m="1" x="702"/>
        <item m="1" x="5119"/>
        <item m="1" x="1302"/>
        <item m="1" x="2914"/>
        <item m="1" x="5509"/>
        <item m="1" x="5364"/>
        <item m="1" x="2469"/>
        <item m="1" x="7455"/>
        <item m="1" x="2073"/>
        <item m="1" x="5797"/>
        <item m="1" x="1900"/>
        <item m="1" x="5636"/>
        <item m="1" x="1729"/>
        <item m="1" x="5495"/>
        <item m="1" x="1553"/>
        <item m="1" x="6237"/>
        <item m="1" x="6089"/>
        <item m="1" x="5617"/>
        <item m="1" x="1708"/>
        <item m="1" x="2240"/>
        <item m="1" x="6220"/>
        <item m="1" x="2647"/>
        <item m="1" x="4508"/>
        <item m="1" x="6177"/>
        <item m="1" x="4109"/>
        <item m="1" x="5957"/>
        <item m="1" x="5189"/>
        <item m="1" x="633"/>
        <item m="1" x="2800"/>
        <item m="1" x="6038"/>
        <item m="1" x="169"/>
        <item m="1" x="2167"/>
        <item m="1" x="5887"/>
        <item m="1" x="42"/>
        <item m="1" x="5007"/>
        <item m="1" x="5955"/>
        <item m="1" x="5355"/>
        <item m="1" x="1427"/>
        <item m="1" x="3641"/>
        <item m="1" x="2045"/>
        <item m="1" x="6104"/>
        <item m="1" x="2026"/>
        <item m="1" x="6404"/>
        <item m="1" x="2771"/>
        <item m="1" x="1671"/>
        <item m="1" x="468"/>
        <item m="1" x="1549"/>
        <item m="1" x="1368"/>
        <item m="1" x="2488"/>
        <item m="1" x="2690"/>
        <item m="1" x="5560"/>
        <item m="1" x="2405"/>
        <item m="1" x="1589"/>
        <item m="1" x="571"/>
        <item m="1" x="573"/>
        <item m="1" x="6236"/>
        <item m="1" x="5115"/>
        <item m="1" x="692"/>
        <item m="1" x="5926"/>
        <item m="1" x="6837"/>
        <item m="1" x="2480"/>
        <item m="1" x="6027"/>
        <item m="1" x="1772"/>
        <item m="1" x="1485"/>
        <item m="1" x="2619"/>
        <item m="1" x="2766"/>
        <item m="1" x="7977"/>
        <item m="1" x="927"/>
        <item m="1" x="2009"/>
        <item m="1" x="4673"/>
        <item m="1" x="705"/>
        <item m="1" x="6087"/>
        <item m="1" x="2221"/>
        <item m="1" x="4716"/>
        <item m="1" x="4146"/>
        <item m="1" x="4814"/>
        <item m="1" x="5332"/>
        <item m="1" x="6146"/>
        <item m="1" x="5406"/>
        <item m="1" x="7356"/>
        <item m="1" x="5878"/>
        <item m="1" x="237"/>
        <item m="1" x="869"/>
        <item m="1" x="6696"/>
        <item m="1" x="255"/>
        <item m="1" x="4666"/>
        <item m="1" x="5112"/>
        <item m="1" x="1102"/>
        <item m="1" x="2165"/>
        <item m="1" x="583"/>
        <item m="1" x="917"/>
        <item m="1" x="4882"/>
        <item m="1" x="4779"/>
        <item m="1" x="798"/>
        <item m="1" x="2917"/>
        <item m="1" x="7733"/>
        <item m="1" x="3563"/>
        <item m="1" x="7834"/>
        <item m="1" x="5647"/>
        <item m="1" x="5781"/>
        <item m="1" x="5253"/>
        <item m="1" x="1540"/>
        <item m="1" x="1388"/>
        <item m="1" x="5916"/>
        <item m="1" x="2035"/>
        <item m="1" x="5761"/>
        <item m="1" x="5605"/>
        <item m="1" x="5471"/>
        <item m="1" x="1525"/>
        <item m="1" x="5833"/>
        <item m="1" x="2548"/>
        <item m="1" x="1938"/>
        <item m="1" x="1768"/>
        <item m="1" x="5815"/>
        <item m="1" x="1878"/>
        <item m="1" x="1566"/>
        <item m="1" x="1410"/>
        <item m="1" x="5577"/>
        <item m="1" x="7795"/>
        <item m="1" x="5896"/>
        <item m="1" x="2013"/>
        <item m="1" x="5748"/>
        <item m="1" x="1848"/>
        <item m="1" x="5597"/>
        <item m="1" x="4895"/>
        <item m="1" x="1045"/>
        <item m="1" x="2379"/>
        <item m="1" x="6067"/>
        <item m="1" x="2199"/>
        <item m="1" x="5910"/>
        <item m="1" x="5009"/>
        <item m="1" x="470"/>
        <item m="1" x="5490"/>
        <item m="1" x="1725"/>
        <item m="1" x="1858"/>
        <item m="1" x="5759"/>
        <item m="1" x="6495"/>
        <item m="1" x="2357"/>
        <item m="1" x="5895"/>
        <item m="1" x="6049"/>
        <item m="1" x="2180"/>
        <item m="1" x="2824"/>
        <item m="1" x="1682"/>
        <item m="1" x="6332"/>
        <item m="1" x="2342"/>
        <item m="1" x="6039"/>
        <item m="1" x="6477"/>
        <item m="1" x="2668"/>
        <item m="1" x="5068"/>
        <item m="1" x="6325"/>
        <item m="1" x="2506"/>
        <item m="1" x="6186"/>
        <item m="1" x="5888"/>
        <item m="1" x="2164"/>
        <item m="1" x="5697"/>
        <item m="1" x="124"/>
        <item m="1" x="4281"/>
        <item m="1" x="7956"/>
        <item m="1" x="4159"/>
        <item m="1" x="7820"/>
        <item m="1" x="4036"/>
        <item m="1" x="7677"/>
        <item m="1" x="1491"/>
        <item m="1" x="841"/>
        <item m="1" x="1154"/>
        <item m="1" x="4995"/>
        <item m="1" x="2002"/>
        <item m="1" x="5738"/>
        <item m="1" x="1838"/>
        <item m="1" x="5309"/>
        <item m="1" x="690"/>
        <item m="1" x="1033"/>
        <item m="1" x="228"/>
        <item m="1" x="1874"/>
        <item m="1" x="6367"/>
        <item m="1" x="5614"/>
        <item m="1" x="2048"/>
        <item m="1" x="7436"/>
        <item m="1" x="4598"/>
        <item m="1" x="3663"/>
        <item m="1" x="5772"/>
        <item m="1" x="7470"/>
        <item m="1" x="1744"/>
        <item m="1" x="5248"/>
        <item m="1" x="1297"/>
        <item m="1" x="4604"/>
        <item m="1" x="1358"/>
        <item m="1" x="5932"/>
        <item m="1" x="2220"/>
        <item m="1" x="3815"/>
        <item m="1" x="5773"/>
        <item m="1" x="7364"/>
        <item m="1" x="2047"/>
        <item m="1" x="5933"/>
        <item m="1" x="3890"/>
        <item m="1" x="7526"/>
        <item m="1" x="5820"/>
        <item m="1" x="6217"/>
        <item m="1" x="5477"/>
        <item m="1" x="1532"/>
        <item m="1" x="2377"/>
        <item m="1" x="2920"/>
        <item m="1" x="1704"/>
        <item m="1" x="3695"/>
        <item m="1" x="4543"/>
        <item m="1" x="2511"/>
        <item m="1" x="4000"/>
        <item m="1" x="4784"/>
        <item m="1" x="7779"/>
        <item m="1" x="3763"/>
        <item m="1" x="3213"/>
        <item m="1" x="2661"/>
        <item m="1" x="2018"/>
        <item m="1" x="1389"/>
        <item m="1" x="900"/>
        <item m="1" x="7319"/>
        <item m="1" x="3536"/>
        <item m="1" x="212"/>
        <item m="1" x="4616"/>
        <item m="1" x="5184"/>
        <item m="1" x="3052"/>
        <item m="1" x="7176"/>
        <item m="1" x="4476"/>
        <item m="1" x="3878"/>
        <item m="1" x="7349"/>
        <item m="1" x="6553"/>
        <item m="1" x="2904"/>
        <item m="1" x="6064"/>
        <item m="1" x="2197"/>
        <item m="1" x="5907"/>
        <item m="1" x="2022"/>
        <item m="1" x="442"/>
        <item m="1" x="6700"/>
        <item m="1" x="216"/>
        <item m="1" x="4457"/>
        <item m="1" x="4350"/>
        <item m="1" x="1855"/>
        <item m="1" x="5444"/>
        <item m="1" x="5719"/>
        <item m="1" x="3182"/>
        <item m="1" x="3389"/>
        <item m="1" x="5756"/>
        <item m="1" x="5602"/>
        <item m="1" x="7461"/>
        <item m="1" x="3993"/>
        <item m="1" x="7771"/>
        <item m="1" x="7038"/>
        <item m="1" x="2924"/>
        <item m="1" x="4562"/>
        <item m="1" x="3306"/>
        <item m="1" x="5232"/>
        <item m="1" x="3263"/>
        <item m="1" x="6911"/>
        <item m="1" x="165"/>
        <item m="1" x="6839"/>
        <item m="1" x="4595"/>
        <item m="1" x="3953"/>
        <item m="1" x="7667"/>
        <item m="1" x="536"/>
        <item m="1" x="7606"/>
        <item m="1" x="4019"/>
        <item m="1" x="4775"/>
        <item m="1" x="5382"/>
        <item m="1" x="1584"/>
        <item m="1" x="1441"/>
        <item m="1" x="6467"/>
        <item m="1" x="1753"/>
        <item m="1" x="4104"/>
        <item m="1" x="3816"/>
        <item m="1" x="4894"/>
        <item m="1" x="3520"/>
        <item m="1" x="7309"/>
        <item m="1" x="7158"/>
        <item m="1" x="3684"/>
        <item m="1" x="240"/>
        <item m="1" x="3176"/>
        <item m="1" x="1324"/>
        <item m="1" x="1463"/>
        <item m="1" x="7459"/>
        <item m="1" x="3988"/>
        <item m="1" x="6838"/>
        <item m="1" x="5043"/>
        <item m="1" x="7725"/>
        <item m="1" x="7026"/>
        <item m="1" x="3374"/>
        <item m="1" x="7879"/>
        <item m="1" x="7593"/>
        <item m="1" x="6957"/>
        <item m="1" x="1747"/>
        <item m="1" x="1689"/>
        <item m="1" x="2523"/>
        <item m="1" x="6197"/>
        <item m="1" x="3817"/>
        <item m="1" x="7437"/>
        <item m="1" x="3664"/>
        <item m="1" x="4830"/>
        <item m="1" x="5222"/>
        <item m="1" x="2544"/>
        <item m="1" x="7660"/>
        <item m="1" x="3573"/>
        <item m="1" x="7291"/>
        <item m="1" x="3502"/>
        <item m="1" x="1035"/>
        <item m="1" x="2582"/>
        <item m="1" x="793"/>
        <item m="1" x="2352"/>
        <item m="1" x="6184"/>
        <item m="1" x="4629"/>
        <item m="1" x="7853"/>
        <item m="1" x="334"/>
        <item m="1" x="458"/>
        <item m="1" x="3646"/>
        <item m="1" x="4739"/>
        <item m="1" x="7911"/>
        <item m="1" x="7569"/>
        <item m="1" x="7415"/>
        <item m="1" x="3452"/>
        <item m="1" x="1073"/>
        <item m="1" x="4778"/>
        <item m="1" x="5653"/>
        <item m="1" x="1921"/>
        <item m="1" x="3034"/>
        <item m="1" x="574"/>
        <item m="1" x="3798"/>
        <item m="1" x="7213"/>
        <item m="1" x="4544"/>
        <item m="1" x="85"/>
        <item m="1" x="4357"/>
        <item m="1" x="4069"/>
        <item m="1" x="3931"/>
        <item m="1" x="1271"/>
        <item m="1" x="5745"/>
        <item m="1" x="5863"/>
        <item m="1" x="4240"/>
        <item m="1" x="7135"/>
        <item m="1" x="2306"/>
        <item m="1" x="2905"/>
        <item m="1" x="5369"/>
        <item m="1" x="4934"/>
        <item m="1" x="3861"/>
        <item m="1" x="473"/>
        <item m="1" x="5567"/>
        <item m="1" x="710"/>
        <item m="1" x="7883"/>
        <item m="1" x="7494"/>
        <item m="1" x="347"/>
        <item m="1" x="4998"/>
        <item m="1" x="7273"/>
        <item m="1" x="1149"/>
        <item m="1" x="4088"/>
        <item m="1" x="1415"/>
        <item m="1" x="4251"/>
        <item m="1" x="7923"/>
        <item m="1" x="4132"/>
        <item m="1" x="7785"/>
        <item m="1" x="4465"/>
        <item m="1" x="225"/>
        <item m="1" x="921"/>
        <item m="1" x="2156"/>
        <item m="1" x="2874"/>
        <item m="1" x="3180"/>
        <item m="1" x="6289"/>
        <item m="1" x="7212"/>
        <item m="1" x="5727"/>
        <item m="1" x="4899"/>
        <item m="1" x="931"/>
        <item m="1" x="4795"/>
        <item m="1" x="814"/>
        <item m="1" x="695"/>
        <item m="1" x="576"/>
        <item m="1" x="5831"/>
        <item m="1" x="428"/>
        <item m="1" x="6318"/>
        <item m="1" x="1267"/>
        <item m="1" x="4293"/>
        <item m="1" x="1414"/>
        <item m="1" x="4349"/>
        <item m="1" x="76"/>
        <item m="1" x="4296"/>
        <item m="1" x="828"/>
        <item m="1" x="800"/>
        <item m="1" x="1134"/>
        <item m="1" x="5207"/>
        <item m="1" x="3424"/>
        <item m="1" x="2654"/>
        <item m="1" x="5089"/>
        <item m="1" x="560"/>
        <item m="1" x="1127"/>
        <item m="1" x="4623"/>
        <item m="1" x="1374"/>
        <item m="1" x="4054"/>
        <item m="1" x="675"/>
        <item m="1" x="7072"/>
        <item m="1" x="4772"/>
        <item m="1" x="7770"/>
        <item m="1" x="518"/>
        <item m="1" x="907"/>
        <item m="1" x="2019"/>
        <item m="1" x="916"/>
        <item m="1" x="6264"/>
        <item m="1" x="1239"/>
        <item m="1" x="4651"/>
        <item m="1" x="4865"/>
        <item m="1" x="190"/>
        <item m="1" x="4875"/>
        <item m="1" x="4945"/>
        <item m="1" x="5175"/>
        <item m="1" x="5307"/>
        <item m="1" x="5102"/>
        <item m="1" x="1381"/>
        <item m="1" x="1007"/>
        <item m="1" x="4033"/>
        <item m="1" x="4970"/>
        <item m="1" x="1145"/>
        <item m="1" x="3558"/>
        <item m="1" x="620"/>
        <item m="1" x="6037"/>
        <item m="1" x="3754"/>
        <item m="1" x="1261"/>
        <item m="1" x="4134"/>
        <item m="1" x="2525"/>
        <item m="1" x="1036"/>
        <item m="1" x="684"/>
        <item m="1" x="5223"/>
        <item m="1" x="2629"/>
        <item m="1" x="5227"/>
        <item m="1" x="1843"/>
        <item m="1" x="2179"/>
        <item m="1" x="781"/>
        <item m="1" x="2326"/>
        <item m="1" x="7658"/>
        <item m="1" x="2243"/>
        <item m="1" x="6447"/>
        <item m="1" x="842"/>
        <item m="1" x="461"/>
        <item m="1" x="790"/>
        <item m="1" x="488"/>
        <item m="1" x="1089"/>
        <item m="1" x="4551"/>
        <item m="1" x="4247"/>
        <item m="1" x="393"/>
        <item m="1" x="93"/>
        <item m="1" x="313"/>
        <item m="1" x="6967"/>
        <item m="1" x="4354"/>
        <item m="1" x="4221"/>
        <item m="1" x="3847"/>
        <item m="1" x="4548"/>
        <item m="1" x="5093"/>
        <item m="1" x="6978"/>
        <item m="1" x="4763"/>
        <item m="1" x="2225"/>
        <item m="1" x="5729"/>
        <item m="1" x="7615"/>
        <item m="1" x="220"/>
        <item m="1" x="395"/>
        <item m="1" x="4956"/>
        <item m="1" x="7211"/>
        <item m="1" x="2768"/>
        <item m="1" x="7190"/>
        <item m="1" x="2489"/>
        <item m="1" x="5324"/>
        <item m="1" x="4858"/>
        <item m="1" x="2498"/>
        <item m="1" x="6181"/>
        <item m="1" x="71"/>
        <item m="1" x="7507"/>
        <item m="1" x="1132"/>
        <item m="1" x="7070"/>
        <item m="1" x="4454"/>
        <item m="1" x="7228"/>
        <item m="1" x="3764"/>
        <item m="1" x="4449"/>
        <item m="1" x="5138"/>
        <item m="1" x="7837"/>
        <item m="1" x="5052"/>
        <item m="1" x="5775"/>
        <item m="1" x="1877"/>
        <item m="1" x="2644"/>
        <item m="1" x="5169"/>
        <item m="1" x="6386"/>
        <item m="1" x="2111"/>
        <item m="1" x="5531"/>
        <item m="1" x="7490"/>
        <item m="1" x="1359"/>
        <item m="1" x="2736"/>
        <item m="1" x="4318"/>
        <item m="1" x="6219"/>
        <item m="1" x="2941"/>
        <item m="1" x="7901"/>
        <item m="1" x="3192"/>
        <item m="1" x="646"/>
        <item m="1" x="6403"/>
        <item m="1" x="7229"/>
        <item m="1" x="3709"/>
        <item m="1" x="2794"/>
        <item m="1" x="7359"/>
        <item m="1" x="5707"/>
        <item m="1" x="2896"/>
        <item m="1" x="4978"/>
        <item m="1" x="5079"/>
        <item m="1" x="7518"/>
        <item m="1" x="3179"/>
        <item m="1" x="5319"/>
        <item m="1" x="5704"/>
        <item m="1" x="5485"/>
        <item m="1" x="5506"/>
        <item m="1" x="1174"/>
        <item m="1" x="796"/>
        <item m="1" x="4587"/>
        <item m="1" x="5813"/>
        <item m="1" x="2270"/>
        <item m="1" x="3567"/>
        <item m="1" x="6250"/>
        <item m="1" x="7024"/>
        <item m="1" x="4494"/>
        <item m="1" x="6587"/>
        <item m="1" x="3435"/>
        <item m="1" x="6845"/>
        <item m="1" x="5081"/>
        <item m="1" x="1037"/>
        <item m="1" x="315"/>
        <item m="1" x="4380"/>
        <item m="1" x="258"/>
        <item m="1" x="4493"/>
        <item m="1" x="7535"/>
        <item m="1" x="3902"/>
        <item m="1" x="1175"/>
        <item m="1" x="2921"/>
        <item m="1" x="4266"/>
        <item m="1" x="111"/>
        <item m="1" x="7638"/>
        <item m="1" x="7802"/>
        <item m="1" x="2460"/>
        <item m="1" x="4265"/>
        <item m="1" x="4929"/>
        <item m="1" x="7938"/>
        <item m="1" x="7485"/>
        <item m="1" x="7088"/>
        <item m="1" x="1653"/>
        <item m="1" x="5935"/>
        <item m="1" x="7368"/>
        <item m="1" x="6527"/>
        <item m="1" x="7939"/>
        <item m="1" x="7801"/>
        <item m="1" x="7226"/>
        <item m="1" x="7346"/>
        <item m="1" x="7649"/>
        <item m="1" x="4590"/>
        <item m="1" x="7383"/>
        <item m="1" x="5012"/>
        <item m="1" x="4145"/>
        <item m="1" x="2184"/>
        <item m="1" x="6968"/>
        <item m="1" x="7896"/>
        <item m="1" x="1029"/>
        <item m="1" x="7488"/>
        <item m="1" x="5310"/>
        <item m="1" x="5071"/>
        <item m="1" x="5496"/>
        <item m="1" x="1244"/>
        <item m="1" x="7759"/>
        <item m="1" x="5186"/>
        <item m="1" x="1048"/>
        <item m="1" x="4898"/>
        <item m="1" x="360"/>
        <item m="1" x="4478"/>
        <item m="1" x="486"/>
        <item m="1" x="5542"/>
        <item m="1" x="4101"/>
        <item m="1" x="361"/>
        <item m="1" x="3708"/>
        <item m="1" x="834"/>
        <item m="1" x="7344"/>
        <item m="1" x="2565"/>
        <item m="1" x="508"/>
        <item m="1" x="241"/>
        <item m="1" x="4367"/>
        <item m="1" x="98"/>
        <item m="1" x="4204"/>
        <item m="1" x="201"/>
        <item m="1" x="4366"/>
        <item m="1" x="4034"/>
        <item m="1" x="1535"/>
        <item m="1" x="6433"/>
        <item m="1" x="1339"/>
        <item m="1" x="5758"/>
        <item m="1" x="867"/>
        <item m="1" x="459"/>
        <item m="1" x="4358"/>
        <item m="1" x="86"/>
        <item m="1" x="3889"/>
        <item m="1" x="677"/>
        <item m="1" x="4870"/>
        <item m="1" x="592"/>
        <item m="1" x="4051"/>
        <item m="1" x="4165"/>
        <item m="1" x="6722"/>
        <item m="1" x="445"/>
        <item m="1" x="1730"/>
        <item m="1" x="6199"/>
        <item m="1" x="4347"/>
        <item m="1" x="1635"/>
        <item m="1" x="51"/>
        <item m="1" x="6663"/>
        <item m="1" x="471"/>
        <item m="1" x="345"/>
        <item m="1" x="1564"/>
        <item m="1" x="5361"/>
        <item m="1" x="4321"/>
        <item m="1" x="3556"/>
        <item m="1" x="5088"/>
        <item m="1" x="2159"/>
        <item m="1" x="4556"/>
        <item m="1" x="335"/>
        <item m="1" x="7637"/>
        <item m="1" x="1392"/>
        <item m="1" x="5347"/>
        <item m="1" x="1546"/>
        <item m="1" x="5487"/>
        <item m="1" x="1722"/>
        <item m="1" x="5630"/>
        <item m="1" x="1011"/>
        <item m="1" x="4969"/>
        <item m="1" x="1126"/>
        <item m="1" x="1390"/>
        <item m="1" x="5890"/>
        <item m="1" x="5210"/>
        <item m="1" x="1252"/>
        <item m="1" x="1121"/>
        <item m="1" x="5400"/>
        <item m="1" x="4625"/>
        <item m="1" x="5353"/>
        <item m="1" x="4642"/>
        <item m="1" x="1994"/>
        <item m="1" x="6157"/>
        <item m="1" x="2376"/>
        <item m="1" x="3445"/>
        <item m="1" x="2663"/>
        <item m="1" x="7486"/>
        <item m="1" x="5047"/>
        <item m="1" x="1398"/>
        <item m="1" x="4205"/>
        <item m="1" x="1095"/>
        <item m="1" x="5549"/>
        <item m="1" x="7738"/>
        <item m="1" x="4930"/>
        <item m="1" x="5166"/>
        <item m="1" x="5627"/>
        <item m="1" x="5249"/>
        <item m="1" x="7103"/>
        <item m="1" x="5121"/>
        <item m="1" x="1303"/>
        <item m="1" x="324"/>
        <item m="1" x="310"/>
        <item m="1" x="437"/>
        <item m="1" x="6991"/>
        <item m="1" x="6431"/>
        <item m="1" x="5341"/>
        <item m="1" x="7666"/>
        <item m="1" x="923"/>
        <item m="1" x="4943"/>
        <item m="1" x="3728"/>
        <item m="1" x="1038"/>
        <item m="1" x="1060"/>
        <item m="1" x="3718"/>
        <item m="1" x="1412"/>
        <item m="1" x="7031"/>
        <item m="1" x="1695"/>
        <item m="1" x="7632"/>
        <item m="1" x="2341"/>
        <item m="1" x="5881"/>
        <item m="1" x="4547"/>
        <item m="1" x="5330"/>
        <item m="1" x="4993"/>
        <item m="1" x="1543"/>
        <item m="1" x="6275"/>
        <item m="1" x="2011"/>
        <item m="1" x="3862"/>
        <item m="1" x="4855"/>
        <item m="1" x="3854"/>
        <item m="1" x="4888"/>
        <item m="1" x="4783"/>
        <item m="1" x="802"/>
        <item m="1" x="5384"/>
        <item m="1" x="1428"/>
        <item m="1" x="1283"/>
        <item m="1" x="5237"/>
        <item m="1" x="3705"/>
        <item m="1" x="865"/>
        <item m="1" x="1841"/>
        <item m="1" x="1190"/>
        <item m="1" x="2043"/>
        <item m="1" x="7708"/>
        <item m="1" x="2177"/>
        <item m="1" x="1062"/>
        <item m="1" x="7631"/>
        <item m="1" x="6893"/>
        <item m="1" x="4886"/>
        <item m="1" x="2323"/>
        <item m="1" x="1629"/>
        <item m="1" x="5430"/>
        <item m="1" x="5282"/>
        <item m="1" x="1475"/>
        <item m="1" x="1336"/>
        <item m="1" x="5151"/>
        <item m="1" x="1189"/>
        <item m="1" x="5021"/>
        <item m="1" x="1059"/>
        <item m="1" x="5694"/>
        <item m="1" x="1797"/>
        <item m="1" x="5554"/>
        <item m="1" x="1461"/>
        <item m="1" x="5267"/>
        <item m="1" x="1322"/>
        <item m="1" x="5133"/>
        <item m="1" x="1171"/>
        <item m="1" x="1952"/>
        <item m="1" x="5684"/>
        <item m="1" x="1616"/>
        <item m="1" x="1783"/>
        <item m="1" x="5541"/>
        <item m="1" x="1601"/>
        <item m="1" x="5399"/>
        <item m="1" x="5252"/>
        <item m="1" x="1508"/>
        <item m="1" x="2943"/>
        <item m="1" x="6977"/>
        <item m="1" x="585"/>
        <item m="1" x="2034"/>
        <item m="1" x="4613"/>
        <item m="1" x="1942"/>
        <item m="1" x="5620"/>
        <item m="1" x="6015"/>
        <item m="1" x="1712"/>
        <item m="1" x="238"/>
        <item m="1" x="7748"/>
        <item m="1" x="2675"/>
        <item m="1" x="5416"/>
        <item m="1" x="6718"/>
        <item m="1" x="708"/>
        <item m="1" x="5268"/>
        <item m="1" x="1323"/>
        <item m="1" x="5137"/>
        <item m="1" x="1173"/>
        <item m="1" x="4841"/>
        <item m="1" x="866"/>
        <item m="1" x="4333"/>
        <item m="1" x="5481"/>
        <item m="1" x="4884"/>
        <item m="1" x="1300"/>
        <item m="1" x="5117"/>
        <item m="1" x="1156"/>
        <item m="1" x="1896"/>
        <item m="1" x="5488"/>
        <item m="1" x="1723"/>
        <item m="1" x="5631"/>
        <item m="1" x="5348"/>
        <item m="1" x="5771"/>
        <item m="1" x="1523"/>
        <item m="1" x="1555"/>
        <item m="1" x="3706"/>
        <item m="1" x="1536"/>
        <item m="1" x="1547"/>
        <item m="1" x="5931"/>
        <item m="1" x="1253"/>
        <item m="1" x="2046"/>
        <item m="1" x="1393"/>
        <item m="1" x="5211"/>
        <item m="1" x="1873"/>
        <item m="1" x="4997"/>
        <item m="1" x="1157"/>
        <item m="1" x="5118"/>
        <item m="1" x="2398"/>
        <item m="1" x="3932"/>
        <item m="1" x="6971"/>
        <item m="1" x="1672"/>
        <item m="1" x="58"/>
        <item m="1" x="4213"/>
        <item m="1" x="4628"/>
        <item m="1" x="3643"/>
        <item m="1" x="1104"/>
        <item m="1" x="3831"/>
        <item m="1" x="7460"/>
        <item m="1" x="3685"/>
        <item m="1" x="7310"/>
        <item m="1" x="3521"/>
        <item m="1" x="7159"/>
        <item m="1" x="4197"/>
        <item m="1" x="7864"/>
        <item m="1" x="4081"/>
        <item m="1" x="7726"/>
        <item m="1" x="3945"/>
        <item m="1" x="7438"/>
        <item m="1" x="3665"/>
        <item m="1" x="7292"/>
        <item m="1" x="7991"/>
        <item m="1" x="4190"/>
        <item m="1" x="4574"/>
        <item m="1" x="7854"/>
        <item m="1" x="3944"/>
        <item m="1" x="4070"/>
        <item m="1" x="5058"/>
        <item m="1" x="7709"/>
        <item m="1" x="2327"/>
        <item m="1" x="1860"/>
        <item m="1" x="5466"/>
        <item m="1" x="6063"/>
        <item m="1" x="2196"/>
        <item m="1" x="5337"/>
        <item m="1" x="1386"/>
        <item m="1" x="5476"/>
        <item m="1" x="1531"/>
        <item m="1" x="5613"/>
        <item m="1" x="1703"/>
        <item m="1" x="5906"/>
        <item m="1" x="2021"/>
        <item m="1" x="1854"/>
        <item m="1" x="5755"/>
        <item m="1" x="5601"/>
        <item m="1" x="1688"/>
        <item m="1" x="1034"/>
        <item m="1" x="919"/>
        <item m="1" x="5523"/>
        <item m="1" x="6924"/>
        <item m="1" x="5269"/>
        <item m="1" x="5793"/>
        <item m="1" x="1408"/>
        <item m="1" x="1265"/>
        <item m="1" x="5221"/>
        <item m="1" x="1565"/>
        <item m="1" x="5362"/>
        <item m="1" x="5649"/>
        <item m="1" x="1746"/>
        <item m="1" x="5508"/>
        <item m="1" x="1022"/>
        <item m="1" x="4984"/>
        <item m="1" x="1143"/>
        <item m="1" x="5100"/>
        <item m="1" x="1425"/>
        <item m="1" x="5381"/>
        <item m="1" x="1583"/>
        <item m="1" x="4862"/>
        <item m="1" x="1602"/>
        <item m="1" x="6196"/>
        <item m="1" x="1842"/>
        <item m="1" x="4977"/>
        <item m="1" x="2354"/>
        <item m="1" x="4846"/>
        <item m="1" x="307"/>
        <item m="1" x="1755"/>
        <item m="1" x="930"/>
        <item m="1" x="1228"/>
        <item m="1" x="4893"/>
        <item m="1" x="5097"/>
        <item m="1" x="5344"/>
        <item m="1" x="4559"/>
        <item m="1" x="5744"/>
        <item m="1" x="858"/>
        <item m="1" x="7894"/>
        <item m="1" x="3065"/>
        <item m="1" x="3876"/>
        <item m="1" x="2006"/>
        <item m="1" x="383"/>
        <item m="1" x="6166"/>
        <item m="1" x="4532"/>
        <item m="1" x="7594"/>
        <item m="1" x="3818"/>
        <item m="1" x="1533"/>
        <item m="1" x="5026"/>
        <item m="1" x="4909"/>
        <item m="1" x="942"/>
        <item m="1" x="827"/>
        <item m="1" x="4897"/>
        <item m="1" x="929"/>
        <item m="1" x="4793"/>
        <item m="1" x="812"/>
        <item m="1" x="5251"/>
        <item m="1" x="4996"/>
        <item m="1" x="5011"/>
        <item m="1" x="1047"/>
        <item m="1" x="6928"/>
        <item m="1" x="1741"/>
        <item m="1" x="3313"/>
        <item m="1" x="4928"/>
        <item m="1" x="1986"/>
        <item m="1" x="1301"/>
        <item m="1" x="5524"/>
        <item m="1" x="3317"/>
        <item m="1" x="5594"/>
        <item m="1" x="5582"/>
        <item m="1" x="6307"/>
        <item m="1" x="1426"/>
        <item m="1" x="6710"/>
        <item m="1" x="4079"/>
        <item m="1" x="995"/>
        <item m="1" x="5234"/>
        <item m="1" x="1280"/>
        <item m="1" x="5101"/>
        <item m="1" x="1144"/>
        <item m="1" x="5814"/>
        <item m="1" x="1919"/>
        <item m="1" x="1677"/>
        <item m="1" x="5421"/>
        <item m="1" x="5592"/>
        <item m="1" x="1987"/>
        <item m="1" x="1835"/>
        <item m="1" x="6324"/>
        <item m="1" x="1501"/>
        <item m="1" x="3590"/>
        <item m="1" x="5363"/>
        <item m="1" x="2162"/>
        <item m="1" x="2608"/>
        <item m="1" x="3250"/>
        <item m="1" x="2505"/>
        <item m="1" x="6841"/>
        <item m="1" x="5619"/>
        <item m="1" x="3840"/>
        <item m="1" x="849"/>
        <item m="1" x="7570"/>
        <item m="1" x="3799"/>
        <item m="1" x="7416"/>
        <item m="1" x="4405"/>
        <item m="1" x="718"/>
        <item m="1" x="701"/>
        <item m="1" x="2336"/>
        <item m="1" x="6034"/>
        <item m="1" x="6185"/>
        <item m="1" x="6849"/>
        <item m="1" x="982"/>
        <item m="1" x="1409"/>
        <item m="1" x="156"/>
        <item m="1" x="2152"/>
        <item m="1" x="1266"/>
        <item m="1" x="3188"/>
        <item m="1" x="737"/>
        <item m="1" x="2070"/>
        <item m="1" x="1223"/>
        <item m="1" x="3432"/>
        <item m="1" x="5459"/>
        <item m="1" x="3592"/>
        <item m="1" x="1709"/>
        <item m="1" x="4525"/>
        <item m="1" x="6594"/>
        <item m="1" x="7870"/>
        <item m="1" x="400"/>
        <item m="1" x="3501"/>
        <item m="1" x="621"/>
        <item m="1" x="5927"/>
        <item m="1" x="406"/>
        <item m="1" x="5794"/>
        <item m="1" x="5559"/>
        <item m="1" x="3736"/>
        <item m="1" x="3918"/>
        <item m="1" x="3599"/>
        <item m="1" x="2727"/>
        <item m="1" x="2423"/>
        <item m="1" x="1897"/>
        <item m="1" x="2632"/>
        <item m="1" x="6429"/>
        <item m="1" x="271"/>
        <item m="1" x="145"/>
        <item m="1" x="4297"/>
        <item m="1" x="7838"/>
        <item m="1" x="4055"/>
        <item m="1" x="7693"/>
        <item m="1" x="5235"/>
        <item m="1" x="7552"/>
        <item m="1" x="6140"/>
        <item m="1" x="5632"/>
        <item m="1" x="1507"/>
        <item m="1" x="5383"/>
        <item x="18"/>
        <item m="1" x="1724"/>
        <item m="1" x="5489"/>
        <item m="1" x="6086"/>
        <item m="1" x="5107"/>
        <item m="1" x="3519"/>
        <item m="1" x="5031"/>
        <item m="1" x="7635"/>
        <item m="1" x="1839"/>
        <item m="1" x="7510"/>
        <item m="1" x="4119"/>
        <item m="1" x="6047"/>
        <item m="1" x="125"/>
        <item m="1" x="1693"/>
        <item m="1" x="1467"/>
        <item m="1" x="1660"/>
        <item m="1" x="7874"/>
        <item m="1" x="4549"/>
        <item m="1" x="439"/>
        <item m="1" x="2178"/>
        <item m="1" x="3058"/>
        <item m="1" x="183"/>
        <item m="1" x="2007"/>
        <item m="1" x="3600"/>
        <item m="1" x="96"/>
        <item m="1" x="3965"/>
        <item m="1" x="4504"/>
        <item m="1" x="588"/>
        <item m="1" x="602"/>
        <item x="3"/>
        <item m="1" x="4766"/>
        <item m="1" x="1654"/>
        <item m="1" x="3972"/>
        <item m="1" x="6353"/>
        <item m="1" x="2202"/>
        <item m="1" x="2071"/>
        <item m="1" x="2402"/>
        <item m="1" x="672"/>
        <item m="1" x="795"/>
        <item m="1" x="691"/>
        <item m="1" x="6475"/>
        <item m="1" x="2666"/>
        <item m="1" x="5893"/>
        <item m="1" x="5886"/>
        <item m="1" x="957"/>
        <item m="1" x="5913"/>
        <item m="1" x="2030"/>
        <item m="1" x="3534"/>
        <item m="1" x="1205"/>
        <item m="1" x="5760"/>
        <item m="1" x="4312"/>
        <item m="1" x="2620"/>
        <item m="1" x="7286"/>
        <item m="1" x="5725"/>
        <item m="1" x="2203"/>
        <item m="1" x="3312"/>
        <item m="1" x="7881"/>
        <item m="1" x="2337"/>
        <item m="1" x="1859"/>
        <item m="1" x="7735"/>
        <item m="1" x="4425"/>
        <item m="1" x="631"/>
        <item m="1" x="2453"/>
        <item m="1" x="961"/>
        <item m="1" x="1440"/>
        <item m="1" x="5246"/>
        <item m="1" x="1295"/>
        <item m="1" x="5992"/>
        <item m="1" x="2109"/>
        <item m="1" x="1767"/>
        <item m="1" x="5522"/>
        <item m="1" x="1582"/>
        <item m="1" x="5378"/>
        <item m="1" x="1423"/>
        <item m="1" x="6123"/>
        <item m="1" x="2263"/>
        <item m="1" x="5976"/>
        <item m="1" x="2088"/>
        <item m="1" x="5811"/>
        <item m="1" x="1916"/>
        <item m="1" x="1562"/>
        <item m="1" x="5176"/>
        <item m="1" x="7909"/>
        <item m="1" x="4124"/>
        <item m="1" x="7776"/>
        <item m="1" x="456"/>
        <item m="1" x="332"/>
        <item m="1" x="4455"/>
        <item m="1" x="4348"/>
        <item m="1" x="2687"/>
        <item m="1" x="1983"/>
        <item m="1" x="2810"/>
        <item m="1" x="7647"/>
        <item m="1" x="5062"/>
        <item m="1" x="1998"/>
        <item m="1" x="1875"/>
        <item m="1" x="7617"/>
        <item m="1" x="2136"/>
        <item m="1" x="5876"/>
        <item m="1" x="6025"/>
        <item m="1" x="4444"/>
        <item m="1" x="2163"/>
        <item m="1" x="6035"/>
        <item m="1" x="6830"/>
        <item m="1" x="4630"/>
        <item m="1" x="5436"/>
        <item m="1" x="4803"/>
        <item m="1" x="6465"/>
        <item m="1" x="2652"/>
        <item m="1" x="6316"/>
        <item m="1" x="2496"/>
        <item m="1" x="6180"/>
        <item m="1" x="2157"/>
        <item m="1" x="5686"/>
        <item m="1" x="306"/>
        <item m="1" x="6595"/>
        <item m="1" x="1071"/>
        <item m="1" x="5884"/>
        <item m="1" x="6983"/>
        <item m="1" x="877"/>
        <item m="1" x="6070"/>
        <item m="1" x="2053"/>
        <item m="1" x="5191"/>
        <item m="1" x="4542"/>
        <item m="1" x="1655"/>
        <item m="1" x="4571"/>
        <item m="1" x="6170"/>
        <item m="1" x="7534"/>
        <item m="1" x="3440"/>
        <item m="1" x="1370"/>
        <item m="1" x="4924"/>
        <item m="1" x="2201"/>
        <item m="1" x="7533"/>
        <item m="1" x="3999"/>
        <item m="1" x="3721"/>
        <item m="1" x="177"/>
        <item m="1" x="4557"/>
        <item m="1" x="1214"/>
        <item m="1" x="4189"/>
        <item m="1" x="5911"/>
        <item m="1" x="5157"/>
        <item m="1" x="5714"/>
        <item m="1" x="3873"/>
        <item m="1" x="4160"/>
        <item m="1" x="3639"/>
        <item m="1" x="4563"/>
        <item m="1" x="60"/>
        <item m="1" x="3952"/>
        <item m="1" x="7269"/>
        <item m="1" x="4789"/>
        <item m="1" x="5283"/>
        <item m="1" x="2288"/>
        <item m="1" x="6939"/>
        <item m="1" x="290"/>
        <item m="1" x="1347"/>
        <item m="1" x="6287"/>
        <item m="1" x="604"/>
        <item m="1" x="568"/>
        <item m="1" x="845"/>
        <item m="1" x="4123"/>
        <item m="1" x="2334"/>
        <item m="1" x="4521"/>
        <item m="1" x="3297"/>
        <item m="1" x="4664"/>
        <item m="1" x="44"/>
        <item m="1" x="4096"/>
        <item m="1" x="5274"/>
        <item m="1" x="3575"/>
        <item m="1" x="3564"/>
        <item m="1" x="6215"/>
        <item m="1" x="292"/>
        <item m="1" x="155"/>
        <item m="1" x="7990"/>
        <item m="1" x="7851"/>
        <item m="1" x="7707"/>
        <item m="1" x="4550"/>
        <item m="1" x="392"/>
        <item m="1" x="282"/>
        <item m="1" x="139"/>
        <item m="1" x="7974"/>
        <item m="1" x="5746"/>
        <item m="1" x="6956"/>
        <item m="1" x="7621"/>
        <item m="1" x="4529"/>
        <item m="1" x="1107"/>
        <item m="1" x="5322"/>
        <item m="1" x="5044"/>
        <item m="1" x="2137"/>
        <item m="1" x="2375"/>
        <item m="1" x="3954"/>
        <item m="1" x="7607"/>
        <item m="1" x="4684"/>
        <item m="1" x="7172"/>
        <item m="1" x="973"/>
        <item m="1" x="4113"/>
        <item m="1" x="3457"/>
        <item m="1" x="2474"/>
        <item m="1" x="6538"/>
        <item m="1" x="6455"/>
        <item m="1" x="179"/>
        <item m="1" x="3114"/>
        <item m="1" x="2913"/>
        <item m="1" x="4951"/>
        <item m="1" x="3298"/>
        <item m="1" x="7059"/>
        <item m="1" x="3572"/>
        <item m="1" x="6438"/>
        <item m="1" x="5903"/>
        <item m="1" x="6456"/>
        <item m="1" x="4633"/>
        <item m="1" x="5450"/>
        <item m="1" x="3261"/>
        <item m="1" x="399"/>
        <item m="1" x="4581"/>
        <item m="1" x="421"/>
        <item m="1" x="4522"/>
        <item m="1" x="594"/>
        <item m="1" x="402"/>
        <item m="1" x="7706"/>
        <item m="1" x="3173"/>
        <item m="1" x="1802"/>
        <item m="1" x="5190"/>
        <item m="1" x="4518"/>
        <item m="1" x="1133"/>
        <item m="1" x="2313"/>
        <item m="1" x="6945"/>
        <item m="1" x="168"/>
        <item m="1" x="2166"/>
        <item m="1" x="4545"/>
        <item m="1" x="1017"/>
        <item m="1" x="5048"/>
        <item m="1" x="2361"/>
        <item m="1" x="6309"/>
        <item m="1" x="5650"/>
        <item m="1" x="1662"/>
        <item m="1" x="5060"/>
        <item m="1" x="745"/>
        <item m="1" x="6052"/>
        <item m="1" x="540"/>
        <item m="1" x="963"/>
        <item m="1" x="772"/>
        <item m="1" x="2205"/>
        <item m="1" x="2693"/>
        <item m="1" x="4808"/>
        <item m="1" x="566"/>
        <item m="1" x="4661"/>
        <item m="1" x="7515"/>
        <item m="1" x="6329"/>
        <item m="1" x="2758"/>
        <item m="1" x="4282"/>
        <item m="1" x="7957"/>
        <item m="1" x="3429"/>
        <item m="1" x="4575"/>
        <item m="1" x="3723"/>
        <item m="1" x="5590"/>
        <item m="1" x="7634"/>
        <item m="1" x="4565"/>
        <item m="1" x="2096"/>
        <item m="1" x="3899"/>
        <item m="1" x="4686"/>
        <item m="1" x="4635"/>
        <item m="1" x="419"/>
        <item m="1" x="4713"/>
        <item m="1" x="2528"/>
        <item m="1" x="4423"/>
        <item m="1" x="937"/>
        <item m="1" x="4674"/>
        <item m="1" x="5954"/>
        <item m="1" x="6314"/>
        <item m="1" x="6201"/>
        <item m="1" x="629"/>
        <item m="1" x="3719"/>
        <item m="1" x="6458"/>
        <item m="1" x="1679"/>
        <item m="1" x="2468"/>
        <item m="1" x="1750"/>
        <item m="1" x="6719"/>
        <item m="1" x="1633"/>
        <item m="1" x="4608"/>
        <item m="1" x="584"/>
        <item m="1" x="2359"/>
        <item m="1" x="6235"/>
        <item m="1" x="1798"/>
        <item m="1" x="7979"/>
        <item m="1" x="4176"/>
        <item m="1" x="2494"/>
        <item m="1" x="3724"/>
        <item m="1" x="6491"/>
        <item m="1" x="3729"/>
        <item m="1" x="3977"/>
        <item m="1" x="522"/>
        <item m="1" x="6615"/>
        <item m="1" x="5936"/>
        <item m="1" x="717"/>
        <item m="1" x="3994"/>
        <item m="1" x="5735"/>
        <item m="1" x="1204"/>
        <item m="1" x="5226"/>
        <item m="1" x="4847"/>
        <item m="1" x="6342"/>
        <item m="1" x="3285"/>
        <item m="1" x="3681"/>
        <item m="1" x="7342"/>
        <item m="1" x="414"/>
        <item m="1" x="6349"/>
        <item m="1" x="7724"/>
        <item m="1" x="7331"/>
        <item m="1" x="5368"/>
        <item m="1" x="1569"/>
        <item m="1" x="5512"/>
        <item m="1" x="3547"/>
        <item m="1" x="1113"/>
        <item m="1" x="2546"/>
        <item m="1" x="6612"/>
        <item m="1" x="5206"/>
        <item m="1" x="2521"/>
        <item m="1" x="6088"/>
        <item m="1" x="5352"/>
        <item m="1" x="1899"/>
        <item m="1" x="4820"/>
        <item m="1" x="5956"/>
        <item m="1" x="5796"/>
        <item m="1" x="2072"/>
        <item m="1" x="3441"/>
        <item m="1" x="4514"/>
        <item m="1" x="5869"/>
        <item m="1" x="3194"/>
        <item m="1" x="6168"/>
        <item m="1" x="777"/>
        <item m="1" x="1665"/>
        <item m="1" x="953"/>
        <item m="1" x="174"/>
        <item m="1" x="403"/>
        <item m="1" x="5635"/>
        <item m="1" x="6061"/>
        <item m="1" x="5799"/>
        <item m="1" x="3444"/>
        <item m="1" x="7775"/>
        <item m="1" x="2222"/>
        <item m="1" x="1548"/>
        <item m="1" x="7890"/>
        <item m="1" x="4585"/>
        <item m="1" x="4283"/>
        <item m="1" x="4442"/>
        <item m="1" x="6478"/>
        <item m="1" x="5480"/>
        <item m="1" x="1707"/>
        <item m="1" x="6311"/>
        <item m="1" x="2987"/>
        <item m="1" x="3322"/>
        <item m="1" x="2610"/>
        <item m="1" x="4586"/>
        <item m="1" x="3980"/>
        <item m="1" x="2671"/>
        <item m="1" x="4567"/>
        <item m="1" x="7102"/>
        <item m="1" x="1217"/>
        <item m="1" x="3986"/>
        <item m="1" x="4395"/>
        <item m="1" x="643"/>
        <item m="1" x="6327"/>
        <item m="1" x="2664"/>
        <item m="1" x="5065"/>
        <item m="1" x="2378"/>
        <item m="1" x="2056"/>
        <item m="1" x="1505"/>
        <item m="1" x="6291"/>
        <item m="1" x="7722"/>
        <item m="1" x="761"/>
        <item m="1" x="3449"/>
        <item m="1" x="4689"/>
        <item m="1" x="1885"/>
        <item m="1" x="2151"/>
        <item m="1" x="2484"/>
        <item m="1" x="2776"/>
        <item m="1" x="3053"/>
        <item m="1" x="3299"/>
        <item m="1" x="3845"/>
        <item m="1" x="4086"/>
        <item m="1" x="4306"/>
        <item m="1" x="7997"/>
        <item m="1" x="7861"/>
        <item m="1" x="7721"/>
        <item m="1" x="7586"/>
        <item m="1" x="7434"/>
        <item m="1" x="7287"/>
        <item m="1" x="7132"/>
        <item m="1" x="7004"/>
        <item m="1" x="6872"/>
        <item m="1" x="6741"/>
        <item m="1" x="280"/>
        <item m="1" x="136"/>
        <item m="1" x="7973"/>
        <item m="1" x="7833"/>
        <item m="1" x="7548"/>
        <item m="1" x="1715"/>
        <item m="1" x="5482"/>
        <item m="1" x="5588"/>
        <item m="1" x="4216"/>
        <item m="1" x="3716"/>
        <item m="1" x="5433"/>
        <item m="1" x="2356"/>
        <item m="1" x="6048"/>
        <item m="1" x="5126"/>
        <item m="1" x="4509"/>
        <item m="1" x="6709"/>
        <item m="1" x="401"/>
        <item m="1" x="1172"/>
        <item m="1" x="678"/>
        <item m="1" x="3170"/>
        <item m="1" x="6345"/>
        <item m="1" x="992"/>
        <item m="1" x="4222"/>
        <item m="1" x="5494"/>
        <item m="1" x="1728"/>
        <item m="1" x="2050"/>
        <item m="1" x="2025"/>
        <item m="1" x="1309"/>
        <item m="1" x="5340"/>
        <item m="1" x="254"/>
        <item m="1" x="2969"/>
        <item m="1" x="80"/>
        <item m="1" x="5870"/>
        <item m="1" x="3247"/>
        <item m="1" x="966"/>
        <item m="1" x="2510"/>
        <item m="1" x="4692"/>
        <item m="1" x="3198"/>
        <item m="1" x="1397"/>
        <item m="1" x="1552"/>
        <item m="1" x="3917"/>
        <item m="1" x="7692"/>
        <item m="1" x="7476"/>
        <item m="1" x="968"/>
        <item m="1" x="82"/>
        <item m="1" x="1696"/>
        <item m="1" x="4787"/>
        <item m="1" x="1479"/>
        <item m="1" x="2408"/>
        <item m="1" x="6093"/>
        <item m="1" x="3446"/>
        <item m="1" x="3604"/>
        <item m="1" x="644"/>
        <item m="1" x="5616"/>
        <item m="1" x="1690"/>
        <item m="1" x="5603"/>
        <item m="1" x="1857"/>
        <item m="1" x="2206"/>
        <item m="1" x="6014"/>
        <item m="1" x="3749"/>
        <item m="1" x="882"/>
        <item m="1" x="7480"/>
        <item m="1" x="2058"/>
        <item m="1" x="6072"/>
        <item m="1" x="1861"/>
        <item m="1" x="6284"/>
        <item m="1" x="1967"/>
        <item m="1" x="4638"/>
        <item m="1" x="5621"/>
        <item m="1" x="2185"/>
        <item m="1" x="7101"/>
        <item m="1" x="660"/>
        <item m="1" x="2952"/>
        <item m="1" x="5880"/>
        <item m="1" x="301"/>
        <item m="1" x="3727"/>
        <item m="1" x="2140"/>
        <item m="1" x="6969"/>
        <item m="1" x="4781"/>
        <item m="1" x="4881"/>
        <item m="1" x="4690"/>
        <item m="1" x="2364"/>
        <item m="1" x="3747"/>
        <item m="1" x="3602"/>
        <item m="1" x="7919"/>
        <item m="1" x="1784"/>
        <item m="1" x="519"/>
        <item m="1" x="7656"/>
        <item m="1" x="2621"/>
        <item m="1" x="4592"/>
        <item m="1" x="4507"/>
        <item m="1" x="3715"/>
        <item m="1" x="3459"/>
        <item m="1" x="6240"/>
        <item m="1" x="2169"/>
        <item m="1" x="1673"/>
        <item m="1" x="1819"/>
        <item m="1" x="673"/>
        <item m="1" x="3461"/>
        <item m="1" x="1674"/>
        <item m="1" x="4008"/>
        <item m="1" x="2966"/>
        <item m="1" x="4729"/>
        <item m="1" x="7652"/>
        <item m="1" x="6569"/>
        <item m="1" x="4328"/>
        <item m="1" x="6611"/>
        <item m="1" x="5467"/>
        <item m="1" x="1012"/>
        <item m="1" x="2311"/>
        <item m="1" x="4238"/>
        <item m="1" x="1270"/>
        <item m="1" x="1680"/>
        <item m="1" x="940"/>
        <item m="1" x="6043"/>
        <item m="1" x="5125"/>
        <item m="1" x="2125"/>
        <item m="1" x="1454"/>
        <item m="1" x="5408"/>
        <item m="1" x="6852"/>
        <item m="1" x="6965"/>
        <item m="1" x="1917"/>
        <item m="1" x="5204"/>
        <item m="1" x="2972"/>
        <item m="1" x="4634"/>
        <item m="1" x="6714"/>
        <item m="1" x="4665"/>
        <item m="1" x="7210"/>
        <item m="1" x="7074"/>
        <item m="1" x="1500"/>
        <item m="1" x="3219"/>
        <item m="1" x="2001"/>
        <item m="1" x="863"/>
        <item m="1" x="7354"/>
        <item m="1" x="4939"/>
        <item m="1" x="4851"/>
        <item m="1" x="4248"/>
        <item m="1" x="1315"/>
        <item m="1" x="7387"/>
        <item m="1" x="1084"/>
        <item m="1" x="3995"/>
        <item m="1" x="4117"/>
        <item m="1" x="4710"/>
        <item m="1" x="4737"/>
        <item m="1" x="4530"/>
        <item m="1" x="4640"/>
        <item m="1" x="4600"/>
        <item m="1" x="5083"/>
        <item m="1" x="5128"/>
        <item m="1" x="1166"/>
        <item m="1" x="6745"/>
        <item m="1" x="1209"/>
        <item m="1" x="4694"/>
        <item m="1" x="4626"/>
        <item m="1" x="95"/>
        <item m="1" x="4932"/>
        <item m="1" x="7007"/>
        <item m="1" x="1294"/>
        <item m="1" x="7198"/>
        <item m="1" x="4345"/>
        <item m="1" x="4871"/>
        <item m="1" x="359"/>
        <item m="1" x="4925"/>
        <item m="1" x="6319"/>
        <item m="1" x="3189"/>
        <item m="1" x="4641"/>
        <item m="1" x="4446"/>
        <item m="1" x="6558"/>
        <item m="1" x="2954"/>
        <item m="1" x="4698"/>
        <item m="1" x="6584"/>
        <item m="1" x="4873"/>
        <item m="1" x="6203"/>
        <item m="1" x="1093"/>
        <item m="1" x="1020"/>
        <item m="1" x="5722"/>
        <item m="1" x="6598"/>
        <item m="1" x="1278"/>
        <item m="1" x="5098"/>
        <item m="1" x="1141"/>
        <item m="1" x="4982"/>
        <item m="1" x="905"/>
        <item m="1" x="4770"/>
        <item m="1" x="444"/>
        <item m="1" x="1098"/>
        <item m="1" x="6288"/>
        <item m="1" x="2812"/>
        <item m="1" x="1973"/>
        <item m="1" x="4531"/>
        <item m="1" x="4650"/>
        <item m="1" x="5959"/>
        <item m="1" x="4764"/>
        <item m="1" x="564"/>
        <item m="1" x="1384"/>
        <item m="1" x="1263"/>
        <item m="1" x="5219"/>
        <item m="1" x="1406"/>
        <item m="1" x="5360"/>
        <item m="1" x="5087"/>
        <item m="1" x="1125"/>
        <item m="1" x="4968"/>
        <item m="1" x="1010"/>
        <item m="1" x="788"/>
        <item m="1" x="4864"/>
        <item m="1" x="7008"/>
        <item m="1" x="6147"/>
        <item m="1" x="5486"/>
        <item m="1" x="4837"/>
        <item m="1" x="5611"/>
        <item m="1" x="6871"/>
        <item m="1" x="5715"/>
        <item m="1" x="2894"/>
        <item m="1" x="4652"/>
        <item m="1" x="1259"/>
        <item m="1" x="1003"/>
        <item m="1" x="5076"/>
        <item m="1" x="1391"/>
        <item m="1" x="1251"/>
        <item m="1" x="3746"/>
        <item m="1" x="4723"/>
        <item m="1" x="3076"/>
        <item m="1" x="1820"/>
        <item m="1" x="861"/>
        <item m="1" x="2725"/>
        <item m="1" x="6565"/>
        <item m="1" x="7744"/>
        <item m="1" x="5209"/>
        <item m="1" x="5474"/>
        <item m="1" x="4964"/>
        <item m="1" x="784"/>
        <item m="1" x="556"/>
        <item m="1" x="3744"/>
        <item m="1" x="1120"/>
        <item m="1" x="1701"/>
        <item m="1" x="3233"/>
        <item m="1" x="5335"/>
        <item m="1" x="5464"/>
        <item m="1" x="5578"/>
        <item m="1" x="1521"/>
        <item m="1" x="3016"/>
        <item m="1" x="6746"/>
        <item m="1" x="5202"/>
        <item m="1" x="1242"/>
        <item m="1" x="5074"/>
        <item m="1" x="4839"/>
        <item m="1" x="4555"/>
        <item m="1" x="5754"/>
        <item m="1" x="1115"/>
        <item m="1" x="1227"/>
        <item m="1" x="2622"/>
        <item m="1" x="3451"/>
        <item m="1" x="2485"/>
        <item m="1" x="854"/>
        <item m="1" x="4940"/>
        <item m="1" x="5885"/>
        <item m="1" x="4717"/>
        <item m="1" x="4786"/>
        <item m="1" x="513"/>
        <item m="1" x="4206"/>
        <item m="1" x="4195"/>
        <item m="1" x="2564"/>
        <item m="1" x="1489"/>
        <item m="1" x="2095"/>
        <item m="1" x="1238"/>
        <item m="1" x="1176"/>
        <item m="1" x="6432"/>
        <item m="1" x="4994"/>
        <item m="1" x="1202"/>
        <item m="1" x="221"/>
        <item m="1" x="5600"/>
        <item m="1" x="1853"/>
        <item m="1" x="1064"/>
        <item m="1" x="4911"/>
        <item m="1" x="944"/>
        <item m="1" x="1357"/>
        <item m="1" x="2919"/>
        <item m="1" x="2875"/>
        <item m="1" x="6731"/>
        <item m="1" x="4599"/>
        <item m="1" x="3100"/>
        <item m="1" x="455"/>
        <item m="1" x="7372"/>
        <item m="1" x="6954"/>
        <item m="1" x="1826"/>
        <item m="1" x="4918"/>
        <item m="1" x="1477"/>
        <item m="1" x="2322"/>
        <item m="1" x="1686"/>
        <item m="1" x="2081"/>
        <item m="1" x="5805"/>
        <item m="1" x="1909"/>
        <item m="1" x="5641"/>
        <item m="1" x="1737"/>
        <item m="1" x="5502"/>
        <item m="1" x="1560"/>
        <item m="1" x="5358"/>
        <item m="1" x="1402"/>
        <item m="1" x="6096"/>
        <item m="1" x="2229"/>
        <item m="1" x="5944"/>
        <item m="1" x="2061"/>
        <item m="1" x="5785"/>
        <item m="1" x="749"/>
        <item m="1" x="5455"/>
        <item m="1" x="5741"/>
        <item m="1" x="531"/>
        <item m="1" x="2296"/>
        <item m="1" x="5159"/>
        <item m="1" x="1197"/>
        <item m="1" x="1953"/>
        <item m="1" x="7508"/>
        <item m="1" x="5497"/>
        <item m="1" x="3307"/>
        <item m="1" x="6218"/>
        <item m="1" x="5032"/>
        <item m="1" x="6861"/>
        <item m="1" x="5142"/>
        <item m="1" x="1216"/>
        <item m="1" x="975"/>
        <item m="1" x="6294"/>
        <item m="1" x="7117"/>
        <item m="1" x="1100"/>
        <item m="1" x="1090"/>
        <item m="1" x="1067"/>
        <item m="1" x="1869"/>
        <item m="1" x="1276"/>
        <item m="1" x="7251"/>
        <item m="1" x="2437"/>
        <item m="1" x="4916"/>
        <item m="1" x="7898"/>
        <item m="1" x="1490"/>
        <item m="1" x="4697"/>
        <item m="1" x="6633"/>
        <item m="1" x="6570"/>
        <item m="1" x="3717"/>
        <item m="1" x="5059"/>
        <item m="1" x="4094"/>
        <item m="1" x="3888"/>
        <item m="1" x="446"/>
        <item m="1" x="910"/>
        <item m="1" x="6895"/>
        <item m="1" x="835"/>
        <item m="1" x="3097"/>
        <item m="1" x="948"/>
        <item m="1" x="5424"/>
        <item m="1" x="4810"/>
        <item m="1" x="4835"/>
        <item m="1" x="2602"/>
        <item m="1" x="7006"/>
        <item m="1" x="2688"/>
        <item m="1" x="6065"/>
        <item m="1" x="6834"/>
        <item m="1" x="7082"/>
        <item m="1" x="7217"/>
        <item m="1" x="1825"/>
        <item m="1" x="5819"/>
        <item m="1" x="6740"/>
        <item m="1" x="3659"/>
        <item m="1" x="544"/>
        <item m="1" x="899"/>
        <item m="1" x="3064"/>
        <item m="1" x="1979"/>
        <item m="1" x="2935"/>
        <item m="1" x="6439"/>
        <item m="1" x="1821"/>
        <item m="1" x="3958"/>
        <item m="1" x="655"/>
        <item m="1" x="3345"/>
        <item m="1" x="2425"/>
        <item m="1" x="6699"/>
        <item m="1" x="7153"/>
        <item m="1" x="1468"/>
        <item m="1" x="143"/>
        <item m="1" x="4594"/>
        <item m="1" x="6631"/>
        <item m="1" x="3145"/>
        <item m="1" x="7384"/>
        <item m="1" x="2438"/>
        <item m="1" x="5276"/>
        <item m="1" x="4818"/>
        <item m="1" x="972"/>
        <item m="1" x="7289"/>
        <item m="1" x="6445"/>
        <item m="1" x="7641"/>
        <item m="1" x="1970"/>
        <item m="1" x="4832"/>
        <item m="1" x="1330"/>
        <item m="1" x="5146"/>
        <item m="1" x="1184"/>
        <item m="1" x="5018"/>
        <item m="1" x="1055"/>
        <item m="1" x="4906"/>
        <item m="1" x="7604"/>
        <item m="1" x="939"/>
        <item m="1" x="5410"/>
        <item m="1" x="6561"/>
        <item m="1" x="1610"/>
        <item m="1" x="1456"/>
        <item m="1" x="7745"/>
        <item m="1" x="6649"/>
        <item m="1" x="1518"/>
        <item m="1" x="1248"/>
        <item m="1" x="196"/>
        <item m="1" x="2023"/>
        <item m="1" x="5908"/>
        <item m="1" x="4942"/>
        <item m="1" x="3086"/>
        <item m="1" x="7655"/>
        <item m="1" x="7587"/>
        <item m="1" x="281"/>
        <item m="1" x="750"/>
        <item m="1" x="3333"/>
        <item m="1" x="1082"/>
        <item m="1" x="2638"/>
        <item m="1" x="4232"/>
        <item m="1" x="1775"/>
        <item m="1" x="1043"/>
        <item m="1" x="5676"/>
        <item m="1" x="1168"/>
        <item m="1" x="3992"/>
        <item m="1" x="5648"/>
        <item m="1" x="2674"/>
        <item m="1" x="6579"/>
        <item m="1" x="5005"/>
        <item m="1" x="6761"/>
        <item m="1" x="1317"/>
        <item m="1" x="5263"/>
        <item m="1" x="891"/>
        <item m="1" x="5130"/>
        <item m="1" x="5547"/>
        <item m="1" x="715"/>
        <item m="1" x="4573"/>
        <item m="1" x="4643"/>
        <item m="1" x="2401"/>
        <item m="1" x="5110"/>
        <item m="1" x="753"/>
        <item m="1" x="2918"/>
        <item m="1" x="3427"/>
        <item m="1" x="1436"/>
        <item m="1" x="4671"/>
        <item m="1" x="7653"/>
        <item m="1" x="5244"/>
        <item m="1" x="3968"/>
        <item m="1" x="7057"/>
        <item m="1" x="6747"/>
        <item m="1" x="6600"/>
        <item m="1" x="1291"/>
        <item m="1" x="5836"/>
        <item m="1" x="7626"/>
        <item m="1" x="5518"/>
        <item m="1" x="1577"/>
        <item m="1" x="5374"/>
        <item m="1" x="1760"/>
        <item m="1" x="5659"/>
        <item m="1" x="1928"/>
        <item m="1" x="5823"/>
        <item m="1" x="1152"/>
        <item m="1" x="3231"/>
        <item m="1" x="1275"/>
        <item m="1" x="5966"/>
        <item m="1" x="652"/>
        <item m="1" x="7270"/>
        <item m="1" x="797"/>
        <item m="1" x="808"/>
        <item m="1" x="5390"/>
        <item m="1" x="821"/>
        <item m="1" x="5228"/>
        <item m="1" x="6494"/>
        <item m="1" x="4609"/>
        <item m="1" x="1871"/>
        <item m="1" x="4607"/>
        <item m="1" x="6221"/>
        <item m="1" x="2380"/>
        <item m="1" x="6068"/>
        <item m="1" x="2200"/>
        <item m="1" x="3579"/>
        <item m="1" x="2604"/>
        <item m="1" x="6441"/>
        <item m="1" x="6138"/>
        <item m="1" x="5311"/>
        <item m="1" x="7877"/>
        <item m="1" x="2295"/>
        <item m="1" x="1659"/>
        <item m="1" x="4756"/>
        <item m="1" x="6675"/>
        <item m="1" x="7819"/>
        <item m="1" x="5584"/>
        <item m="1" x="7589"/>
        <item m="1" x="3063"/>
        <item m="1" x="2147"/>
        <item m="1" x="5299"/>
        <item m="1" x="6582"/>
        <item m="1" x="1799"/>
        <item m="1" x="3062"/>
        <item m="1" x="3989"/>
        <item m="1" x="3576"/>
        <item m="1" x="7782"/>
        <item m="1" x="6023"/>
        <item m="1" x="5294"/>
        <item m="1" x="3171"/>
        <item m="1" x="4566"/>
        <item m="1" x="5420"/>
        <item m="1" x="5075"/>
        <item m="1" x="664"/>
        <item m="1" x="4667"/>
        <item m="1" x="7131"/>
        <item m="1" x="6875"/>
        <item m="1" x="7077"/>
        <item m="1" x="5800"/>
        <item m="1" x="7435"/>
        <item m="1" x="5780"/>
        <item m="1" x="1235"/>
        <item m="1" x="4254"/>
        <item m="1" x="4854"/>
        <item m="1" x="5874"/>
        <item m="1" x="4675"/>
        <item m="1" x="587"/>
        <item m="1" x="2669"/>
        <item m="1" x="2512"/>
        <item m="1" x="6189"/>
        <item m="1" x="2397"/>
        <item m="1" x="5830"/>
        <item m="1" x="689"/>
        <item m="1" x="2779"/>
        <item m="1" x="6306"/>
        <item m="1" x="7747"/>
        <item m="1" x="586"/>
        <item m="1" x="819"/>
        <item m="1" x="7221"/>
        <item m="1" x="1212"/>
        <item m="1" x="3060"/>
        <item m="1" x="2936"/>
        <item m="1" x="2168"/>
        <item m="1" x="7116"/>
        <item m="1" x="6835"/>
        <item m="1" x="4199"/>
        <item m="1" x="7799"/>
        <item m="1" x="6694"/>
        <item m="1" x="6705"/>
        <item m="1" x="651"/>
        <item m="1" x="5726"/>
        <item m="1" x="7204"/>
        <item m="1" x="2926"/>
        <item m="1" x="698"/>
        <item m="1" x="2912"/>
        <item m="1" x="7495"/>
        <item m="1" x="956"/>
        <item m="1" x="3661"/>
        <item m="1" x="6972"/>
        <item m="1" x="64"/>
        <item m="1" x="3028"/>
        <item m="1" x="6562"/>
        <item m="1" x="4757"/>
        <item m="1" x="6926"/>
        <item m="1" x="4219"/>
        <item m="1" x="6712"/>
        <item m="1" x="582"/>
        <item m="1" x="4711"/>
        <item m="1" x="1670"/>
        <item m="1" x="5042"/>
        <item m="1" x="1337"/>
        <item m="1" x="4891"/>
        <item m="1" x="668"/>
        <item m="1" x="7377"/>
        <item m="1" x="1137"/>
        <item m="1" x="6724"/>
        <item m="1" x="1809"/>
        <item m="1" x="2928"/>
        <item m="1" x="783"/>
        <item m="1" x="2993"/>
        <item m="1" x="6637"/>
        <item m="1" x="6785"/>
        <item m="1" x="3133"/>
        <item m="1" x="3106"/>
        <item m="1" x="3265"/>
        <item m="1" x="7114"/>
        <item m="1" x="3577"/>
        <item m="1" x="3678"/>
        <item m="1" x="5853"/>
        <item m="1" x="6913"/>
        <item m="1" x="2509"/>
        <item m="1" x="3390"/>
        <item m="1" x="3739"/>
        <item m="1" x="6880"/>
        <item m="1" x="7039"/>
        <item m="1" x="879"/>
        <item m="1" x="4834"/>
        <item m="1" x="7414"/>
        <item m="1" x="4753"/>
        <item m="1" x="1981"/>
        <item m="1" x="6385"/>
        <item m="1" x="734"/>
        <item m="1" x="2756"/>
        <item m="1" x="3376"/>
        <item m="1" x="3522"/>
        <item m="1" x="7028"/>
        <item m="1" x="3252"/>
        <item m="1" x="6899"/>
        <item m="1" x="6769"/>
        <item m="1" x="3122"/>
        <item m="1" x="7011"/>
        <item m="1" x="2778"/>
        <item m="1" x="4564"/>
        <item m="1" x="3611"/>
        <item m="1" x="4941"/>
        <item m="1" x="7902"/>
        <item m="1" x="4668"/>
        <item m="1" x="999"/>
        <item m="1" x="3624"/>
        <item m="1" x="524"/>
        <item m="1" x="4788"/>
        <item m="1" x="7138"/>
        <item m="1" x="7294"/>
        <item m="1" x="3666"/>
        <item m="1" x="3504"/>
        <item m="1" x="3361"/>
        <item m="1" x="552"/>
        <item m="1" x="6955"/>
        <item m="1" x="7796"/>
        <item m="1" x="7160"/>
        <item m="1" x="6829"/>
        <item m="1" x="7643"/>
        <item m="1" x="5454"/>
        <item m="1" x="528"/>
        <item m="1" x="3237"/>
        <item m="1" x="4683"/>
        <item m="1" x="1759"/>
        <item m="1" x="3070"/>
        <item m="1" x="2793"/>
        <item m="1" x="4715"/>
        <item m="1" x="4115"/>
        <item m="1" x="7572"/>
        <item m="1" x="6451"/>
        <item m="1" x="4017"/>
        <item m="1" x="1576"/>
        <item m="1" x="2487"/>
        <item m="1" x="6110"/>
        <item m="1" x="3800"/>
        <item m="1" x="7418"/>
        <item m="1" x="6704"/>
        <item m="1" x="1790"/>
        <item m="1" x="1231"/>
        <item m="1" x="7232"/>
        <item m="1" x="2673"/>
        <item m="1" x="3305"/>
        <item m="1" x="7200"/>
        <item m="1" x="5964"/>
        <item m="1" x="1907"/>
        <item m="1" x="2524"/>
        <item m="1" x="6348"/>
        <item m="1" x="2271"/>
        <item m="1" x="5983"/>
        <item m="1" x="1222"/>
        <item m="1" x="5178"/>
        <item m="1" x="4277"/>
        <item m="1" x="915"/>
        <item m="1" x="2858"/>
        <item m="1" x="2138"/>
        <item m="1" x="2100"/>
        <item m="1" x="5822"/>
        <item m="1" x="1927"/>
        <item m="1" x="7121"/>
        <item m="1" x="4463"/>
        <item m="1" x="837"/>
        <item m="1" x="3315"/>
        <item m="1" x="3349"/>
        <item m="1" x="4685"/>
        <item m="1" x="1563"/>
        <item m="1" x="7089"/>
        <item m="1" x="5658"/>
        <item m="1" x="4923"/>
        <item m="1" x="5747"/>
        <item m="1" x="6795"/>
        <item m="1" x="545"/>
        <item m="1" x="4337"/>
        <item m="1" x="1976"/>
        <item m="1" x="4680"/>
        <item m="1" x="2782"/>
        <item m="1" x="5847"/>
        <item m="1" x="2209"/>
        <item m="1" x="4393"/>
        <item m="1" x="7568"/>
        <item m="1" x="410"/>
        <item m="1" x="431"/>
        <item m="1" x="2857"/>
        <item m="1" x="6953"/>
        <item m="1" x="3115"/>
        <item m="1" x="5517"/>
        <item m="1" x="2079"/>
        <item m="1" x="5803"/>
        <item m="1" x="1219"/>
        <item m="1" x="2188"/>
        <item m="1" x="2427"/>
        <item m="1" x="6254"/>
        <item m="1" x="6094"/>
        <item m="1" x="6301"/>
        <item m="1" x="3901"/>
        <item m="1" x="3160"/>
        <item m="1" x="3183"/>
        <item m="1" x="1736"/>
        <item m="1" x="5713"/>
        <item m="1" x="4601"/>
        <item m="1" x="59"/>
        <item m="1" x="3359"/>
        <item m="1" x="6995"/>
        <item m="1" x="481"/>
        <item m="1" x="3223"/>
        <item m="1" x="5640"/>
        <item m="1" x="807"/>
        <item m="1" x="6242"/>
        <item m="1" x="2409"/>
        <item m="1" x="2909"/>
        <item m="1" x="5173"/>
        <item m="1" x="2678"/>
        <item m="1" x="413"/>
        <item m="1" x="6842"/>
        <item m="1" x="6606"/>
        <item m="1" x="7554"/>
        <item m="1" x="3919"/>
        <item m="1" x="3785"/>
        <item m="1" x="5451"/>
        <item m="1" x="2059"/>
        <item m="1" x="5784"/>
        <item m="1" x="5942"/>
        <item m="1" x="2386"/>
        <item m="1" x="2227"/>
        <item m="1" x="2711"/>
        <item m="1" x="1888"/>
        <item m="1" x="6512"/>
        <item m="1" x="6370"/>
        <item m="1" x="6075"/>
        <item m="1" x="5919"/>
        <item m="1" x="2037"/>
        <item m="1" x="4332"/>
        <item m="1" x="6634"/>
        <item m="1" x="2845"/>
        <item m="1" x="3430"/>
        <item m="1" x="7762"/>
        <item m="1" x="6499"/>
        <item m="1" x="1044"/>
        <item m="1" x="824"/>
        <item m="1" x="2649"/>
        <item m="1" x="7768"/>
        <item m="1" x="2697"/>
        <item m="1" x="6356"/>
        <item m="1" x="2452"/>
        <item m="1" x="4800"/>
        <item m="1" x="5448"/>
        <item m="1" x="5879"/>
        <item m="1" x="4335"/>
        <item m="1" x="5854"/>
        <item m="1" x="2767"/>
        <item m="1" x="2250"/>
        <item m="1" x="1941"/>
        <item m="1" x="66"/>
        <item m="1" x="7760"/>
        <item m="1" x="7766"/>
        <item m="1" x="6964"/>
        <item m="1" x="1516"/>
        <item m="1" x="3693"/>
        <item m="1" x="3178"/>
        <item m="1" x="4087"/>
        <item m="1" x="6400"/>
        <item m="1" x="4907"/>
        <item m="1" x="2974"/>
        <item m="1" x="3640"/>
        <item m="1" x="1630"/>
        <item m="1" x="516"/>
        <item m="1" x="3168"/>
        <item m="1" x="2345"/>
        <item m="1" x="3660"/>
        <item m="1" x="7648"/>
        <item m="1" x="756"/>
        <item m="1" x="1944"/>
        <item m="1" x="805"/>
        <item m="1" x="1556"/>
        <item m="1" x="6135"/>
        <item m="1" x="6876"/>
        <item m="1" x="7207"/>
        <item m="1" x="6355"/>
        <item m="1" x="2817"/>
        <item m="1" x="6749"/>
        <item m="1" x="2828"/>
        <item m="1" x="3102"/>
        <item m="1" x="2958"/>
        <item m="1" x="2321"/>
        <item m="1" x="512"/>
        <item m="1" x="6890"/>
        <item m="1" x="3046"/>
        <item m="1" x="4207"/>
        <item m="1" x="2696"/>
        <item m="1" x="4447"/>
        <item m="1" x="2501"/>
        <item m="1" x="603"/>
        <item m="1" x="2657"/>
        <item m="1" x="3589"/>
        <item m="1" x="1422"/>
        <item m="1" x="3006"/>
        <item m="1" x="6698"/>
        <item m="1" x="1811"/>
        <item m="1" x="6469"/>
        <item m="1" x="1929"/>
        <item m="1" x="5660"/>
        <item m="1" x="2187"/>
        <item m="1" x="5898"/>
        <item m="1" x="6069"/>
        <item m="1" x="3220"/>
        <item m="1" x="6463"/>
        <item m="1" x="4099"/>
        <item m="1" x="642"/>
        <item m="1" x="5642"/>
        <item m="1" x="2533"/>
        <item m="1" x="2514"/>
        <item m="1" x="6334"/>
        <item m="1" x="2677"/>
        <item m="1" x="6480"/>
        <item m="1" x="7329"/>
        <item m="1" x="7243"/>
        <item m="1" x="770"/>
        <item m="1" x="3017"/>
        <item m="1" x="4696"/>
        <item m="1" x="451"/>
        <item m="1" x="3407"/>
        <item m="1" x="204"/>
        <item m="1" x="2231"/>
        <item m="1" x="5946"/>
        <item m="1" x="2515"/>
        <item m="1" x="6335"/>
        <item m="1" x="6481"/>
        <item m="1" x="2829"/>
        <item m="1" x="6618"/>
        <item m="1" x="6863"/>
        <item m="1" x="3088"/>
        <item m="1" x="6733"/>
        <item m="1" x="2946"/>
        <item m="1" x="7749"/>
        <item m="1" x="1117"/>
        <item m="1" x="7904"/>
        <item m="1" x="4619"/>
        <item m="1" x="3206"/>
        <item m="1" x="7350"/>
        <item m="1" x="7106"/>
        <item m="1" x="3865"/>
        <item m="1" x="4931"/>
        <item m="1" x="4120"/>
        <item m="1" x="2957"/>
        <item m="1" x="432"/>
        <item m="1" x="4334"/>
        <item m="1" x="7366"/>
        <item m="1" x="4880"/>
        <item m="1" x="3309"/>
        <item m="1" x="5996"/>
        <item m="1" x="189"/>
        <item m="1" x="2762"/>
        <item m="1" x="4108"/>
        <item m="1" x="4339"/>
        <item m="1" x="6024"/>
        <item m="1" x="6322"/>
        <item m="1" x="6321"/>
        <item m="1" x="2500"/>
        <item m="1" x="6862"/>
        <item m="1" x="2355"/>
        <item m="1" x="6198"/>
        <item m="1" x="3562"/>
        <item m="1" x="1260"/>
        <item m="1" x="6961"/>
        <item m="1" x="5939"/>
        <item m="1" x="2803"/>
        <item m="1" x="3686"/>
        <item m="1" x="7311"/>
        <item m="1" x="7161"/>
        <item m="1" x="3930"/>
        <item m="1" x="1136"/>
        <item m="1" x="2945"/>
        <item m="1" x="6590"/>
        <item m="1" x="3057"/>
        <item m="1" x="6113"/>
        <item m="1" x="2411"/>
        <item m="1" x="7230"/>
        <item m="1" x="3864"/>
        <item m="1" x="6391"/>
        <item m="1" x="2567"/>
        <item m="1" x="6244"/>
        <item m="1" x="5575"/>
        <item m="1" x="3566"/>
        <item m="1" x="5625"/>
        <item m="1" x="1718"/>
        <item m="1" x="7363"/>
        <item m="1" x="1153"/>
        <item m="1" x="6097"/>
        <item m="1" x="5945"/>
        <item m="1" x="2062"/>
        <item m="1" x="5530"/>
        <item m="1" x="6585"/>
        <item m="1" x="2230"/>
        <item m="1" x="1945"/>
        <item m="1" x="6372"/>
        <item m="1" x="202"/>
        <item m="1" x="3813"/>
        <item m="1" x="5838"/>
        <item m="1" x="3078"/>
        <item m="1" x="1462"/>
        <item m="1" x="4341"/>
        <item m="1" x="2038"/>
        <item m="1" x="5764"/>
        <item m="1" x="1865"/>
        <item m="1" x="4534"/>
        <item m="1" x="7080"/>
        <item m="1" x="6206"/>
        <item m="1" x="3373"/>
        <item m="1" x="6148"/>
        <item m="1" x="6347"/>
        <item m="1" x="530"/>
        <item m="1" x="1032"/>
        <item m="1" x="2788"/>
        <item m="1" x="4330"/>
        <item m="1" x="5690"/>
        <item m="1" x="5855"/>
        <item m="1" x="2333"/>
        <item m="1" x="2551"/>
        <item m="1" x="6003"/>
        <item m="1" x="3991"/>
        <item m="1" x="3303"/>
        <item m="1" x="3185"/>
        <item m="1" x="5306"/>
        <item m="1" x="6501"/>
        <item m="1" x="2700"/>
        <item m="1" x="3500"/>
        <item m="1" x="6630"/>
        <item m="1" x="4728"/>
        <item m="1" x="4210"/>
        <item m="1" x="868"/>
        <item m="1" x="4840"/>
        <item m="1" x="6959"/>
        <item m="1" x="2101"/>
        <item m="1" x="7505"/>
        <item m="1" x="68"/>
        <item m="1" x="661"/>
        <item m="1" x="5861"/>
        <item m="1" x="2634"/>
        <item m="1" x="6359"/>
        <item m="1" x="6151"/>
        <item m="1" x="5984"/>
        <item m="1" x="1847"/>
        <item m="1" x="7090"/>
        <item m="1" x="2517"/>
        <item m="1" x="6337"/>
        <item m="1" x="2535"/>
        <item m="1" x="6208"/>
        <item m="1" x="2369"/>
        <item m="1" x="3580"/>
        <item m="1" x="7761"/>
        <item m="1" x="5106"/>
        <item m="1" x="5849"/>
        <item m="1" x="5371"/>
        <item m="1" x="4606"/>
        <item m="1" x="2272"/>
        <item m="1" x="5832"/>
        <item m="1" x="1643"/>
        <item m="1" x="1099"/>
        <item m="1" x="55"/>
        <item m="1" x="4733"/>
        <item m="1" x="441"/>
        <item m="1" x="2611"/>
        <item m="1" x="4505"/>
        <item m="1" x="4988"/>
        <item m="1" x="2412"/>
        <item m="1" x="648"/>
        <item m="1" x="5247"/>
        <item m="1" x="7078"/>
        <item m="1" x="6058"/>
        <item m="1" x="6831"/>
        <item m="1" x="890"/>
        <item m="1" x="1488"/>
        <item m="1" x="5900"/>
        <item m="1" x="6622"/>
        <item m="1" x="889"/>
        <item m="1" x="6415"/>
        <item m="1" x="2126"/>
        <item m="1" x="2710"/>
        <item m="1" x="2923"/>
        <item m="1" x="6450"/>
        <item m="1" x="6331"/>
        <item m="1" x="438"/>
        <item m="1" x="4976"/>
        <item m="1" x="7174"/>
        <item m="1" x="7188"/>
        <item m="1" x="7295"/>
        <item m="1" x="6973"/>
        <item m="1" x="2630"/>
        <item m="1" x="5866"/>
        <item m="1" x="3963"/>
        <item m="1" x="4850"/>
        <item m="1" x="2648"/>
        <item m="1" x="6312"/>
        <item m="1" x="2493"/>
        <item m="1" x="1515"/>
        <item m="1" x="3207"/>
        <item m="1" x="6405"/>
        <item m="1" x="2933"/>
        <item m="1" x="1890"/>
        <item m="1" x="5786"/>
        <item m="1" x="6457"/>
        <item m="1" x="6853"/>
        <item m="1" x="2643"/>
        <item m="1" x="1625"/>
        <item m="1" x="5425"/>
        <item m="1" x="1469"/>
        <item m="1" x="5277"/>
        <item m="1" x="1331"/>
        <item m="1" x="3545"/>
        <item m="1" x="7876"/>
        <item m="1" x="5147"/>
        <item m="1" x="1185"/>
        <item m="1" x="5019"/>
        <item m="1" x="1056"/>
        <item m="1" x="1791"/>
        <item m="1" x="5689"/>
        <item m="1" x="391"/>
        <item m="1" x="6078"/>
        <item m="1" x="2212"/>
        <item m="1" x="3123"/>
        <item m="1" x="7596"/>
        <item m="1" x="3820"/>
        <item m="1" x="3505"/>
        <item m="1" x="5921"/>
        <item m="1" x="2389"/>
        <item m="1" x="6226"/>
        <item m="1" x="5395"/>
        <item m="1" x="1594"/>
        <item m="1" x="5535"/>
        <item m="1" x="5677"/>
        <item m="1" x="5264"/>
        <item m="1" x="1318"/>
        <item m="1" x="5131"/>
        <item m="1" x="5411"/>
        <item m="1" x="1437"/>
        <item m="1" x="1776"/>
        <item m="1" x="1169"/>
        <item m="1" x="1457"/>
        <item m="1" x="1611"/>
        <item m="1" x="5245"/>
        <item m="1" x="3814"/>
        <item m="1" x="7900"/>
        <item m="1" x="1447"/>
        <item m="1" x="5967"/>
        <item m="1" x="6112"/>
        <item m="1" x="2252"/>
        <item m="1" x="2082"/>
        <item m="1" x="2173"/>
        <item m="1" x="5806"/>
        <item m="1" x="6193"/>
        <item m="1" x="4294"/>
        <item m="1" x="3574"/>
        <item m="1" x="7071"/>
        <item m="1" x="5375"/>
        <item m="1" x="2346"/>
        <item m="1" x="1078"/>
        <item m="1" x="5604"/>
        <item m="1" x="1416"/>
        <item m="1" x="47"/>
        <item m="1" x="1421"/>
        <item m="1" x="6042"/>
        <item m="1" x="6824"/>
        <item m="1" x="2990"/>
        <item m="1" x="5519"/>
        <item m="1" x="1761"/>
        <item m="1" x="3439"/>
        <item m="1" x="2681"/>
        <item m="1" x="1578"/>
        <item m="1" x="6252"/>
        <item m="1" x="2284"/>
        <item m="1" x="3135"/>
        <item m="1" x="7444"/>
        <item m="1" x="3378"/>
        <item m="1" x="3509"/>
        <item m="1" x="291"/>
        <item m="1" x="971"/>
        <item m="1" x="7627"/>
        <item m="1" x="548"/>
        <item m="1" x="4957"/>
        <item m="1" x="7145"/>
        <item m="1" x="3200"/>
        <item m="1" x="1959"/>
        <item m="1" x="6216"/>
        <item m="1" x="6511"/>
        <item m="1" x="1258"/>
        <item m="1" x="2267"/>
        <item m="1" x="7844"/>
        <item m="1" x="3537"/>
        <item m="1" x="4060"/>
        <item m="1" x="7320"/>
        <item m="1" x="3790"/>
        <item m="1" x="4979"/>
        <item m="1" x="6693"/>
        <item m="1" x="6449"/>
        <item m="1" x="2466"/>
        <item m="1" x="1910"/>
        <item m="1" x="1472"/>
        <item m="1" x="2815"/>
        <item m="1" x="6269"/>
        <item m="1" x="2442"/>
        <item m="1" x="1598"/>
        <item m="1" x="2363"/>
        <item m="1" x="7069"/>
        <item m="1" x="5127"/>
        <item m="1" x="5345"/>
        <item m="1" x="6129"/>
        <item m="1" x="7953"/>
        <item m="1" x="7086"/>
        <item m="1" x="1780"/>
        <item m="1" x="3753"/>
        <item m="1" x="5413"/>
        <item m="1" x="198"/>
        <item m="1" x="3742"/>
        <item m="1" x="5539"/>
        <item m="1" x="7178"/>
        <item m="1" x="5428"/>
        <item m="1" x="2117"/>
        <item m="1" x="1948"/>
        <item m="1" x="5842"/>
        <item m="1" x="2759"/>
        <item m="1" x="182"/>
        <item m="1" x="1058"/>
        <item m="1" x="6577"/>
        <item m="1" x="1634"/>
        <item m="1" x="7313"/>
        <item m="1" x="2636"/>
        <item m="1" x="4074"/>
        <item m="1" x="4179"/>
        <item m="1" x="1845"/>
        <item m="1" x="5699"/>
        <item m="1" x="1804"/>
        <item m="1" x="5563"/>
        <item m="1" x="5680"/>
        <item m="1" x="3387"/>
        <item m="1" x="1645"/>
        <item m="1" x="3507"/>
        <item m="1" x="2754"/>
        <item m="1" x="6827"/>
        <item m="1" x="3859"/>
        <item m="1" x="5981"/>
        <item m="1" x="7608"/>
        <item m="1" x="4663"/>
        <item m="1" x="1526"/>
        <item m="1" x="3597"/>
        <item m="1" x="4712"/>
        <item m="1" x="7636"/>
        <item m="1" x="5827"/>
        <item m="1" x="7142"/>
        <item m="1" x="2330"/>
        <item m="1" x="3731"/>
        <item m="1" x="4490"/>
        <item m="1" x="2098"/>
        <item m="1" x="3364"/>
        <item m="1" x="2105"/>
        <item m="1" x="2350"/>
        <item m="1" x="6407"/>
        <item m="1" x="2588"/>
        <item m="1" x="983"/>
        <item m="1" x="7936"/>
        <item m="1" x="5999"/>
        <item m="1" x="5696"/>
        <item m="1" x="3887"/>
        <item m="1" x="4512"/>
        <item m="1" x="162"/>
        <item m="1" x="7405"/>
        <item m="1" x="3787"/>
        <item m="1" x="7556"/>
        <item m="1" x="3094"/>
        <item m="1" x="6869"/>
        <item m="1" x="3226"/>
        <item m="1" x="6998"/>
        <item m="1" x="3352"/>
        <item m="1" x="7125"/>
        <item m="1" x="3492"/>
        <item m="1" x="7279"/>
        <item m="1" x="3650"/>
        <item m="1" x="7421"/>
        <item m="1" x="5664"/>
        <item m="1" x="2963"/>
        <item m="1" x="6755"/>
        <item m="1" x="3109"/>
        <item m="1" x="6884"/>
        <item m="1" x="3241"/>
        <item m="1" x="7015"/>
        <item m="1" x="7262"/>
        <item m="1" x="3631"/>
        <item m="1" x="1934"/>
        <item m="1" x="6259"/>
        <item m="1" x="3059"/>
        <item m="1" x="5688"/>
        <item m="1" x="3476"/>
        <item m="1" x="2549"/>
        <item m="1" x="1627"/>
        <item m="1" x="7742"/>
        <item m="1" x="1764"/>
        <item m="1" x="2844"/>
        <item m="1" x="4439"/>
        <item m="1" x="5972"/>
        <item m="1" x="1914"/>
        <item m="1" x="7351"/>
        <item m="1" x="6909"/>
        <item m="1" x="4743"/>
        <item m="1" x="1831"/>
        <item m="1" x="5952"/>
        <item m="1" x="4758"/>
        <item m="1" x="820"/>
        <item m="1" x="987"/>
        <item m="1" x="195"/>
        <item m="1" x="245"/>
        <item m="1" x="4371"/>
        <item m="1" x="2432"/>
        <item m="1" x="6119"/>
        <item m="1" x="2257"/>
        <item m="1" x="7111"/>
        <item m="1" x="3339"/>
        <item m="1" x="6988"/>
        <item m="1" x="3211"/>
        <item m="1" x="7680"/>
        <item m="1" x="6286"/>
        <item m="1" x="3620"/>
        <item m="1" x="7248"/>
        <item m="1" x="3466"/>
        <item m="1" x="7100"/>
        <item m="1" x="3330"/>
        <item m="1" x="7807"/>
        <item m="1" x="4024"/>
        <item m="1" x="7672"/>
        <item m="1" x="3892"/>
        <item m="1" x="7528"/>
        <item m="1" x="3760"/>
        <item m="1" x="7240"/>
        <item m="1" x="3456"/>
        <item m="1" x="6940"/>
        <item m="1" x="7392"/>
        <item m="1" x="3803"/>
        <item m="1" x="1720"/>
        <item m="1" x="6532"/>
        <item m="1" x="7422"/>
        <item m="1" x="3548"/>
        <item m="1" x="3119"/>
        <item m="1" x="6697"/>
        <item m="1" x="4092"/>
        <item m="1" x="4431"/>
        <item m="1" x="4122"/>
        <item m="1" x="7774"/>
        <item m="1" x="7355"/>
        <item m="1" x="2840"/>
        <item m="1" x="2476"/>
        <item m="1" x="6454"/>
        <item m="1" x="4596"/>
        <item m="1" x="3886"/>
        <item m="1" x="733"/>
        <item m="1" x="7558"/>
        <item m="1" x="3922"/>
        <item m="1" x="3633"/>
        <item m="1" x="4361"/>
        <item m="1" x="90"/>
        <item m="1" x="4244"/>
        <item m="1" x="4059"/>
        <item m="1" x="7698"/>
        <item m="1" x="3402"/>
        <item m="1" x="6172"/>
        <item m="1" x="3478"/>
        <item m="1" x="3043"/>
        <item m="1" x="665"/>
        <item m="1" x="3651"/>
        <item m="1" x="2032"/>
        <item m="1" x="2091"/>
        <item m="1" x="6655"/>
        <item m="1" x="3622"/>
        <item m="1" x="114"/>
        <item m="1" x="5894"/>
        <item m="1" x="3740"/>
        <item m="1" x="7885"/>
        <item m="1" x="6788"/>
        <item m="1" x="7962"/>
        <item m="1" x="2299"/>
        <item m="1" x="4269"/>
        <item m="1" x="3929"/>
        <item m="1" x="1314"/>
        <item m="1" x="7713"/>
        <item m="1" x="7944"/>
        <item m="1" x="2988"/>
        <item m="1" x="1923"/>
        <item m="1" x="7443"/>
        <item m="1" x="5732"/>
        <item m="1" x="7407"/>
        <item m="1" x="7264"/>
        <item m="1" x="3789"/>
        <item m="1" x="7394"/>
        <item m="1" x="7280"/>
        <item m="1" x="3493"/>
        <item m="1" x="7126"/>
        <item m="1" x="3353"/>
        <item m="1" x="6999"/>
        <item m="1" x="3227"/>
        <item m="1" x="7697"/>
        <item m="1" x="4150"/>
        <item m="1" x="3921"/>
        <item m="1" x="7290"/>
        <item m="1" x="1958"/>
        <item m="1" x="7170"/>
        <item m="1" x="191"/>
        <item m="1" x="2245"/>
        <item m="1" x="4416"/>
        <item m="1" x="3494"/>
        <item m="1" x="758"/>
        <item m="1" x="4324"/>
        <item m="1" x="2865"/>
        <item m="1" x="3774"/>
        <item m="1" x="3477"/>
        <item m="1" x="7682"/>
        <item m="1" x="7112"/>
        <item m="1" x="4040"/>
        <item m="1" x="3907"/>
        <item m="1" x="7263"/>
        <item m="1" x="7630"/>
        <item m="1" x="762"/>
        <item m="1" x="404"/>
        <item m="1" x="5695"/>
        <item m="1" x="7542"/>
        <item m="1" x="6825"/>
        <item m="1" x="7406"/>
        <item m="1" x="4164"/>
        <item m="1" x="7557"/>
        <item m="1" x="3788"/>
        <item m="1" x="3632"/>
        <item m="1" x="7824"/>
        <item m="1" x="3906"/>
        <item m="1" x="3621"/>
        <item m="1" x="7249"/>
        <item m="1" x="3467"/>
        <item m="1" x="7393"/>
        <item m="1" x="7541"/>
        <item m="1" x="3773"/>
        <item m="1" x="7681"/>
        <item m="1" x="7823"/>
        <item m="1" x="4039"/>
        <item m="1" x="3340"/>
        <item m="1" x="6843"/>
        <item m="1" x="3544"/>
        <item m="1" x="3371"/>
        <item m="1" x="7808"/>
        <item m="1" x="4025"/>
        <item m="1" x="7930"/>
        <item m="1" x="2584"/>
        <item m="1" x="3893"/>
        <item m="1" x="7673"/>
        <item m="1" x="4149"/>
        <item m="1" x="7943"/>
        <item m="1" x="407"/>
        <item m="1" x="806"/>
        <item m="1" x="3609"/>
        <item m="1" x="206"/>
        <item m="1" x="6253"/>
        <item m="1" x="3846"/>
        <item m="1" x="7382"/>
        <item m="1" x="70"/>
        <item m="1" x="3184"/>
        <item m="1" x="318"/>
        <item m="1" x="5609"/>
        <item m="1" x="7529"/>
        <item m="1" x="4857"/>
        <item m="1" x="7305"/>
        <item m="1" x="4654"/>
        <item m="1" x="7976"/>
        <item m="1" x="4093"/>
        <item m="1" x="5470"/>
        <item m="1" x="4703"/>
        <item m="1" x="2426"/>
        <item m="1" x="7576"/>
        <item m="1" x="3652"/>
        <item m="1" x="7843"/>
        <item m="1" x="6426"/>
        <item m="1" x="7781"/>
        <item m="1" x="1352"/>
        <item m="1" x="3761"/>
        <item m="1" x="4436"/>
        <item m="1" x="7916"/>
        <item m="1" x="4736"/>
        <item m="1" x="4867"/>
        <item m="1" x="4005"/>
        <item m="1" x="418"/>
        <item m="1" x="6666"/>
        <item m="1" x="3019"/>
        <item m="1" x="3692"/>
        <item m="1" x="3935"/>
        <item m="1" x="7423"/>
        <item m="1" x="7281"/>
        <item m="1" x="7530"/>
        <item m="1" x="3762"/>
        <item m="1" x="7674"/>
        <item m="1" x="3894"/>
        <item m="1" x="2318"/>
        <item m="1" x="7888"/>
        <item m="1" x="873"/>
        <item m="1" x="103"/>
        <item m="1" x="4256"/>
        <item m="1" x="7929"/>
        <item m="1" x="4137"/>
        <item m="1" x="4138"/>
        <item m="1" x="7791"/>
        <item m="1" x="4014"/>
        <item m="1" x="7665"/>
        <item m="1" x="350"/>
        <item m="1" x="4470"/>
        <item m="1" x="231"/>
        <item m="1" x="7219"/>
        <item m="1" x="5453"/>
        <item m="1" x="1895"/>
        <item m="1" x="7471"/>
        <item m="1" x="2472"/>
        <item m="1" x="4424"/>
        <item m="1" x="832"/>
        <item m="1" x="6686"/>
        <item m="1" x="6531"/>
        <item m="1" x="4068"/>
        <item m="1" x="2731"/>
        <item m="1" x="2880"/>
        <item m="1" x="2825"/>
        <item m="1" x="7144"/>
        <item m="1" x="7522"/>
        <item m="1" x="4013"/>
        <item m="1" x="4209"/>
        <item m="1" x="7790"/>
        <item m="1" x="7815"/>
        <item m="1" x="998"/>
        <item m="1" x="7192"/>
        <item m="1" x="2994"/>
        <item m="1" x="6639"/>
        <item m="1" x="720"/>
        <item m="1" x="7975"/>
        <item m="1" x="3009"/>
        <item m="1" x="4513"/>
        <item m="1" x="1904"/>
        <item m="1" x="775"/>
        <item m="1" x="3047"/>
        <item m="1" x="435"/>
        <item m="1" x="1829"/>
        <item m="1" x="3391"/>
        <item m="1" x="4116"/>
        <item m="1" x="3613"/>
        <item m="1" x="4731"/>
        <item m="1" x="1996"/>
        <item m="1" x="7041"/>
        <item m="1" x="2595"/>
        <item m="1" x="3267"/>
        <item m="1" x="176"/>
        <item m="1" x="728"/>
        <item m="1" x="1931"/>
        <item m="1" x="6930"/>
        <item m="1" x="6787"/>
        <item m="1" x="2997"/>
        <item m="1" x="6641"/>
        <item m="1" x="4961"/>
        <item m="1" x="6915"/>
        <item m="1" x="1369"/>
        <item m="1" x="2033"/>
        <item m="1" x="6115"/>
        <item m="1" x="6737"/>
        <item m="1" x="2949"/>
        <item m="1" x="6593"/>
        <item m="1" x="2888"/>
        <item m="1" x="6393"/>
        <item m="1" x="2570"/>
        <item m="1" x="7050"/>
        <item m="1" x="6540"/>
        <item m="1" x="2737"/>
        <item m="1" x="3482"/>
        <item m="1" x="2864"/>
        <item m="1" x="4110"/>
        <item m="1" x="2421"/>
        <item m="1" x="2414"/>
        <item m="1" x="2568"/>
        <item m="1" x="3134"/>
        <item m="1" x="6406"/>
        <item m="1" x="3126"/>
        <item m="1" x="2848"/>
        <item m="1" x="6503"/>
        <item m="1" x="2702"/>
        <item m="1" x="6361"/>
        <item m="1" x="2537"/>
        <item m="1" x="6210"/>
        <item m="1" x="2371"/>
        <item m="1" x="6901"/>
        <item m="1" x="3124"/>
        <item m="1" x="6771"/>
        <item m="1" x="2977"/>
        <item m="1" x="6624"/>
        <item m="1" x="2834"/>
        <item m="1" x="2683"/>
        <item m="1" x="6339"/>
        <item m="1" x="2519"/>
        <item m="1" x="7013"/>
        <item m="1" x="3239"/>
        <item m="1" x="6882"/>
        <item m="1" x="3107"/>
        <item m="1" x="6486"/>
        <item m="1" x="2850"/>
        <item m="1" x="7312"/>
        <item m="1" x="3524"/>
        <item m="1" x="7163"/>
        <item m="1" x="7261"/>
        <item m="1" x="3475"/>
        <item m="1" x="2806"/>
        <item m="1" x="6867"/>
        <item m="1" x="2660"/>
        <item m="1" x="6472"/>
        <item m="1" x="2820"/>
        <item m="1" x="6609"/>
        <item m="1" x="2961"/>
        <item m="1" x="6753"/>
        <item m="1" x="3092"/>
        <item m="1" x="7123"/>
        <item m="1" x="7109"/>
        <item m="1" x="3337"/>
        <item m="1" x="6986"/>
        <item m="1" x="6728"/>
        <item m="1" x="2940"/>
        <item m="1" x="6417"/>
        <item m="1" x="6902"/>
        <item m="1" x="2175"/>
        <item m="1" x="5205"/>
        <item m="1" x="6346"/>
        <item m="1" x="3254"/>
        <item m="1" x="3125"/>
        <item m="1" x="6654"/>
        <item m="1" x="3409"/>
        <item m="1" x="6772"/>
        <item m="1" x="4746"/>
        <item m="1" x="6850"/>
        <item m="1" x="6526"/>
        <item m="1" x="5969"/>
        <item m="1" x="2897"/>
        <item m="1" x="6773"/>
        <item m="1" x="7017"/>
        <item m="1" x="3875"/>
        <item m="1" x="3365"/>
        <item m="1" x="7016"/>
        <item m="1" x="2716"/>
        <item m="1" x="3148"/>
        <item m="1" x="94"/>
        <item m="1" x="74"/>
        <item m="1" x="1087"/>
        <item m="1" x="49"/>
        <item m="1" x="3316"/>
        <item m="1" x="2978"/>
        <item m="1" x="1353"/>
        <item m="1" x="7496"/>
        <item m="1" x="6802"/>
        <item m="1" x="1648"/>
        <item m="1" x="433"/>
        <item m="1" x="7060"/>
        <item m="1" x="7297"/>
        <item m="1" x="1225"/>
        <item m="1" x="5624"/>
        <item m="1" x="885"/>
        <item m="1" x="1717"/>
        <item m="1" x="1889"/>
        <item m="1" x="680"/>
        <item m="1" x="186"/>
        <item m="1" x="2932"/>
        <item m="1" x="6297"/>
        <item m="1" x="2612"/>
        <item m="1" x="2835"/>
        <item m="1" x="2906"/>
        <item m="1" x="6515"/>
        <item m="1" x="2430"/>
        <item m="1" x="2757"/>
        <item m="1" x="2587"/>
        <item m="1" x="6257"/>
        <item m="1" x="6116"/>
        <item m="1" x="6810"/>
        <item m="1" x="3018"/>
        <item m="1" x="2254"/>
        <item m="1" x="3347"/>
        <item m="1" x="6865"/>
        <item m="1" x="3971"/>
        <item m="1" x="3222"/>
        <item m="1" x="4704"/>
        <item m="1" x="3090"/>
        <item m="1" x="4678"/>
        <item m="1" x="7256"/>
        <item m="1" x="3491"/>
        <item m="1" x="7124"/>
        <item m="1" x="6610"/>
        <item m="1" x="2821"/>
        <item m="1" x="7278"/>
        <item m="1" x="3240"/>
        <item m="1" x="6754"/>
        <item m="1" x="2962"/>
        <item m="1" x="3209"/>
        <item m="1" x="6883"/>
        <item m="1" x="7108"/>
        <item m="1" x="7014"/>
        <item m="1" x="7258"/>
        <item m="1" x="3336"/>
        <item m="1" x="1995"/>
        <item m="1" x="2879"/>
        <item m="1" x="2569"/>
        <item m="1" x="965"/>
        <item m="1" x="5443"/>
        <item m="1" x="3108"/>
        <item m="1" x="6985"/>
        <item m="1" x="663"/>
        <item m="1" x="4602"/>
        <item m="1" x="746"/>
        <item m="1" x="7141"/>
        <item m="1" x="6487"/>
        <item m="1" x="2684"/>
        <item m="1" x="2563"/>
        <item m="1" x="2348"/>
        <item m="1" x="3425"/>
        <item m="1" x="4708"/>
        <item m="1" x="3627"/>
        <item m="1" x="6993"/>
        <item m="1" x="3351"/>
        <item m="1" x="5333"/>
        <item m="1" x="5308"/>
        <item m="1" x="6446"/>
        <item m="1" x="6245"/>
        <item m="1" x="3081"/>
        <item m="1" x="4203"/>
        <item m="1" x="4050"/>
        <item m="1" x="864"/>
        <item m="1" x="2149"/>
        <item m="1" x="3979"/>
        <item m="1" x="2925"/>
        <item m="1" x="3472"/>
        <item m="1" x="6856"/>
        <item m="1" x="3225"/>
        <item m="1" x="6625"/>
        <item m="1" x="2145"/>
        <item m="1" x="2415"/>
        <item m="1" x="6997"/>
        <item m="1" x="6277"/>
        <item m="1" x="5637"/>
        <item m="1" x="645"/>
        <item m="1" x="6525"/>
        <item m="1" x="1094"/>
        <item m="1" x="7575"/>
        <item m="1" x="7119"/>
        <item m="1" x="6735"/>
        <item m="1" x="2948"/>
        <item m="1" x="6868"/>
        <item m="1" x="3093"/>
        <item m="1" x="6738"/>
        <item m="1" x="2950"/>
        <item m="1" x="7404"/>
        <item m="1" x="7110"/>
        <item m="1" x="3338"/>
        <item m="1" x="6987"/>
        <item m="1" x="7536"/>
        <item m="1" x="5877"/>
        <item m="1" x="7247"/>
        <item m="1" x="5435"/>
        <item m="1" x="3210"/>
        <item m="1" x="6857"/>
        <item m="1" x="3082"/>
        <item m="1" x="7540"/>
        <item m="1" x="3772"/>
        <item m="1" x="7391"/>
        <item m="1" x="3619"/>
        <item m="1" x="7143"/>
        <item m="1" x="3508"/>
        <item m="1" x="3669"/>
        <item m="1" x="7442"/>
        <item m="1" x="2979"/>
        <item m="1" x="3487"/>
        <item m="1" x="7400"/>
        <item m="1" x="6330"/>
        <item m="1" x="3465"/>
        <item m="1" x="6982"/>
        <item m="1" x="3204"/>
        <item m="1" x="6678"/>
        <item m="1" x="2713"/>
        <item m="1" x="6373"/>
        <item m="1" x="2552"/>
        <item m="1" x="6227"/>
        <item m="1" x="2390"/>
        <item m="1" x="6079"/>
        <item m="1" x="2213"/>
        <item m="1" x="5922"/>
        <item m="1" x="2039"/>
        <item m="1" x="6638"/>
        <item m="1" x="2847"/>
        <item m="1" x="6502"/>
        <item m="1" x="3768"/>
        <item m="1" x="7098"/>
        <item m="1" x="738"/>
        <item m="1" x="7482"/>
        <item m="1" x="3276"/>
        <item m="1" x="7084"/>
        <item m="1" x="6176"/>
        <item m="1" x="2701"/>
        <item m="1" x="6360"/>
        <item m="1" x="2536"/>
        <item m="1" x="6209"/>
        <item m="1" x="2370"/>
        <item m="1" x="6059"/>
        <item m="1" x="7389"/>
        <item m="1" x="7491"/>
        <item m="1" x="6981"/>
        <item m="1" x="7379"/>
        <item m="1" x="3606"/>
        <item m="1" x="6388"/>
        <item m="1" x="650"/>
        <item m="1" x="3454"/>
        <item m="1" x="7093"/>
        <item m="1" x="4742"/>
        <item m="1" x="48"/>
        <item m="1" x="2190"/>
        <item m="1" x="4510"/>
        <item m="1" x="6597"/>
        <item m="1" x="3617"/>
        <item m="1" x="7245"/>
        <item m="1" x="3203"/>
        <item m="1" x="7668"/>
        <item m="1" x="3328"/>
        <item m="1" x="3324"/>
        <item m="1" x="7786"/>
        <item m="1" x="4314"/>
        <item m="1" x="2814"/>
        <item m="1" x="521"/>
        <item m="1" x="2448"/>
        <item m="1" x="1542"/>
        <item m="1" x="2211"/>
        <item m="1" x="2388"/>
        <item m="1" x="6077"/>
        <item m="1" x="6801"/>
        <item m="1" x="6225"/>
        <item m="1" x="4730"/>
        <item m="1" x="3008"/>
        <item m="1" x="6779"/>
        <item m="1" x="5920"/>
        <item m="1" x="6653"/>
        <item m="1" x="6662"/>
        <item m="1" x="553"/>
        <item m="1" x="2991"/>
        <item m="1" x="5839"/>
        <item m="1" x="3750"/>
        <item m="1" x="2283"/>
        <item m="1" x="6929"/>
        <item m="1" x="7234"/>
        <item m="1" x="7661"/>
        <item m="1" x="3882"/>
        <item m="1" x="658"/>
        <item m="1" x="5997"/>
        <item m="1" x="2115"/>
        <item m="1" x="6770"/>
        <item m="1" x="3049"/>
        <item m="1" x="3463"/>
        <item m="1" x="7238"/>
        <item m="1" x="4038"/>
        <item m="1" x="7519"/>
        <item m="1" x="3853"/>
        <item m="1" x="3096"/>
        <item m="1" x="2976"/>
        <item m="1" x="1818"/>
        <item m="1" x="1946"/>
        <item m="1" x="4844"/>
        <item m="1" x="1833"/>
        <item m="1" x="63"/>
        <item m="1" x="747"/>
        <item m="1" x="7134"/>
        <item m="1" x="3300"/>
        <item m="1" x="6623"/>
        <item m="1" x="4701"/>
        <item m="1" x="5303"/>
        <item m="1" x="2586"/>
        <item m="1" x="5449"/>
        <item m="1" x="3304"/>
        <item m="1" x="656"/>
        <item m="1" x="4615"/>
        <item m="1" x="7639"/>
        <item m="1" x="4009"/>
        <item m="1" x="759"/>
        <item m="1" x="5712"/>
        <item m="1" x="7079"/>
        <item m="1" x="627"/>
        <item m="1" x="1595"/>
        <item m="1" x="5536"/>
        <item m="1" x="5678"/>
        <item m="1" x="6267"/>
        <item m="1" x="2273"/>
        <item m="1" x="6127"/>
        <item m="1" x="1777"/>
        <item m="1" x="2102"/>
        <item m="1" x="5661"/>
        <item m="1" x="7736"/>
        <item m="1" x="2659"/>
        <item m="1" x="6323"/>
        <item m="1" x="2502"/>
        <item m="1" x="6996"/>
        <item m="1" x="3224"/>
        <item m="1" x="5370"/>
        <item m="1" x="1762"/>
        <item m="1" x="2953"/>
        <item m="1" x="405"/>
        <item m="1" x="2441"/>
        <item m="1" x="2833"/>
        <item m="1" x="6485"/>
        <item m="1" x="2682"/>
        <item m="1" x="6338"/>
        <item m="1" x="2518"/>
        <item m="1" x="6194"/>
        <item m="1" x="2347"/>
        <item m="1" x="6881"/>
        <item m="1" x="6608"/>
        <item m="1" x="2819"/>
        <item m="1" x="6471"/>
        <item m="1" x="6685"/>
        <item m="1" x="1694"/>
        <item m="1" x="6799"/>
        <item m="1" x="4732"/>
        <item m="1" x="6114"/>
        <item m="1" x="2253"/>
        <item m="1" x="5968"/>
        <item m="1" x="2715"/>
        <item m="1" x="6514"/>
        <item m="1" x="6765"/>
        <item m="1" x="5807"/>
        <item m="1" x="6530"/>
        <item m="1" x="2730"/>
        <item m="1" x="6866"/>
        <item m="1" x="3091"/>
        <item m="1" x="3216"/>
        <item m="1" x="543"/>
        <item m="1" x="752"/>
        <item m="1" x="2465"/>
        <item m="1" x="4097"/>
        <item m="1" x="6974"/>
        <item m="1" x="3197"/>
        <item m="1" x="6228"/>
        <item m="1" x="2413"/>
        <item m="1" x="4938"/>
        <item m="1" x="5824"/>
        <item m="1" x="1930"/>
        <item m="1" x="688"/>
        <item m="1" x="7798"/>
        <item m="1" x="4142"/>
        <item m="1" x="7920"/>
        <item m="1" x="5882"/>
        <item m="1" x="7609"/>
        <item m="1" x="3061"/>
        <item m="1" x="46"/>
        <item m="1" x="2429"/>
        <item m="1" x="4245"/>
        <item m="1" x="6652"/>
        <item m="1" x="43"/>
        <item m="1" x="3983"/>
        <item m="1" x="193"/>
        <item m="1" x="5985"/>
        <item m="1" x="6256"/>
        <item m="1" x="1911"/>
        <item m="1" x="6374"/>
        <item m="1" x="6736"/>
        <item m="1" x="3955"/>
        <item m="1" x="7599"/>
        <item m="1" x="3822"/>
        <item m="1" x="2726"/>
        <item m="1" x="1476"/>
        <item m="1" x="3314"/>
        <item m="1" x="4681"/>
        <item m="1" x="6464"/>
        <item m="1" x="7445"/>
        <item m="1" x="3670"/>
        <item m="1" x="3510"/>
        <item m="1" x="6715"/>
        <item m="1" x="3936"/>
        <item m="1" x="4417"/>
        <item m="1" x="1992"/>
        <item m="1" x="7390"/>
        <item m="1" x="7857"/>
        <item m="1" x="4570"/>
        <item m="1" x="2382"/>
        <item m="1" x="7714"/>
        <item m="1" x="4075"/>
        <item m="1" x="7577"/>
        <item m="1" x="960"/>
        <item m="1" x="4037"/>
        <item m="1" x="6392"/>
        <item m="1" x="3903"/>
        <item m="1" x="5763"/>
        <item m="1" x="1864"/>
        <item m="1" x="1698"/>
        <item m="1" x="5607"/>
        <item m="1" x="2714"/>
        <item m="1" x="2553"/>
        <item m="1" x="6098"/>
        <item m="1" x="2232"/>
        <item m="1" x="5947"/>
        <item m="1" x="2063"/>
        <item m="1" x="2862"/>
        <item m="1" x="6786"/>
        <item m="1" x="6030"/>
        <item m="1" x="3997"/>
        <item m="1" x="3415"/>
        <item m="1" x="3559"/>
        <item m="1" x="7246"/>
        <item m="1" x="3464"/>
        <item m="1" x="7940"/>
        <item m="1" x="7804"/>
        <item m="1" x="4021"/>
        <item m="1" x="6358"/>
        <item m="1" x="1247"/>
        <item m="1" x="547"/>
        <item m="1" x="172"/>
        <item m="1" x="1097"/>
        <item m="1" x="3741"/>
        <item m="1" x="3687"/>
        <item m="1" x="3525"/>
        <item m="1" x="7164"/>
        <item m="1" x="7462"/>
        <item m="1" x="3832"/>
        <item m="1" x="3948"/>
        <item m="1" x="7729"/>
        <item m="1" x="4083"/>
        <item m="1" x="7866"/>
        <item m="1" x="3379"/>
        <item m="1" x="7314"/>
        <item m="1" x="2650"/>
        <item m="1" x="6141"/>
        <item m="1" x="4286"/>
        <item m="1" x="7963"/>
        <item m="1" x="7825"/>
        <item m="1" x="4041"/>
        <item m="1" x="7683"/>
        <item m="1" x="3908"/>
        <item m="1" x="7543"/>
        <item m="1" x="3775"/>
        <item m="1" x="263"/>
        <item m="1" x="4385"/>
        <item m="1" x="115"/>
        <item m="1" x="4270"/>
        <item m="1" x="7945"/>
        <item m="1" x="4151"/>
        <item m="1" x="104"/>
        <item m="1" x="4257"/>
        <item m="1" x="7931"/>
        <item m="1" x="4015"/>
        <item m="1" x="4026"/>
        <item m="1" x="7809"/>
        <item m="1" x="91"/>
        <item m="1" x="232"/>
        <item m="1" x="7675"/>
        <item m="1" x="3895"/>
        <item m="1" x="475"/>
        <item m="1" x="7792"/>
        <item m="1" x="4139"/>
        <item m="1" x="4362"/>
        <item m="1" x="4372"/>
        <item m="1" x="4482"/>
        <item m="1" x="246"/>
        <item m="1" x="365"/>
        <item m="1" x="4878"/>
        <item m="1" x="5716"/>
        <item m="1" x="7298"/>
        <item m="1" x="3301"/>
        <item m="1" x="7917"/>
        <item m="1" x="2139"/>
        <item m="1" x="7670"/>
        <item m="1" x="4741"/>
        <item m="1" x="5170"/>
        <item m="1" x="1206"/>
        <item m="1" x="4237"/>
        <item m="1" x="1349"/>
        <item m="1" x="7739"/>
        <item m="1" x="339"/>
        <item m="1" x="7983"/>
        <item m="1" x="4459"/>
        <item m="1" x="3653"/>
        <item m="1" x="3588"/>
        <item m="1" x="2642"/>
        <item m="1" x="532"/>
        <item m="1" x="4705"/>
        <item m="1" x="7502"/>
        <item m="1" x="3570"/>
        <item m="1" x="4419"/>
        <item m="1" x="464"/>
        <item m="1" x="4301"/>
        <item m="1" x="4229"/>
        <item m="1" x="7935"/>
        <item m="1" x="579"/>
        <item m="1" x="4130"/>
        <item m="1" x="3804"/>
        <item m="1" x="4648"/>
        <item m="1" x="5301"/>
        <item m="1" x="1480"/>
        <item m="1" x="3450"/>
        <item m="1" x="5583"/>
        <item m="1" x="7424"/>
        <item m="1" x="3869"/>
        <item m="1" x="1785"/>
        <item m="1" x="149"/>
        <item m="1" x="1000"/>
        <item m="1" x="5289"/>
        <item m="1" x="7514"/>
        <item m="1" x="166"/>
        <item m="1" x="5039"/>
        <item m="1" x="1075"/>
        <item m="1" x="4926"/>
        <item m="1" x="954"/>
        <item m="1" x="4819"/>
        <item m="1" x="846"/>
        <item m="1" x="5438"/>
        <item m="1" x="4503"/>
        <item m="1" x="7481"/>
        <item m="1" x="1298"/>
        <item m="1" x="7479"/>
        <item m="1" x="4180"/>
        <item m="1" x="6062"/>
        <item m="1" x="2554"/>
        <item m="1" x="275"/>
        <item m="1" x="7040"/>
        <item m="1" x="222"/>
        <item m="1" x="6603"/>
        <item m="1" x="3791"/>
        <item m="1" x="7559"/>
        <item m="1" x="6383"/>
        <item m="1" x="3923"/>
        <item m="1" x="5160"/>
        <item m="1" x="1198"/>
        <item m="1" x="5033"/>
        <item m="1" x="4917"/>
        <item m="1" x="1343"/>
        <item m="1" x="4398"/>
        <item m="1" x="623"/>
        <item m="1" x="4323"/>
        <item m="1" x="5194"/>
        <item m="1" x="2193"/>
        <item m="1" x="6375"/>
        <item m="1" x="949"/>
        <item m="1" x="141"/>
        <item m="1" x="129"/>
        <item m="1" x="2112"/>
        <item m="1" x="100"/>
        <item m="1" x="6571"/>
        <item m="1" x="3215"/>
        <item m="1" x="630"/>
        <item m="1" x="4287"/>
        <item m="1" x="1470"/>
        <item m="1" x="5278"/>
        <item m="1" x="3072"/>
        <item m="1" x="3969"/>
        <item m="1" x="5739"/>
        <item m="1" x="39"/>
        <item m="1" x="3218"/>
        <item m="1" x="2010"/>
        <item m="1" x="567"/>
        <item m="1" x="3608"/>
        <item m="1" x="5426"/>
        <item m="1" x="6563"/>
        <item m="1" x="7699"/>
        <item m="1" x="4700"/>
        <item m="1" x="4584"/>
        <item m="1" x="2562"/>
        <item m="1" x="5902"/>
        <item m="1" x="2148"/>
        <item m="1" x="6443"/>
        <item m="1" x="4105"/>
        <item m="1" x="1220"/>
        <item m="1" x="4166"/>
        <item m="1" x="2008"/>
        <item m="1" x="3266"/>
        <item m="1" x="7964"/>
        <item m="1" x="7826"/>
        <item m="1" x="1332"/>
        <item m="1" x="6536"/>
        <item m="1" x="4622"/>
        <item m="1" x="6923"/>
        <item m="1" x="4042"/>
        <item m="1" x="1186"/>
        <item m="1" x="5484"/>
        <item m="1" x="7029"/>
        <item m="1" x="5020"/>
        <item m="1" x="3581"/>
        <item m="1" x="1510"/>
        <item m="1" x="2843"/>
        <item m="1" x="377"/>
        <item m="1" x="876"/>
        <item m="1" x="4498"/>
        <item m="1" x="6268"/>
        <item m="1" x="4253"/>
        <item m="1" x="7926"/>
        <item m="1" x="7787"/>
        <item m="1" x="7663"/>
        <item m="1" x="3884"/>
        <item m="1" x="7521"/>
        <item m="1" x="1319"/>
        <item m="1" x="5132"/>
        <item m="1" x="264"/>
        <item m="1" x="6914"/>
        <item m="1" x="527"/>
        <item m="1" x="6413"/>
        <item m="1" x="2996"/>
        <item m="1" x="1969"/>
        <item m="1" x="3469"/>
        <item m="1" x="3642"/>
        <item m="1" x="3419"/>
        <item m="1" x="4748"/>
        <item m="1" x="6341"/>
        <item m="1" x="6008"/>
        <item m="1" x="4102"/>
        <item m="1" x="1057"/>
        <item m="1" x="5691"/>
        <item m="1" x="1792"/>
        <item m="1" x="5986"/>
        <item m="1" x="1292"/>
        <item m="1" x="5396"/>
        <item m="1" x="1596"/>
        <item m="1" x="5537"/>
        <item m="1" x="1778"/>
        <item m="1" x="5679"/>
        <item m="1" x="1947"/>
        <item m="1" x="5840"/>
        <item m="1" x="1170"/>
        <item m="1" x="5265"/>
        <item m="1" x="1458"/>
        <item m="1" x="4271"/>
        <item m="1" x="7946"/>
        <item m="1" x="3915"/>
        <item m="1" x="4052"/>
        <item m="1" x="7835"/>
        <item m="1" x="7690"/>
        <item m="1" x="1661"/>
        <item m="1" x="5148"/>
        <item m="1" x="2083"/>
        <item m="1" x="2822"/>
        <item m="1" x="2809"/>
        <item m="1" x="1622"/>
        <item m="1" x="6401"/>
        <item m="1" x="6164"/>
        <item m="1" x="211"/>
        <item m="1" x="6796"/>
        <item m="1" x="5899"/>
        <item m="1" x="2016"/>
        <item m="1" x="5750"/>
        <item m="1" x="2189"/>
        <item m="1" x="6057"/>
        <item m="1" x="1850"/>
        <item m="1" x="2368"/>
        <item m="1" x="6614"/>
        <item m="1" x="2103"/>
        <item m="1" x="5769"/>
        <item m="1" x="3752"/>
        <item m="1" x="7036"/>
        <item m="1" x="936"/>
        <item m="1" x="1375"/>
        <item m="1" x="4152"/>
        <item m="1" x="613"/>
        <item m="1" x="4657"/>
        <item m="1" x="4589"/>
        <item m="1" x="7810"/>
        <item m="1" x="6137"/>
        <item m="1" x="2780"/>
        <item m="1" x="5825"/>
        <item m="1" x="1932"/>
        <item m="1" x="5662"/>
        <item m="1" x="5069"/>
        <item m="1" x="2995"/>
        <item m="1" x="1230"/>
        <item m="1" x="7932"/>
        <item m="1" x="5520"/>
        <item m="1" x="1763"/>
        <item m="1" x="1579"/>
        <item m="1" x="7191"/>
        <item m="1" x="4752"/>
        <item m="1" x="5752"/>
        <item m="1" x="490"/>
        <item m="1" x="1808"/>
        <item m="1" x="3555"/>
        <item m="1" x="5168"/>
        <item m="1" x="4483"/>
        <item m="1" x="366"/>
        <item m="1" x="5376"/>
        <item m="1" x="4140"/>
        <item m="1" x="7625"/>
        <item m="1" x="247"/>
        <item m="1" x="4373"/>
        <item m="1" x="4852"/>
        <item m="1" x="3249"/>
        <item m="1" x="2764"/>
        <item m="1" x="4744"/>
        <item m="1" x="4695"/>
        <item m="1" x="6117"/>
        <item m="1" x="5111"/>
        <item m="1" x="697"/>
        <item m="1" x="351"/>
        <item m="1" x="3829"/>
        <item m="1" x="2583"/>
        <item m="1" x="7306"/>
        <item m="1" x="4747"/>
        <item m="1" x="2786"/>
        <item m="1" x="763"/>
        <item m="1" x="6640"/>
        <item m="1" x="2849"/>
        <item m="1" x="6504"/>
        <item m="1" x="4552"/>
        <item m="1" x="1805"/>
        <item m="1" x="4027"/>
        <item m="1" x="6559"/>
        <item m="1" x="7633"/>
        <item m="1" x="771"/>
        <item m="1" x="7073"/>
        <item m="1" x="181"/>
        <item m="1" x="6017"/>
        <item m="1" x="596"/>
        <item m="1" x="476"/>
        <item m="1" x="4363"/>
        <item m="1" x="92"/>
        <item m="1" x="5948"/>
        <item m="1" x="1891"/>
        <item m="1" x="5626"/>
        <item m="1" x="1561"/>
        <item m="1" x="6099"/>
        <item m="1" x="2233"/>
        <item m="1" x="2064"/>
        <item m="1" x="5787"/>
        <item m="1" x="4353"/>
        <item m="1" x="6246"/>
        <item m="1" x="340"/>
        <item m="1" x="5503"/>
        <item m="1" x="4460"/>
        <item m="1" x="5751"/>
        <item m="1" x="2755"/>
        <item m="1" x="5061"/>
        <item m="1" x="2416"/>
        <item m="1" x="4659"/>
        <item m="1" x="219"/>
        <item m="1" x="1213"/>
        <item m="1" x="1880"/>
        <item m="1" x="425"/>
        <item m="1" x="5643"/>
        <item m="1" x="1912"/>
        <item m="1" x="465"/>
        <item m="1" x="3284"/>
        <item m="1" x="1108"/>
        <item m="1" x="1478"/>
        <item m="1" x="1738"/>
        <item m="1" x="7646"/>
        <item m="1" x="580"/>
        <item m="1" x="2255"/>
        <item m="1" x="5970"/>
        <item m="1" x="2084"/>
        <item m="1" x="5808"/>
        <item m="1" x="6376"/>
        <item m="1" x="1719"/>
        <item m="1" x="4258"/>
        <item m="1" x="105"/>
        <item m="1" x="6080"/>
        <item m="1" x="2214"/>
        <item m="1" x="2391"/>
        <item m="1" x="803"/>
        <item m="1" x="2609"/>
        <item m="1" x="4662"/>
        <item m="1" x="4952"/>
        <item m="1" x="871"/>
        <item m="1" x="5923"/>
        <item m="1" x="2040"/>
        <item m="1" x="1380"/>
        <item m="1" x="3416"/>
        <item m="1" x="833"/>
        <item m="1" x="5765"/>
        <item m="1" x="5971"/>
        <item m="1" x="1913"/>
        <item m="1" x="5644"/>
        <item m="1" x="6505"/>
        <item m="1" x="4759"/>
        <item m="1" x="3175"/>
        <item m="1" x="7878"/>
        <item m="1" x="2703"/>
        <item m="1" x="6362"/>
        <item m="1" x="2538"/>
        <item m="1" x="687"/>
        <item m="1" x="563"/>
        <item m="1" x="3423"/>
        <item m="1" x="4637"/>
        <item m="1" x="2085"/>
        <item m="1" x="7784"/>
        <item m="1" x="6764"/>
        <item m="1" x="5809"/>
        <item m="1" x="4262"/>
        <item m="1" x="6211"/>
        <item m="1" x="4958"/>
        <item m="1" x="984"/>
        <item m="1" x="3026"/>
        <item m="1" x="434"/>
        <item m="1" x="4848"/>
        <item m="1" x="5994"/>
        <item m="1" x="5629"/>
        <item m="1" x="3167"/>
        <item m="1" x="5562"/>
        <item m="1" x="1803"/>
        <item m="1" x="3470"/>
        <item m="1" x="1016"/>
        <item m="1" x="2339"/>
        <item m="1" x="2462"/>
        <item m="1" x="4392"/>
        <item m="1" x="5953"/>
        <item m="1" x="233"/>
        <item m="1" x="1068"/>
        <item m="1" x="5034"/>
        <item m="1" x="1199"/>
        <item m="1" x="5161"/>
        <item m="1" x="1344"/>
        <item m="1" x="5290"/>
        <item m="1" x="1481"/>
        <item m="1" x="6118"/>
        <item m="1" x="2256"/>
        <item m="1" x="2431"/>
        <item m="1" x="5295"/>
        <item m="1" x="4452"/>
        <item m="1" x="4973"/>
        <item m="1" x="5439"/>
        <item m="1" x="1851"/>
        <item m="1" x="1637"/>
        <item m="1" x="5569"/>
        <item m="1" x="2017"/>
        <item m="1" x="5901"/>
        <item m="1" x="2191"/>
        <item m="1" x="294"/>
        <item m="1" x="1739"/>
        <item m="1" x="5199"/>
        <item m="1" x="2459"/>
        <item m="1" x="1714"/>
        <item m="1" x="2234"/>
        <item m="1" x="4636"/>
        <item m="1" x="5698"/>
        <item m="1" x="7567"/>
        <item m="1" x="3616"/>
        <item m="1" x="5412"/>
        <item m="1" x="5788"/>
        <item m="1" x="1793"/>
        <item m="1" x="5692"/>
        <item m="1" x="1960"/>
        <item m="1" x="6394"/>
        <item m="1" x="6247"/>
        <item m="1" x="2571"/>
        <item m="1" x="1187"/>
        <item m="1" x="5149"/>
        <item m="1" x="1333"/>
        <item m="1" x="5279"/>
        <item m="1" x="1471"/>
        <item m="1" x="5427"/>
        <item m="1" x="1626"/>
        <item m="1" x="5550"/>
        <item m="1" x="1612"/>
        <item m="1" x="1448"/>
        <item m="1" x="1866"/>
        <item m="1" x="2065"/>
        <item m="1" x="1892"/>
        <item m="1" x="2937"/>
        <item m="1" x="295"/>
        <item m="1" x="4631"/>
        <item m="1" x="7767"/>
        <item m="1" x="4879"/>
        <item m="1" x="3041"/>
        <item m="1" x="5456"/>
        <item m="1" x="7171"/>
        <item m="1" x="3146"/>
        <item m="1" x="2616"/>
        <item m="1" x="1459"/>
        <item m="1" x="4278"/>
        <item m="1" x="2603"/>
        <item m="1" x="312"/>
        <item m="1" x="754"/>
        <item m="1" x="662"/>
        <item m="1" x="5266"/>
        <item m="1" x="2215"/>
        <item m="1" x="880"/>
        <item m="1" x="4965"/>
        <item m="1" x="6516"/>
        <item m="1" x="2717"/>
        <item m="1" x="6377"/>
        <item m="1" x="2555"/>
        <item m="1" x="6229"/>
        <item m="1" x="2392"/>
        <item m="1" x="6081"/>
        <item m="1" x="3679"/>
        <item m="1" x="1320"/>
        <item m="1" x="1745"/>
        <item m="1" x="3447"/>
        <item m="1" x="5929"/>
        <item m="1" x="5595"/>
        <item m="1" x="4950"/>
        <item m="1" x="2417"/>
        <item m="1" x="6100"/>
        <item m="1" x="2041"/>
        <item m="1" x="5924"/>
        <item m="1" x="5080"/>
        <item m="1" x="6642"/>
        <item m="1" x="3974"/>
        <item m="1" x="2372"/>
        <item m="1" x="3701"/>
        <item m="1" x="5998"/>
        <item m="1" x="7104"/>
        <item m="1" x="1363"/>
        <item m="1" x="6442"/>
        <item m="1" x="2116"/>
        <item m="1" x="1830"/>
        <item m="1" x="981"/>
        <item m="1" x="423"/>
        <item m="1" x="6484"/>
        <item m="1" x="6336"/>
        <item m="1" x="2680"/>
        <item m="1" x="6212"/>
        <item m="1" x="5418"/>
        <item m="1" x="4860"/>
        <item m="1" x="4617"/>
        <item m="1" x="4845"/>
        <item m="1" x="6586"/>
        <item m="1" x="5841"/>
        <item m="1" x="1779"/>
        <item m="1" x="1365"/>
        <item m="1" x="427"/>
        <item m="1" x="4421"/>
        <item m="1" x="5791"/>
        <item m="1" x="6363"/>
        <item m="1" x="2704"/>
        <item m="1" x="2539"/>
        <item m="1" x="6060"/>
        <item m="1" x="2192"/>
        <item m="1" x="6774"/>
        <item m="1" x="2980"/>
        <item m="1" x="2836"/>
        <item m="1" x="6488"/>
        <item m="1" x="6626"/>
        <item m="1" x="5538"/>
        <item m="1" x="7913"/>
        <item m="1" x="4127"/>
        <item m="1" x="4003"/>
        <item m="1" x="337"/>
        <item m="1" x="7818"/>
        <item m="1" x="657"/>
        <item m="1" x="2349"/>
        <item m="1" x="7918"/>
        <item m="1" x="2790"/>
        <item m="1" x="3900"/>
        <item m="1" x="3766"/>
        <item m="1" x="3614"/>
        <item m="1" x="3460"/>
        <item m="1" x="3325"/>
        <item m="1" x="4471"/>
        <item m="1" x="6966"/>
        <item m="1" x="5864"/>
        <item m="1" x="207"/>
        <item m="1" x="3985"/>
        <item m="1" x="5318"/>
        <item m="1" x="7348"/>
        <item m="1" x="3372"/>
        <item m="1" x="3767"/>
        <item m="1" x="3823"/>
        <item m="1" x="1597"/>
        <item m="1" x="7058"/>
        <item m="1" x="5397"/>
        <item m="1" x="1438"/>
        <item m="1" x="4707"/>
        <item m="1" x="7162"/>
        <item m="1" x="6195"/>
        <item m="1" x="979"/>
        <item m="1" x="3377"/>
        <item m="1" x="4443"/>
        <item m="1" x="4067"/>
        <item m="1" x="3730"/>
        <item m="1" x="4313"/>
        <item m="1" x="2150"/>
        <item m="1" x="6128"/>
        <item m="1" x="2274"/>
        <item m="1" x="2104"/>
        <item m="1" x="5987"/>
        <item m="1" x="5826"/>
        <item m="1" x="7715"/>
        <item m="1" x="4827"/>
        <item m="1" x="40"/>
        <item m="1" x="6276"/>
        <item m="1" x="5398"/>
        <item m="1" x="2277"/>
        <item m="1" x="5988"/>
        <item m="1" x="1580"/>
        <item m="1" x="5540"/>
        <item m="1" x="1599"/>
        <item m="1" x="6131"/>
        <item m="1" x="1439"/>
        <item m="1" x="7130"/>
        <item m="1" x="6258"/>
        <item m="1" x="7283"/>
        <item m="1" x="3655"/>
        <item m="1" x="3438"/>
        <item m="1" x="6539"/>
        <item m="1" x="6414"/>
        <item m="1" x="3101"/>
        <item m="1" x="1781"/>
        <item m="1" x="4519"/>
        <item m="1" x="235"/>
        <item m="1" x="7579"/>
        <item m="1" x="4836"/>
        <item m="1" x="5618"/>
        <item m="1" x="5663"/>
        <item m="1" x="1933"/>
        <item m="1" x="2903"/>
        <item m="1" x="7427"/>
        <item m="1" x="1935"/>
        <item m="1" x="5828"/>
        <item m="1" x="5665"/>
        <item m="1" x="4316"/>
        <item m="1" x="7845"/>
        <item m="1" x="3743"/>
        <item m="1" x="7457"/>
        <item m="1" x="4061"/>
        <item m="1" x="1554"/>
        <item m="1" x="546"/>
        <item m="1" x="4226"/>
        <item m="1" x="56"/>
        <item m="1" x="2144"/>
        <item m="1" x="4935"/>
        <item m="1" x="1367"/>
        <item m="1" x="3357"/>
        <item m="1" x="7701"/>
        <item m="1" x="3368"/>
        <item m="1" x="7149"/>
        <item m="1" x="3806"/>
        <item m="1" x="3513"/>
        <item m="1" x="7301"/>
        <item m="1" x="3672"/>
        <item m="1" x="7447"/>
        <item m="1" x="3245"/>
        <item m="1" x="7021"/>
        <item m="1" x="2119"/>
        <item m="1" x="5844"/>
        <item m="1" x="1949"/>
        <item m="1" x="5681"/>
        <item m="1" x="1657"/>
        <item m="1" x="757"/>
        <item m="1" x="3704"/>
        <item m="1" x="2106"/>
        <item m="1" x="3401"/>
        <item m="1" x="3051"/>
        <item m="1" x="6261"/>
        <item m="1" x="2434"/>
        <item m="1" x="3143"/>
        <item m="1" x="3951"/>
        <item m="1" x="7561"/>
        <item m="1" x="3924"/>
        <item m="1" x="3177"/>
        <item m="1" x="2633"/>
        <item m="1" x="5733"/>
        <item m="1" x="860"/>
        <item m="1" x="1765"/>
        <item m="1" x="1581"/>
        <item m="1" x="4535"/>
        <item m="1" x="7307"/>
        <item m="1" x="6120"/>
        <item m="1" x="5521"/>
        <item m="1" x="7605"/>
        <item m="1" x="6851"/>
        <item m="1" x="5328"/>
        <item m="1" x="6497"/>
        <item m="1" x="3075"/>
        <item m="1" x="5458"/>
        <item m="1" x="4843"/>
        <item m="1" x="1210"/>
        <item m="1" x="6397"/>
        <item m="1" x="2419"/>
        <item m="1" x="6102"/>
        <item m="1" x="2236"/>
        <item m="1" x="3962"/>
        <item m="1" x="6188"/>
        <item m="1" x="5938"/>
        <item m="1" x="7156"/>
        <item m="1" x="2863"/>
        <item m="1" x="1893"/>
        <item m="1" x="6521"/>
        <item m="1" x="2353"/>
        <item m="1" x="511"/>
        <item m="1" x="77"/>
        <item m="1" x="4234"/>
        <item m="1" x="5789"/>
        <item m="1" x="2067"/>
        <item m="1" x="5950"/>
        <item m="1" x="4740"/>
        <item m="1" x="2400"/>
        <item m="1" x="4018"/>
        <item m="1" x="654"/>
        <item m="1" x="4869"/>
        <item m="1" x="283"/>
        <item m="1" x="3793"/>
        <item m="1" x="1740"/>
        <item m="1" x="5645"/>
        <item m="1" x="1915"/>
        <item m="1" x="5810"/>
        <item m="1" x="2086"/>
        <item m="1" x="5973"/>
        <item m="1" x="2258"/>
        <item m="1" x="6650"/>
        <item m="1" x="6588"/>
        <item m="1" x="2670"/>
        <item m="1" x="2577"/>
        <item m="1" x="3870"/>
        <item m="1" x="6232"/>
        <item m="1" x="6380"/>
        <item m="1" x="2558"/>
        <item m="1" x="2721"/>
        <item m="1" x="3636"/>
        <item m="1" x="5067"/>
        <item m="1" x="1366"/>
        <item m="1" x="2922"/>
        <item m="1" x="3293"/>
        <item m="1" x="1417"/>
        <item m="1" x="5862"/>
        <item m="1" x="3682"/>
        <item m="1" x="5188"/>
        <item m="1" x="4709"/>
        <item m="1" x="7222"/>
        <item m="1" x="3214"/>
        <item m="1" x="5442"/>
        <item m="1" x="1971"/>
        <item m="1" x="1814"/>
        <item m="1" x="5576"/>
        <item m="1" x="5571"/>
        <item m="1" x="5925"/>
        <item m="1" x="1484"/>
        <item m="1" x="5709"/>
        <item m="1" x="2217"/>
        <item m="1" x="2042"/>
        <item m="1" x="7551"/>
        <item m="1" x="3784"/>
        <item m="1" x="7399"/>
        <item m="1" x="4394"/>
        <item m="1" x="1640"/>
        <item m="1" x="5593"/>
        <item m="1" x="7267"/>
        <item m="1" x="4167"/>
        <item m="1" x="3481"/>
        <item m="1" x="7965"/>
        <item m="1" x="5095"/>
        <item m="1" x="2304"/>
        <item m="1" x="3584"/>
        <item m="1" x="1226"/>
        <item m="1" x="2158"/>
        <item m="1" x="883"/>
        <item m="1" x="3067"/>
        <item m="1" x="4725"/>
        <item m="1" x="4842"/>
        <item m="1" x="2244"/>
        <item m="1" x="5391"/>
        <item m="1" x="297"/>
        <item m="1" x="6006"/>
        <item m="1" x="7591"/>
        <item m="1" x="740"/>
        <item m="1" x="2123"/>
        <item m="1" x="7685"/>
        <item m="1" x="5320"/>
        <item m="1" x="6782"/>
        <item m="1" x="3910"/>
        <item m="1" x="5858"/>
        <item m="1" x="5215"/>
        <item m="1" x="329"/>
        <item m="1" x="7723"/>
        <item m="1" x="5407"/>
        <item m="1" x="7025"/>
        <item m="1" x="7152"/>
        <item m="1" x="6721"/>
        <item m="1" x="3839"/>
        <item m="1" x="160"/>
        <item m="1" x="4157"/>
        <item m="1" x="5671"/>
        <item m="1" x="3662"/>
        <item m="1" x="3777"/>
        <item m="1" x="81"/>
        <item m="1" x="7268"/>
        <item m="1" x="7115"/>
        <item m="1" x="6858"/>
        <item m="1" x="7395"/>
        <item m="1" x="5016"/>
        <item m="1" x="6109"/>
        <item m="1" x="1498"/>
        <item m="1" x="1796"/>
        <item m="1" x="5553"/>
        <item m="1" x="1615"/>
        <item m="1" x="3370"/>
        <item m="1" x="2204"/>
        <item m="1" x="3142"/>
        <item m="1" x="6434"/>
        <item m="1" x="881"/>
        <item m="1" x="5457"/>
        <item m="1" x="1788"/>
        <item m="1" x="2598"/>
        <item m="1" x="2445"/>
        <item m="1" x="6133"/>
        <item m="1" x="5683"/>
        <item m="1" x="6420"/>
        <item m="1" x="6272"/>
        <item m="1" x="1782"/>
        <item m="1" x="1951"/>
        <item m="1" x="3975"/>
        <item m="1" x="538"/>
        <item m="1" x="2871"/>
        <item m="1" x="5177"/>
        <item m="1" x="6278"/>
        <item m="1" x="4526"/>
        <item m="1" x="6891"/>
        <item m="1" x="6970"/>
        <item m="1" x="3274"/>
        <item m="1" x="525"/>
        <item m="1" x="2121"/>
        <item m="1" x="6143"/>
        <item m="1" x="4577"/>
        <item m="1" x="5990"/>
        <item m="1" x="5846"/>
        <item m="1" x="859"/>
        <item m="1" x="1495"/>
        <item m="1" x="3485"/>
        <item m="1" x="6759"/>
        <item m="1" x="1666"/>
        <item m="1" x="7545"/>
        <item m="1" x="116"/>
        <item m="1" x="3623"/>
        <item m="1" x="4028"/>
        <item m="1" x="4153"/>
        <item m="1" x="7811"/>
        <item m="1" x="4272"/>
        <item m="1" x="7947"/>
        <item m="1" x="2456"/>
        <item m="1" x="3005"/>
        <item m="1" x="810"/>
        <item m="1" x="7183"/>
        <item m="1" x="7201"/>
        <item m="1" x="1074"/>
        <item m="1" x="3541"/>
        <item m="1" x="7531"/>
        <item m="1" x="2279"/>
        <item m="1" x="3395"/>
        <item m="1" x="2516"/>
        <item m="1" x="6192"/>
        <item m="1" x="2172"/>
        <item m="1" x="4829"/>
        <item m="1" x="3385"/>
        <item m="1" x="3056"/>
        <item m="1" x="3959"/>
        <item m="1" x="7619"/>
        <item m="1" x="7473"/>
        <item m="1" x="3843"/>
        <item m="1" x="3697"/>
        <item m="1" x="3943"/>
        <item m="1" x="5053"/>
        <item m="1" x="7872"/>
        <item m="1" x="6847"/>
        <item m="1" x="7731"/>
        <item m="1" x="7590"/>
        <item m="1" x="54"/>
        <item m="1" x="6873"/>
        <item m="1" x="1743"/>
        <item m="1" x="7315"/>
        <item m="1" x="7968"/>
        <item m="1" x="3689"/>
        <item m="1" x="4290"/>
        <item m="1" x="7740"/>
        <item m="1" x="3956"/>
        <item m="1" x="4089"/>
        <item m="1" x="3835"/>
        <item m="1" x="7612"/>
        <item m="1" x="7465"/>
        <item m="1" x="209"/>
        <item m="1" x="3528"/>
        <item m="1" x="4085"/>
        <item m="1" x="7868"/>
        <item m="1" x="7717"/>
        <item m="1" x="6730"/>
        <item m="1" x="4915"/>
        <item m="1" x="1504"/>
        <item m="1" x="412"/>
        <item m="1" x="132"/>
        <item m="1" x="4687"/>
        <item m="1" x="5200"/>
        <item m="1" x="6033"/>
        <item m="1" x="1450"/>
        <item m="1" x="681"/>
        <item m="1" x="5287"/>
        <item m="1" x="3825"/>
        <item m="1" x="7450"/>
        <item m="1" x="159"/>
        <item m="1" x="7995"/>
        <item m="1" x="4310"/>
        <item m="1" x="411"/>
        <item m="1" x="2219"/>
        <item m="1" x="7950"/>
        <item m="1" x="4274"/>
        <item m="1" x="118"/>
        <item m="1" x="4389"/>
        <item m="1" x="611"/>
        <item m="1" x="4156"/>
        <item m="1" x="3939"/>
        <item m="1" x="7582"/>
        <item m="1" x="3809"/>
        <item m="1" x="7602"/>
        <item m="1" x="3949"/>
        <item m="1" x="3675"/>
        <item m="1" x="4194"/>
        <item m="1" x="379"/>
        <item m="1" x="4500"/>
        <item m="1" x="267"/>
        <item m="1" x="2910"/>
        <item m="1" x="287"/>
        <item m="1" x="6601"/>
        <item m="1" x="3073"/>
        <item m="1" x="7095"/>
        <item m="1" x="2579"/>
        <item m="1" x="4196"/>
        <item m="1" x="1451"/>
        <item m="1" x="5315"/>
        <item m="1" x="1649"/>
        <item m="1" x="5446"/>
        <item m="1" x="5297"/>
        <item m="1" x="1351"/>
        <item m="1" x="5171"/>
        <item m="1" x="1208"/>
        <item m="1" x="5041"/>
        <item m="1" x="1077"/>
        <item m="1" x="5708"/>
        <item m="1" x="1813"/>
        <item m="1" x="5570"/>
        <item m="1" x="1639"/>
        <item m="1" x="5561"/>
        <item m="1" x="699"/>
        <item m="1" x="5441"/>
        <item m="1" x="1483"/>
        <item m="1" x="5292"/>
        <item m="1" x="1346"/>
        <item m="1" x="5163"/>
        <item m="1" x="1201"/>
        <item m="1" x="1965"/>
        <item m="1" x="5701"/>
        <item m="1" x="492"/>
        <item m="1" x="6036"/>
        <item m="1" x="4726"/>
        <item m="1" x="3707"/>
        <item m="1" x="3857"/>
        <item m="1" x="1937"/>
        <item m="1" x="6543"/>
        <item m="1" x="277"/>
        <item m="1" x="4400"/>
        <item m="1" x="4409"/>
        <item m="1" x="151"/>
        <item m="1" x="7908"/>
        <item m="1" x="3290"/>
        <item m="1" x="1644"/>
        <item m="1" x="4438"/>
        <item m="1" x="5460"/>
        <item m="1" x="4170"/>
        <item m="1" x="7830"/>
        <item m="1" x="4046"/>
        <item m="1" x="501"/>
        <item m="1" x="4791"/>
        <item m="1" x="1806"/>
        <item m="1" x="203"/>
        <item m="1" x="5195"/>
        <item m="1" x="4303"/>
        <item m="1" x="713"/>
        <item m="1" x="7501"/>
        <item m="1" x="1376"/>
        <item m="1" x="5564"/>
        <item m="1" x="3004"/>
        <item m="1" x="7986"/>
        <item m="1" x="7848"/>
        <item m="1" x="4734"/>
        <item m="1" x="5558"/>
        <item m="1" x="3852"/>
        <item m="1" x="1452"/>
        <item m="1" x="4706"/>
        <item m="1" x="3942"/>
        <item m="1" x="5723"/>
        <item m="1" x="2403"/>
        <item m="1" x="4485"/>
        <item m="1" x="4386"/>
        <item m="1" x="4415"/>
        <item m="1" x="5429"/>
        <item m="1" x="1474"/>
        <item m="1" x="5281"/>
        <item m="1" x="1335"/>
        <item m="1" x="4064"/>
        <item m="1" x="185"/>
        <item m="1" x="1499"/>
        <item m="1" x="6285"/>
        <item m="1" x="600"/>
        <item m="1" x="250"/>
        <item m="1" x="4376"/>
        <item m="1" x="108"/>
        <item m="1" x="4261"/>
        <item m="1" x="1628"/>
        <item m="1" x="5181"/>
        <item m="1" x="1076"/>
        <item m="1" x="4183"/>
        <item m="1" x="1195"/>
        <item m="1" x="5082"/>
        <item m="1" x="1354"/>
        <item m="1" x="389"/>
        <item m="1" x="5174"/>
        <item m="1" x="1211"/>
        <item m="1" x="3085"/>
        <item m="1" x="704"/>
        <item m="1" x="5312"/>
        <item m="1" x="964"/>
        <item m="1" x="5046"/>
        <item m="1" x="4933"/>
        <item m="1" x="1083"/>
        <item m="1" x="4927"/>
        <item m="1" x="2155"/>
        <item m="1" x="3626"/>
        <item m="1" x="2282"/>
        <item m="1" x="2581"/>
        <item m="1" x="478"/>
        <item m="1" x="4200"/>
        <item m="1" x="735"/>
        <item m="1" x="1827"/>
        <item m="1" x="6165"/>
        <item m="1" x="7852"/>
        <item m="1" x="774"/>
        <item m="1" x="838"/>
        <item m="1" x="7863"/>
        <item m="1" x="911"/>
        <item m="1" x="1642"/>
        <item m="1" x="5040"/>
        <item m="1" x="5573"/>
        <item m="1" x="570"/>
        <item m="1" x="4618"/>
        <item m="1" x="6894"/>
        <item m="1" x="4824"/>
        <item m="1" x="1453"/>
        <item m="1" x="852"/>
        <item m="1" x="1350"/>
        <item m="1" x="5296"/>
        <item m="1" x="3807"/>
        <item m="1" x="7580"/>
        <item m="1" x="3937"/>
        <item m="1" x="7716"/>
        <item m="1" x="4076"/>
        <item m="1" x="5298"/>
        <item m="1" x="4461"/>
        <item m="1" x="581"/>
        <item m="1" x="974"/>
        <item m="1" x="818"/>
        <item m="1" x="4364"/>
        <item m="1" x="234"/>
        <item m="1" x="4473"/>
        <item m="1" x="353"/>
        <item m="1" x="598"/>
        <item m="1" x="7428"/>
        <item m="1" x="1207"/>
        <item m="1" x="959"/>
        <item m="1" x="5445"/>
        <item m="1" x="1486"/>
        <item m="1" x="4751"/>
        <item m="1" x="2956"/>
        <item m="1" x="1963"/>
        <item m="1" x="1307"/>
        <item m="1" x="1345"/>
        <item m="1" x="5291"/>
        <item m="1" x="45"/>
        <item m="1" x="3496"/>
        <item m="1" x="5162"/>
        <item m="1" x="2367"/>
        <item m="1" x="7702"/>
        <item m="1" x="4670"/>
        <item m="1" x="4790"/>
        <item m="1" x="4992"/>
        <item m="1" x="5231"/>
        <item m="1" x="4062"/>
        <item m="1" x="6567"/>
        <item m="1" x="955"/>
        <item m="1" x="1638"/>
        <item m="1" x="5440"/>
        <item m="1" x="1482"/>
        <item m="1" x="7984"/>
        <item m="1" x="4181"/>
        <item m="1" x="5700"/>
        <item m="1" x="1069"/>
        <item m="1" x="5035"/>
        <item m="1" x="1200"/>
        <item m="1" x="510"/>
        <item m="1" x="7373"/>
        <item m="1" x="7651"/>
        <item m="1" x="6848"/>
        <item m="1" x="6762"/>
        <item m="1" x="6990"/>
        <item m="1" x="3713"/>
        <item m="1" x="744"/>
        <item m="1" x="3925"/>
        <item m="1" x="2627"/>
        <item m="1" x="6071"/>
        <item m="1" x="4430"/>
        <item m="1" x="4749"/>
        <item m="1" x="764"/>
        <item m="1" x="1658"/>
        <item m="1" x="1975"/>
        <item m="1" x="7846"/>
        <item m="1" x="1473"/>
        <item m="1" x="1188"/>
        <item m="1" x="7483"/>
        <item m="1" x="2044"/>
        <item m="1" x="1334"/>
        <item m="1" x="5150"/>
        <item m="1" x="5280"/>
        <item m="1" x="1794"/>
        <item m="1" x="5693"/>
        <item m="1" x="1961"/>
        <item m="1" x="5856"/>
        <item m="1" x="1613"/>
        <item m="1" x="5551"/>
        <item m="1" x="5414"/>
        <item m="1" x="170"/>
        <item m="1" x="4307"/>
        <item m="1" x="4738"/>
        <item m="1" x="5196"/>
        <item m="1" x="4168"/>
        <item m="1" x="7828"/>
        <item m="1" x="130"/>
        <item m="1" x="7966"/>
        <item m="1" x="4182"/>
        <item m="1" x="4288"/>
        <item m="1" x="3926"/>
        <item m="1" x="3637"/>
        <item m="1" x="7703"/>
        <item m="1" x="5779"/>
        <item m="1" x="5873"/>
        <item m="1" x="65"/>
        <item m="1" x="5305"/>
        <item m="1" x="1573"/>
        <item m="1" x="2262"/>
        <item m="1" x="7847"/>
        <item m="1" x="7563"/>
        <item m="1" x="3794"/>
        <item m="1" x="7562"/>
        <item m="1" x="4063"/>
        <item m="1" x="542"/>
        <item m="1" x="3782"/>
        <item m="1" x="6001"/>
        <item m="1" x="1321"/>
        <item m="1" x="4302"/>
        <item m="1" x="4669"/>
        <item m="1" x="7411"/>
        <item m="1" x="7985"/>
        <item m="1" x="6797"/>
        <item m="1" x="4387"/>
        <item m="1" x="265"/>
        <item m="1" x="3778"/>
        <item m="1" x="7546"/>
        <item m="1" x="3911"/>
        <item m="1" x="7686"/>
        <item m="1" x="4044"/>
        <item m="1" x="7812"/>
        <item m="1" x="4154"/>
        <item m="1" x="7948"/>
        <item m="1" x="4188"/>
        <item m="1" x="4169"/>
        <item m="1" x="4399"/>
        <item m="1" x="7410"/>
        <item m="1" x="5574"/>
        <item m="1" x="2637"/>
        <item m="1" x="3795"/>
        <item m="1" x="4029"/>
        <item m="1" x="6826"/>
        <item m="1" x="5857"/>
        <item m="1" x="276"/>
        <item m="1" x="7967"/>
        <item m="1" x="4289"/>
        <item m="1" x="131"/>
        <item m="1" x="5304"/>
        <item m="1" x="4523"/>
        <item m="1" x="3612"/>
        <item m="1" x="3896"/>
        <item m="1" x="7676"/>
        <item m="1" x="367"/>
        <item m="1" x="7999"/>
        <item m="1" x="4484"/>
        <item m="1" x="7340"/>
        <item m="1" x="5452"/>
        <item m="1" x="7255"/>
        <item m="1" x="2309"/>
        <item m="1" x="7829"/>
        <item m="1" x="3193"/>
        <item m="1" x="7949"/>
        <item m="1" x="7687"/>
        <item m="1" x="4045"/>
        <item m="1" x="4374"/>
        <item m="1" x="106"/>
        <item m="1" x="4259"/>
        <item m="1" x="7933"/>
        <item m="1" x="7793"/>
        <item m="1" x="4016"/>
        <item m="1" x="7477"/>
        <item m="1" x="3410"/>
        <item m="1" x="7062"/>
        <item m="1" x="3287"/>
        <item m="1" x="6941"/>
        <item m="1" x="3158"/>
        <item m="1" x="6812"/>
        <item m="1" x="4677"/>
        <item m="1" x="378"/>
        <item m="1" x="248"/>
        <item m="1" x="3232"/>
        <item m="1" x="4499"/>
        <item m="1" x="6702"/>
        <item m="1" x="7052"/>
        <item m="1" x="3403"/>
        <item m="1" x="7193"/>
        <item m="1" x="3550"/>
        <item m="1" x="7332"/>
        <item m="1" x="2882"/>
        <item m="1" x="6669"/>
        <item m="1" x="3022"/>
        <item m="1" x="3897"/>
        <item m="1" x="467"/>
        <item m="1" x="1403"/>
        <item m="1" x="266"/>
        <item m="1" x="1493"/>
        <item m="1" x="3139"/>
        <item m="1" x="7610"/>
        <item m="1" x="4688"/>
        <item m="1" x="3150"/>
        <item m="1" x="6804"/>
        <item m="1" x="6932"/>
        <item m="1" x="3012"/>
        <item m="1" x="3393"/>
        <item m="1" x="7043"/>
        <item m="1" x="3539"/>
        <item m="1" x="3278"/>
        <item m="1" x="7463"/>
        <item m="1" x="6919"/>
        <item m="1" x="3270"/>
        <item m="1" x="7322"/>
        <item m="1" x="7181"/>
        <item m="1" x="3833"/>
        <item m="1" x="117"/>
        <item m="1" x="4388"/>
        <item m="1" x="3448"/>
        <item m="1" x="3781"/>
        <item m="1" x="4273"/>
        <item m="1" x="3601"/>
        <item m="1" x="4326"/>
        <item m="1" x="2694"/>
        <item m="1" x="7756"/>
        <item m="1" x="3735"/>
        <item m="1" x="3603"/>
        <item m="1" x="4155"/>
        <item m="1" x="2302"/>
        <item m="1" x="1310"/>
        <item m="1" x="7370"/>
        <item m="1" x="597"/>
        <item m="1" x="1511"/>
        <item m="1" x="7397"/>
        <item m="1" x="4030"/>
        <item m="1" x="5217"/>
        <item m="1" x="3824"/>
        <item m="1" x="41"/>
        <item m="1" x="3702"/>
        <item m="1" x="2130"/>
        <item m="1" x="453"/>
        <item m="1" x="7601"/>
        <item m="1" x="1311"/>
        <item m="1" x="7448"/>
        <item m="1" x="6575"/>
        <item m="1" x="7813"/>
        <item m="1" x="1492"/>
        <item m="1" x="3673"/>
        <item m="1" x="526"/>
        <item m="1" x="491"/>
        <item m="1" x="6280"/>
        <item m="1" x="6713"/>
        <item m="1" x="249"/>
        <item m="1" x="4375"/>
        <item m="1" x="2122"/>
        <item m="1" x="4141"/>
        <item m="1" x="107"/>
        <item m="1" x="7934"/>
        <item m="1" x="4260"/>
        <item m="1" x="7645"/>
        <item m="1" x="443"/>
        <item m="1" x="870"/>
        <item m="1" x="1816"/>
        <item m="1" x="977"/>
        <item m="1" x="503"/>
        <item m="1" x="167"/>
        <item m="1" x="5022"/>
        <item m="1" x="352"/>
        <item m="1" x="5050"/>
        <item m="1" x="7252"/>
        <item m="1" x="4546"/>
        <item m="1" x="178"/>
        <item m="1" x="477"/>
        <item m="1" x="3591"/>
        <item m="1" x="3514"/>
        <item m="1" x="6290"/>
        <item m="1" x="7746"/>
        <item m="1" x="2898"/>
        <item m="1" x="6018"/>
        <item m="1" x="142"/>
        <item m="1" x="4472"/>
        <item m="1" x="4246"/>
        <item m="1" x="1988"/>
        <item m="1" x="1795"/>
        <item m="1" x="6419"/>
        <item m="1" x="2747"/>
        <item m="1" x="316"/>
        <item m="1" x="6549"/>
        <item m="1" x="6917"/>
        <item m="1" x="6270"/>
        <item m="1" x="2597"/>
        <item m="1" x="4811"/>
        <item m="1" x="2942"/>
        <item m="1" x="3137"/>
        <item m="1" x="4908"/>
        <item m="1" x="3256"/>
        <item m="1" x="3615"/>
        <item m="1" x="3128"/>
        <item m="1" x="6905"/>
        <item m="1" x="3319"/>
        <item m="1" x="7858"/>
        <item m="1" x="3268"/>
        <item m="1" x="1989"/>
        <item m="1" x="2443"/>
        <item m="1" x="7903"/>
        <item m="1" x="6791"/>
        <item m="1" x="3000"/>
        <item m="1" x="6645"/>
        <item m="1" x="2853"/>
        <item m="1" x="6508"/>
        <item m="1" x="2706"/>
        <item m="1" x="7165"/>
        <item m="1" x="3380"/>
        <item m="1" x="6179"/>
        <item m="1" x="6776"/>
        <item m="1" x="7871"/>
        <item m="1" x="2276"/>
        <item m="1" x="4825"/>
        <item m="1" x="6629"/>
        <item m="1" x="1005"/>
        <item m="1" x="3720"/>
        <item m="1" x="1824"/>
        <item m="1" x="4403"/>
        <item m="1" x="4561"/>
        <item m="1" x="5172"/>
        <item m="1" x="6816"/>
        <item m="1" x="5152"/>
        <item m="1" x="7339"/>
        <item m="1" x="3366"/>
        <item m="1" x="6668"/>
        <item m="1" x="7019"/>
        <item m="1" x="3157"/>
        <item m="1" x="7147"/>
        <item m="1" x="6811"/>
        <item m="1" x="436"/>
        <item m="1" x="4785"/>
        <item m="1" x="5286"/>
        <item m="1" x="7751"/>
        <item m="1" x="3020"/>
        <item m="1" x="7299"/>
        <item m="1" x="2839"/>
        <item m="1" x="3321"/>
        <item m="1" x="2433"/>
        <item m="1" x="3511"/>
        <item m="1" x="6828"/>
        <item m="1" x="1165"/>
        <item m="1" x="6758"/>
        <item m="1" x="6886"/>
        <item m="1" x="3111"/>
        <item m="1" x="1991"/>
        <item m="1" x="2574"/>
        <item m="1" x="3243"/>
        <item m="1" x="2195"/>
        <item m="1" x="3277"/>
        <item m="1" x="7051"/>
        <item m="1" x="330"/>
        <item m="1" x="2965"/>
        <item m="1" x="1624"/>
        <item m="1" x="3434"/>
        <item m="1" x="534"/>
        <item m="1" x="466"/>
        <item m="1" x="637"/>
        <item m="1" x="7503"/>
        <item m="1" x="6679"/>
        <item m="1" x="3029"/>
        <item m="1" x="1823"/>
        <item m="1" x="1870"/>
        <item m="1" x="6260"/>
        <item m="1" x="6396"/>
        <item m="1" x="2733"/>
        <item m="1" x="7128"/>
        <item m="1" x="4342"/>
        <item m="1" x="7425"/>
        <item m="1" x="5180"/>
        <item m="1" x="6975"/>
        <item m="1" x="2889"/>
        <item m="1" x="2738"/>
        <item m="1" x="6541"/>
        <item m="1" x="2589"/>
        <item m="1" x="6408"/>
        <item m="1" x="4049"/>
        <item m="1" x="6533"/>
        <item m="1" x="2881"/>
        <item m="1" x="2982"/>
        <item m="1" x="236"/>
        <item m="1" x="7265"/>
        <item m="1" x="6308"/>
        <item m="1" x="7408"/>
        <item m="1" x="1810"/>
        <item m="1" x="6130"/>
        <item m="1" x="3355"/>
        <item m="1" x="3792"/>
        <item m="1" x="7560"/>
        <item m="1" x="3095"/>
        <item m="1" x="6870"/>
        <item m="1" x="3228"/>
        <item m="1" x="7000"/>
        <item m="1" x="2504"/>
        <item m="1" x="6931"/>
        <item m="1" x="1116"/>
        <item m="1" x="3634"/>
        <item m="1" x="2308"/>
        <item m="1" x="2772"/>
        <item m="1" x="6573"/>
        <item m="1" x="1527"/>
        <item m="1" x="3479"/>
        <item m="1" x="6989"/>
        <item m="1" x="3913"/>
        <item m="1" x="4720"/>
        <item m="1" x="2769"/>
        <item m="1" x="1632"/>
        <item m="1" x="4462"/>
        <item m="1" x="3212"/>
        <item m="1" x="6688"/>
        <item m="1" x="3526"/>
        <item m="1" x="7166"/>
        <item m="1" x="7032"/>
        <item m="1" x="3381"/>
        <item m="1" x="2120"/>
        <item m="1" x="2720"/>
        <item m="1" x="7233"/>
        <item m="1" x="3036"/>
        <item m="1" x="4658"/>
        <item m="1" x="5552"/>
        <item m="1" x="1614"/>
        <item m="1" x="5415"/>
        <item m="1" x="1460"/>
        <item m="1" x="6142"/>
        <item m="1" x="2285"/>
        <item m="1" x="6002"/>
        <item m="1" x="5845"/>
        <item m="1" x="1950"/>
        <item m="1" x="5682"/>
        <item m="1" x="1600"/>
        <item m="1" x="6271"/>
        <item m="1" x="2444"/>
        <item m="1" x="6132"/>
        <item m="1" x="2278"/>
        <item m="1" x="5989"/>
        <item m="1" x="2107"/>
        <item m="1" x="5829"/>
        <item m="1" x="1936"/>
        <item m="1" x="5666"/>
        <item m="1" x="1766"/>
        <item m="1" x="6410"/>
        <item m="1" x="2591"/>
        <item m="1" x="6262"/>
        <item m="1" x="6658"/>
        <item m="1" x="3011"/>
        <item m="1" x="2868"/>
        <item m="1" x="3129"/>
        <item m="1" x="6777"/>
        <item m="1" x="2983"/>
        <item m="1" x="7446"/>
        <item m="1" x="3671"/>
        <item m="1" x="7300"/>
        <item m="1" x="3512"/>
        <item m="1" x="7148"/>
        <item m="1" x="3112"/>
        <item m="1" x="7223"/>
        <item m="1" x="3738"/>
        <item m="1" x="3973"/>
        <item m="1" x="135"/>
        <item m="1" x="6906"/>
        <item m="1" x="3257"/>
        <item m="1" x="7689"/>
        <item m="1" x="7173"/>
        <item m="1" x="7566"/>
        <item m="1" x="4890"/>
        <item m="1" x="3163"/>
        <item m="1" x="6817"/>
        <item m="1" x="3030"/>
        <item m="1" x="6680"/>
        <item m="1" x="2890"/>
        <item m="1" x="6887"/>
        <item m="1" x="3244"/>
        <item m="1" x="7020"/>
        <item m="1" x="3367"/>
        <item m="1" x="727"/>
        <item m="1" x="7042"/>
        <item m="1" x="3872"/>
        <item m="1" x="2329"/>
        <item m="1" x="707"/>
        <item m="1" x="6315"/>
        <item m="1" x="7282"/>
        <item m="1" x="3654"/>
        <item m="1" x="200"/>
        <item m="1" x="3495"/>
        <item m="1" x="3392"/>
        <item m="1" x="3805"/>
        <item m="1" x="2383"/>
        <item m="1" x="2626"/>
        <item m="1" x="7426"/>
        <item m="1" x="2351"/>
        <item m="1" x="6564"/>
        <item m="1" x="323"/>
        <item m="1" x="6460"/>
        <item m="1" x="7129"/>
        <item m="1" x="6792"/>
        <item m="1" x="3138"/>
        <item m="1" x="5555"/>
        <item m="1" x="5720"/>
        <item m="1" x="2268"/>
        <item m="1" x="2440"/>
        <item m="1" x="7179"/>
        <item m="1" x="7512"/>
        <item m="1" x="6107"/>
        <item m="1" x="1030"/>
        <item m="1" x="6918"/>
        <item m="1" x="3269"/>
        <item m="1" x="7578"/>
        <item m="1" x="6520"/>
        <item m="1" x="2732"/>
        <item m="1" x="2316"/>
        <item m="1" x="6568"/>
        <item m="1" x="4826"/>
        <item m="1" x="3418"/>
        <item m="1" x="1837"/>
        <item m="1" x="6022"/>
        <item m="1" x="5182"/>
        <item m="1" x="6395"/>
        <item m="1" x="7817"/>
        <item m="1" x="1618"/>
        <item m="1" x="6101"/>
        <item m="1" x="2801"/>
        <item m="1" x="3044"/>
        <item m="1" x="3045"/>
        <item m="1" x="3027"/>
        <item m="1" x="6963"/>
        <item m="1" x="1692"/>
        <item m="1" x="4646"/>
        <item m="1" x="767"/>
        <item m="1" x="319"/>
        <item m="1" x="853"/>
        <item m="1" x="2141"/>
        <item m="1" x="4959"/>
        <item m="1" x="2066"/>
        <item m="1" x="6248"/>
        <item m="1" x="2572"/>
        <item m="1" x="2418"/>
        <item m="1" x="6517"/>
        <item m="1" x="1293"/>
        <item m="1" x="5949"/>
        <item m="1" x="5419"/>
        <item m="1" x="4693"/>
        <item m="1" x="1832"/>
        <item m="1" x="3578"/>
        <item m="1" x="6542"/>
        <item m="1" x="3229"/>
        <item m="1" x="3037"/>
        <item m="1" x="3546"/>
        <item m="1" x="7642"/>
        <item m="1" x="7889"/>
        <item m="1" x="2866"/>
        <item m="1" x="6656"/>
        <item m="1" x="2808"/>
        <item m="1" x="1836"/>
        <item m="1" x="3680"/>
        <item m="1" x="3356"/>
        <item m="1" x="7001"/>
        <item m="1" x="6378"/>
        <item m="1" x="2718"/>
        <item m="1" x="6440"/>
        <item m="1" x="6082"/>
        <item m="1" x="2739"/>
        <item m="1" x="6789"/>
        <item m="1" x="2998"/>
        <item m="1" x="3712"/>
        <item m="1" x="2216"/>
        <item m="1" x="3732"/>
        <item m="1" x="2705"/>
        <item m="1" x="7700"/>
        <item m="1" x="331"/>
        <item m="1" x="4032"/>
        <item m="1" x="2235"/>
        <item m="1" x="2435"/>
        <item m="1" x="6364"/>
        <item m="1" x="6506"/>
        <item m="1" x="3480"/>
        <item m="1" x="557"/>
        <item m="1" x="3149"/>
        <item m="1" x="1296"/>
        <item m="1" x="7409"/>
        <item m="1" x="7266"/>
        <item m="1" x="3635"/>
        <item m="1" x="6643"/>
        <item m="1" x="2851"/>
        <item m="1" x="2373"/>
        <item m="1" x="2556"/>
        <item m="1" x="6230"/>
        <item m="1" x="6213"/>
        <item m="1" x="6537"/>
        <item m="1" x="6627"/>
        <item m="1" x="4718"/>
        <item m="1" x="7827"/>
        <item m="1" x="4506"/>
        <item m="1" x="2540"/>
        <item m="1" x="3341"/>
        <item m="1" x="6903"/>
        <item m="1" x="785"/>
        <item m="1" x="4656"/>
        <item m="1" x="6476"/>
        <item m="1" x="3001"/>
        <item m="1" x="1608"/>
        <item m="1" x="2837"/>
        <item m="1" x="3486"/>
        <item m="1" x="2781"/>
        <item m="1" x="6409"/>
        <item m="1" x="2590"/>
        <item m="1" x="3286"/>
        <item m="1" x="7887"/>
        <item m="1" x="7018"/>
        <item m="1" x="2393"/>
        <item m="1" x="4006"/>
        <item m="1" x="5313"/>
        <item m="1" x="5193"/>
        <item m="1" x="6489"/>
        <item m="1" x="4336"/>
        <item m="1" x="6340"/>
        <item m="1" x="7206"/>
        <item m="1" x="6692"/>
        <item m="1" x="289"/>
        <item m="1" x="154"/>
        <item m="1" x="2146"/>
        <item m="1" x="7506"/>
        <item m="1" x="4809"/>
        <item m="1" x="7600"/>
        <item m="1" x="2520"/>
        <item m="1" x="4833"/>
        <item m="1" x="1957"/>
        <item m="1" x="4118"/>
        <item m="1" x="1681"/>
        <item m="1" x="5685"/>
        <item m="1" x="4112"/>
        <item m="1" x="3055"/>
        <item m="1" x="3776"/>
        <item m="1" x="6885"/>
        <item m="1" x="3110"/>
        <item m="1" x="7544"/>
        <item m="1" x="2543"/>
        <item m="1" x="4315"/>
        <item m="1" x="5156"/>
        <item m="1" x="2743"/>
        <item m="1" x="6756"/>
        <item m="1" x="7684"/>
        <item m="1" x="4043"/>
        <item m="1" x="2292"/>
        <item m="1" x="3909"/>
        <item m="1" x="3996"/>
        <item m="1" x="3242"/>
        <item m="1" x="2685"/>
        <item m="1" x="7250"/>
        <item m="1" x="3468"/>
        <item m="1" x="6947"/>
        <item m="1" x="3699"/>
        <item m="1" x="7333"/>
        <item m="1" x="3551"/>
        <item m="1" x="3279"/>
        <item m="1" x="3404"/>
        <item m="1" x="7053"/>
        <item m="1" x="6933"/>
        <item m="1" x="7763"/>
        <item m="1" x="7194"/>
        <item m="1" x="5036"/>
        <item m="1" x="6780"/>
        <item m="1" x="4114"/>
        <item m="1" x="850"/>
        <item m="1" x="732"/>
        <item m="1" x="7180"/>
        <item m="1" x="7048"/>
        <item m="1" x="3151"/>
        <item m="1" x="7618"/>
        <item m="1" x="3842"/>
        <item m="1" x="7472"/>
        <item m="1" x="3696"/>
        <item m="1" x="7323"/>
        <item m="1" x="3414"/>
        <item m="1" x="6121"/>
        <item m="1" x="7061"/>
        <item m="1" x="1364"/>
        <item m="1" x="5314"/>
        <item m="1" x="1721"/>
        <item m="1" x="1193"/>
        <item m="1" x="3540"/>
        <item m="1" x="6149"/>
        <item m="1" x="7182"/>
        <item m="1" x="1974"/>
        <item m="1" x="480"/>
        <item m="1" x="4588"/>
        <item m="1" x="344"/>
        <item m="1" x="7044"/>
        <item m="1" x="4516"/>
        <item m="1" x="7199"/>
        <item m="1" x="424"/>
        <item m="1" x="3836"/>
        <item m="1" x="4702"/>
        <item m="1" x="5259"/>
        <item m="1" x="3987"/>
        <item m="1" x="3394"/>
        <item m="1" x="3726"/>
        <item m="1" x="6136"/>
        <item m="1" x="5285"/>
        <item m="1" x="912"/>
        <item m="1" x="4511"/>
        <item m="1" x="7317"/>
        <item m="1" x="5548"/>
        <item m="1" x="3690"/>
        <item m="1" x="4974"/>
        <item m="1" x="3271"/>
        <item m="1" x="7466"/>
        <item m="1" x="1711"/>
        <item m="1" x="3595"/>
        <item m="1" x="5852"/>
        <item m="1" x="7797"/>
        <item m="1" x="3879"/>
        <item m="1" x="7611"/>
        <item m="1" x="3834"/>
        <item m="1" x="3021"/>
        <item m="1" x="7452"/>
        <item m="1" x="7603"/>
        <item m="1" x="3950"/>
        <item m="1" x="3676"/>
        <item m="1" x="7303"/>
        <item m="1" x="7464"/>
        <item m="1" x="7732"/>
        <item m="1" x="6474"/>
        <item m="1" x="1539"/>
        <item m="1" x="7151"/>
        <item m="1" x="742"/>
        <item m="1" x="3054"/>
        <item m="1" x="2695"/>
        <item m="1" x="1123"/>
        <item m="1" x="4621"/>
        <item m="1" x="7654"/>
        <item m="1" x="3260"/>
        <item m="1" x="7035"/>
        <item m="1" x="3384"/>
        <item m="1" x="7169"/>
        <item m="1" x="3530"/>
        <item m="1" x="2259"/>
        <item m="1" x="3516"/>
        <item m="1" x="3827"/>
        <item m="1" x="976"/>
        <item m="1" x="5055"/>
        <item m="1" x="5580"/>
        <item m="1" x="6158"/>
        <item m="1" x="7972"/>
        <item m="1" x="7167"/>
        <item m="1" x="6436"/>
        <item m="1" x="5045"/>
        <item m="1" x="4090"/>
        <item m="1" x="3688"/>
        <item m="1" x="3527"/>
        <item m="1" x="3071"/>
        <item m="1" x="2973"/>
        <item m="1" x="4077"/>
        <item m="1" x="4962"/>
        <item m="1" x="3940"/>
        <item m="1" x="7584"/>
        <item m="1" x="3382"/>
        <item m="1" x="3748"/>
        <item m="1" x="7719"/>
        <item m="1" x="7859"/>
        <item m="1" x="7352"/>
        <item m="1" x="7431"/>
        <item m="1" x="3657"/>
        <item m="1" x="110"/>
        <item m="1" x="7704"/>
        <item m="1" x="5974"/>
        <item m="1" x="7867"/>
        <item m="1" x="3498"/>
        <item m="1" x="3811"/>
        <item m="1" x="2360"/>
        <item m="1" x="2872"/>
        <item m="1" x="6016"/>
        <item m="1" x="4084"/>
        <item m="1" x="7730"/>
        <item m="1" x="7987"/>
        <item m="1" x="4095"/>
        <item m="1" x="4340"/>
        <item m="1" x="635"/>
        <item m="1" x="1085"/>
        <item m="1" x="1647"/>
        <item m="1" x="7092"/>
        <item m="1" x="7550"/>
        <item m="1" x="7285"/>
        <item m="1" x="2076"/>
        <item m="1" x="2895"/>
        <item m="1" x="3169"/>
        <item m="1" x="1312"/>
        <item m="1" x="3638"/>
        <item m="1" x="7564"/>
        <item m="1" x="3927"/>
        <item m="1" x="7412"/>
        <item m="1" x="3796"/>
        <item m="1" x="133"/>
        <item m="1" x="4171"/>
        <item m="1" x="4047"/>
        <item m="1" x="4291"/>
        <item m="1" x="7831"/>
        <item m="1" x="3343"/>
        <item m="1" x="2578"/>
        <item m="1" x="3442"/>
        <item m="1" x="7547"/>
        <item m="1" x="2641"/>
        <item m="1" x="2335"/>
        <item m="1" x="3779"/>
        <item m="1" x="7969"/>
        <item m="1" x="7449"/>
        <item m="1" x="3674"/>
        <item m="1" x="7302"/>
        <item m="1" x="2055"/>
        <item m="1" x="7205"/>
        <item m="1" x="4184"/>
        <item m="1" x="3234"/>
        <item m="1" x="5134"/>
        <item m="1" x="7133"/>
        <item m="1" x="4807"/>
        <item m="1" x="7208"/>
        <item m="1" x="7385"/>
        <item m="1" x="3515"/>
        <item m="1" x="1801"/>
        <item m="1" x="6437"/>
        <item m="1" x="3087"/>
        <item m="1" x="3077"/>
        <item m="1" x="3191"/>
        <item m="1" x="3069"/>
        <item m="1" x="7598"/>
        <item m="1" x="7493"/>
        <item m="1" x="175"/>
        <item m="1" x="1668"/>
        <item m="1" x="5646"/>
        <item m="1" x="5731"/>
        <item m="1" x="6657"/>
        <item m="1" x="7954"/>
        <item m="1" x="2289"/>
        <item m="1" x="1313"/>
        <item m="1" x="2618"/>
        <item m="1" x="2451"/>
        <item m="1" x="6775"/>
        <item m="1" x="4193"/>
        <item m="1" x="5498"/>
        <item m="1" x="2867"/>
        <item m="1" x="967"/>
        <item m="1" x="6757"/>
        <item m="1" x="2964"/>
        <item m="1" x="4838"/>
        <item m="1" x="69"/>
        <item m="1" x="2873"/>
        <item m="1" x="3858"/>
        <item m="1" x="6518"/>
        <item m="1" x="7994"/>
        <item m="1" x="2424"/>
        <item m="1" x="2719"/>
        <item m="1" x="6379"/>
        <item m="1" x="2557"/>
        <item m="1" x="4322"/>
        <item m="1" x="6473"/>
        <item m="1" x="5740"/>
        <item m="1" x="2394"/>
        <item m="1" x="6231"/>
        <item m="1" x="1868"/>
        <item m="1" x="2281"/>
        <item m="1" x="6916"/>
        <item m="1" x="5504"/>
        <item m="1" x="150"/>
        <item m="1" x="6507"/>
        <item m="1" x="3172"/>
        <item m="1" x="2999"/>
        <item m="1" x="6644"/>
        <item m="1" x="3998"/>
        <item m="1" x="898"/>
        <item m="1" x="6154"/>
        <item m="1" x="2852"/>
        <item m="1" x="5672"/>
        <item m="1" x="3808"/>
        <item m="1" x="3136"/>
        <item m="1" x="7581"/>
        <item m="1" x="6139"/>
        <item m="1" x="3863"/>
        <item m="1" x="6422"/>
        <item m="1" x="7094"/>
        <item m="1" x="6171"/>
        <item m="1" x="3938"/>
        <item m="1" x="872"/>
        <item m="1" x="5565"/>
        <item m="1" x="3262"/>
        <item m="1" x="6790"/>
        <item m="1" x="6020"/>
        <item m="1" x="2749"/>
        <item m="1" x="6551"/>
        <item m="1" x="2900"/>
        <item m="1" x="6690"/>
        <item m="1" x="3040"/>
        <item m="1" x="6823"/>
        <item m="1" x="6948"/>
        <item m="1" x="7067"/>
        <item m="1" x="3291"/>
        <item m="1" x="6424"/>
        <item m="1" x="2600"/>
        <item m="1" x="3565"/>
        <item m="1" x="6365"/>
        <item m="1" x="541"/>
        <item m="1" x="3165"/>
        <item m="1" x="7456"/>
        <item m="1" x="5469"/>
        <item m="1" x="7321"/>
        <item m="1" x="3538"/>
        <item m="1" x="4487"/>
        <item m="1" x="6904"/>
        <item m="1" x="3255"/>
        <item m="1" x="7030"/>
        <item m="1" x="2541"/>
        <item m="1" x="2686"/>
        <item m="1" x="6490"/>
        <item m="1" x="2838"/>
        <item m="1" x="6628"/>
        <item m="1" x="2981"/>
        <item m="1" x="3127"/>
        <item m="1" x="7146"/>
        <item m="1" x="2449"/>
        <item m="1" x="426"/>
        <item m="1" x="6578"/>
        <item m="1" x="4412"/>
        <item m="1" x="3024"/>
        <item m="1" x="6305"/>
        <item m="1" x="2174"/>
        <item m="1" x="6809"/>
        <item m="1" x="4441"/>
        <item m="1" x="703"/>
        <item m="1" x="6548"/>
        <item m="1" x="2596"/>
        <item m="1" x="2970"/>
        <item m="1" x="4936"/>
        <item m="1" x="1590"/>
        <item m="1" x="2930"/>
        <item m="1" x="3677"/>
        <item m="1" x="7453"/>
        <item m="1" x="3828"/>
        <item m="1" x="760"/>
        <item m="1" x="7304"/>
        <item m="1" x="5417"/>
        <item m="1" x="7203"/>
        <item m="1" x="778"/>
        <item m="1" x="6943"/>
        <item m="1" x="288"/>
        <item m="1" x="3038"/>
        <item m="1" x="2275"/>
        <item m="1" x="1081"/>
        <item m="1" x="6019"/>
        <item m="1" x="4305"/>
        <item m="1" x="3217"/>
        <item m="1" x="634"/>
        <item m="1" x="357"/>
        <item m="1" x="3703"/>
        <item m="1" x="7413"/>
        <item m="1" x="7218"/>
        <item m="1" x="991"/>
        <item m="1" x="452"/>
        <item m="1" x="4410"/>
        <item m="1" x="6819"/>
        <item m="1" x="769"/>
        <item m="1" x="4777"/>
        <item m="1" x="3032"/>
        <item m="1" x="2892"/>
        <item m="1" x="6545"/>
        <item m="1" x="2741"/>
        <item m="1" x="3411"/>
        <item m="1" x="7064"/>
        <item m="1" x="6682"/>
        <item m="1" x="7353"/>
        <item m="1" x="7996"/>
        <item m="1" x="7231"/>
        <item m="1" x="2478"/>
        <item m="1" x="3311"/>
        <item m="1" x="1691"/>
        <item m="1" x="1902"/>
        <item m="1" x="4078"/>
        <item m="1" x="7720"/>
        <item m="1" x="1496"/>
        <item m="1" x="1215"/>
        <item m="1" x="7049"/>
        <item m="1" x="3010"/>
        <item m="1" x="1028"/>
        <item m="1" x="4582"/>
        <item m="1" x="1817"/>
        <item m="1" x="990"/>
        <item m="1" x="1287"/>
        <item m="1" x="4914"/>
        <item m="1" x="6672"/>
        <item m="1" x="3552"/>
        <item m="1" x="7113"/>
        <item m="1" x="6162"/>
        <item m="1" x="7227"/>
        <item m="1" x="2744"/>
        <item m="1" x="2075"/>
        <item m="1" x="4724"/>
        <item m="1" x="7343"/>
        <item m="1" x="2573"/>
        <item m="1" x="3154"/>
        <item m="1" x="3698"/>
        <item m="1" x="7185"/>
        <item m="1" x="7046"/>
        <item m="1" x="4066"/>
        <item m="1" x="390"/>
        <item m="1" x="6556"/>
        <item m="1" x="6313"/>
        <item m="1" x="1494"/>
        <item m="1" x="2133"/>
        <item m="1" x="3812"/>
        <item m="1" x="7432"/>
        <item m="1" x="5993"/>
        <item m="1" x="3658"/>
        <item m="1" x="3941"/>
        <item m="1" x="6557"/>
        <item m="1" x="7585"/>
        <item m="1" x="4558"/>
        <item m="1" x="2795"/>
        <item m="1" x="7860"/>
        <item m="1" x="7155"/>
        <item m="1" x="2404"/>
        <item m="1" x="1675"/>
        <item m="1" x="7988"/>
        <item m="1" x="2312"/>
        <item m="1" x="714"/>
        <item m="1" x="5930"/>
        <item m="1" x="7484"/>
        <item m="1" x="7753"/>
        <item m="1" x="6108"/>
        <item m="1" x="6583"/>
        <item m="1" x="7849"/>
        <item m="1" x="3851"/>
        <item m="1" x="422"/>
        <item m="1" x="640"/>
        <item m="1" x="855"/>
        <item m="1" x="636"/>
        <item m="1" x="4304"/>
        <item m="1" x="6000"/>
        <item m="1" x="4338"/>
        <item m="1" x="7220"/>
        <item m="1" x="4960"/>
        <item m="1" x="2395"/>
        <item m="1" x="2885"/>
        <item m="1" x="4528"/>
        <item m="1" x="2455"/>
        <item m="1" x="152"/>
        <item m="1" x="4185"/>
        <item m="1" x="7688"/>
        <item m="1" x="3912"/>
        <item m="1" x="5790"/>
        <item m="1" x="994"/>
        <item m="1" x="2745"/>
        <item m="1" x="926"/>
        <item m="1" x="1139"/>
        <item m="1" x="887"/>
        <item m="1" x="6946"/>
        <item m="1" x="3868"/>
        <item m="1" x="1245"/>
        <item m="1" x="3354"/>
        <item m="1" x="7127"/>
        <item m="1" x="2951"/>
        <item m="1" x="6739"/>
        <item m="1" x="2646"/>
        <item m="1" x="1110"/>
        <item m="1" x="1361"/>
        <item m="1" x="1664"/>
        <item m="1" x="2237"/>
        <item m="1" x="5951"/>
        <item m="1" x="2068"/>
        <item m="1" x="6659"/>
        <item m="1" x="5579"/>
        <item m="1" x="2722"/>
        <item m="1" x="6381"/>
        <item m="1" x="2559"/>
        <item m="1" x="6233"/>
        <item m="1" x="6083"/>
        <item m="1" x="2218"/>
        <item m="1" x="4722"/>
        <item m="1" x="6793"/>
        <item m="1" x="3002"/>
        <item m="1" x="6646"/>
        <item m="1" x="2854"/>
        <item m="1" x="6509"/>
        <item m="1" x="7334"/>
        <item m="1" x="7196"/>
        <item m="1" x="3543"/>
        <item m="1" x="7326"/>
        <item m="1" x="7474"/>
        <item m="1" x="3015"/>
        <item m="1" x="6808"/>
        <item m="1" x="6936"/>
        <item m="1" x="4679"/>
        <item m="1" x="7613"/>
        <item m="1" x="3397"/>
        <item m="1" x="153"/>
        <item m="1" x="3190"/>
        <item m="1" x="3517"/>
        <item m="1" x="188"/>
        <item m="1" x="6214"/>
        <item m="1" x="2374"/>
        <item m="1" x="5867"/>
        <item m="1" x="7989"/>
        <item m="1" x="4186"/>
        <item m="1" x="7850"/>
        <item m="1" x="506"/>
        <item m="1" x="279"/>
        <item m="1" x="4402"/>
        <item m="1" x="134"/>
        <item m="1" x="4292"/>
        <item m="1" x="7971"/>
        <item m="1" x="7623"/>
        <item m="1" x="269"/>
        <item m="1" x="4502"/>
        <item m="1" x="381"/>
        <item m="1" x="619"/>
        <item m="1" x="4173"/>
        <item m="1" x="502"/>
        <item m="1" x="3966"/>
        <item m="1" x="4276"/>
        <item m="1" x="120"/>
        <item m="1" x="4391"/>
        <item m="1" x="7624"/>
        <item m="1" x="3848"/>
        <item m="1" x="2628"/>
        <item m="1" x="4486"/>
        <item m="1" x="4377"/>
        <item m="1" x="831"/>
        <item m="1" x="278"/>
        <item m="1" x="3928"/>
        <item m="1" x="368"/>
        <item m="1" x="2110"/>
        <item m="1" x="1993"/>
        <item m="1" x="2000"/>
        <item m="1" x="251"/>
        <item m="1" x="1404"/>
        <item m="1" x="3797"/>
        <item m="1" x="493"/>
        <item m="1" x="6708"/>
        <item m="1" x="4065"/>
        <item m="1" x="7764"/>
        <item m="1" x="1249"/>
        <item m="1" x="755"/>
        <item m="1" x="5673"/>
        <item m="1" x="7705"/>
        <item m="1" x="4048"/>
        <item m="1" x="7565"/>
        <item m="1" x="4390"/>
        <item m="1" x="268"/>
        <item m="1" x="1985"/>
        <item m="1" x="599"/>
        <item m="1" x="4474"/>
        <item m="1" x="7832"/>
        <item m="1" x="2823"/>
        <item m="1" x="5766"/>
        <item m="1" x="7360"/>
        <item m="1" x="2291"/>
        <item m="1" x="7657"/>
        <item m="1" x="3874"/>
        <item x="24"/>
        <item m="1" x="7951"/>
        <item m="1" x="6523"/>
        <item m="1" x="4275"/>
        <item m="1" x="3569"/>
        <item m="1" x="5505"/>
        <item m="1" x="4202"/>
        <item m="1" x="205"/>
        <item m="1" x="3014"/>
        <item m="1" x="6806"/>
        <item m="1" x="3152"/>
        <item m="1" x="6934"/>
        <item m="1" x="3280"/>
        <item m="1" x="5302"/>
        <item m="1" x="4172"/>
        <item m="1" x="7970"/>
        <item m="1" x="4401"/>
        <item m="1" x="440"/>
        <item m="1" x="119"/>
        <item m="1" x="5326"/>
        <item m="1" x="4420"/>
        <item m="1" x="5532"/>
        <item m="1" x="1940"/>
        <item m="1" x="6661"/>
        <item m="1" x="1092"/>
        <item m="1" x="2798"/>
        <item m="1" x="382"/>
        <item m="1" x="2118"/>
        <item m="1" x="4660"/>
        <item m="1" x="6602"/>
        <item m="1" x="2870"/>
        <item m="1" x="6703"/>
        <item m="1" x="4228"/>
        <item m="1" x="2934"/>
        <item m="1" x="1844"/>
        <item m="1" x="370"/>
        <item m="1" x="2724"/>
        <item m="1" x="7184"/>
        <item m="1" x="2662"/>
        <item m="1" x="4620"/>
        <item m="1" x="321"/>
        <item m="1" x="7327"/>
        <item m="1" x="5843"/>
        <item m="1" x="2298"/>
        <item m="1" x="469"/>
        <item m="1" x="3396"/>
        <item m="1" x="7045"/>
        <item m="1" x="6921"/>
        <item m="1" x="3331"/>
        <item m="1" x="2617"/>
        <item m="1" x="2132"/>
        <item m="1" x="1732"/>
        <item m="1" x="223"/>
        <item m="1" x="1699"/>
        <item m="1" x="308"/>
        <item m="1" x="3358"/>
        <item m="1" x="5185"/>
        <item m="1" x="2750"/>
        <item m="1" x="2746"/>
        <item m="1" x="7215"/>
        <item m="1" x="253"/>
        <item m="1" x="2606"/>
        <item m="1" x="4031"/>
        <item m="1" x="7814"/>
        <item m="1" x="4765"/>
        <item m="1" x="3272"/>
        <item m="1" x="639"/>
        <item m="1" x="6418"/>
        <item m="1" x="6632"/>
        <item m="1" x="3140"/>
        <item m="1" x="3417"/>
        <item m="1" x="4501"/>
        <item m="1" x="380"/>
        <item m="1" x="270"/>
        <item m="1" x="7068"/>
        <item m="1" x="5596"/>
        <item m="1" x="6084"/>
        <item m="1" x="4208"/>
        <item m="1" x="6667"/>
        <item m="1" x="4649"/>
        <item m="1" x="1373"/>
        <item m="1" x="408"/>
        <item m="1" x="1027"/>
        <item m="1" x="3292"/>
        <item m="1" x="1517"/>
        <item m="1" x="7880"/>
        <item m="1" x="6045"/>
        <item m="1" x="751"/>
        <item m="1" x="823"/>
        <item m="1" x="3166"/>
        <item m="1" x="6949"/>
        <item m="1" x="3296"/>
        <item m="1" x="5566"/>
        <item m="1" x="6648"/>
        <item m="1" x="6820"/>
        <item m="1" x="6794"/>
        <item m="1" x="1652"/>
        <item m="1" x="7367"/>
        <item m="1" x="2479"/>
        <item m="1" x="4578"/>
        <item m="1" x="3033"/>
        <item m="1" x="6169"/>
        <item m="1" x="7202"/>
        <item m="1" x="3529"/>
        <item m="1" x="3383"/>
        <item m="1" x="7316"/>
        <item m="1" x="2856"/>
        <item m="1" x="7034"/>
        <item m="1" x="7168"/>
        <item m="1" x="3259"/>
        <item m="1" x="6908"/>
        <item m="1" x="7085"/>
        <item m="1" x="6674"/>
        <item m="1" x="3130"/>
        <item m="1" x="6944"/>
        <item m="1" x="7272"/>
        <item m="1" x="4627"/>
        <item m="1" x="2893"/>
        <item m="1" x="7341"/>
        <item m="1" x="5468"/>
        <item m="1" x="3582"/>
        <item m="1" x="3560"/>
        <item m="1" x="3289"/>
        <item m="1" x="3412"/>
        <item m="1" x="7065"/>
        <item m="1" x="3386"/>
        <item m="1" x="1667"/>
        <item m="1" x="7241"/>
        <item m="1" x="7504"/>
        <item m="1" x="3003"/>
        <item m="1" x="1194"/>
        <item m="1" x="7022"/>
        <item m="1" x="7150"/>
        <item m="1" x="3369"/>
        <item m="1" x="7335"/>
        <item m="1" x="3025"/>
        <item m="1" x="5434"/>
        <item m="1" x="6266"/>
        <item m="1" x="6310"/>
        <item m="1" x="2984"/>
        <item m="1" x="7154"/>
        <item m="1" x="6778"/>
        <item m="1" x="3159"/>
        <item m="1" x="3553"/>
        <item m="1" x="7451"/>
        <item m="1" x="6813"/>
        <item m="1" x="7741"/>
        <item m="1" x="2967"/>
        <item m="1" x="1257"/>
        <item m="1" x="1229"/>
        <item m="1" x="632"/>
        <item m="1" x="140"/>
        <item m="1" x="1646"/>
        <item m="1" x="3964"/>
        <item m="1" x="3246"/>
        <item m="1" x="6888"/>
        <item m="1" x="3810"/>
        <item m="1" x="7429"/>
        <item m="1" x="7583"/>
        <item m="1" x="3113"/>
        <item m="1" x="1234"/>
        <item m="1" x="4427"/>
        <item m="1" x="2773"/>
        <item m="1" x="3645"/>
        <item m="1" x="3421"/>
        <item m="1" x="7197"/>
        <item m="1" x="309"/>
        <item m="1" x="6683"/>
        <item m="1" x="4007"/>
        <item m="1" x="4212"/>
        <item m="1" x="62"/>
        <item m="1" x="4331"/>
        <item m="1" x="3656"/>
        <item m="1" x="3841"/>
        <item m="1" x="3406"/>
        <item m="1" x="1053"/>
        <item m="1" x="7758"/>
        <item m="1" x="7284"/>
        <item m="1" x="1449"/>
        <item m="1" x="495"/>
        <item m="1" x="5730"/>
        <item m="1" x="851"/>
        <item m="1" x="3144"/>
        <item m="1" x="5331"/>
        <item m="1" x="641"/>
        <item m="1" x="384"/>
        <item m="1" x="3201"/>
        <item m="1" x="5792"/>
        <item m="1" x="5258"/>
        <item m="1" x="6554"/>
        <item m="1" x="4218"/>
        <item m="1" x="743"/>
        <item x="5"/>
        <item m="1" x="1656"/>
        <item m="1" x="4432"/>
        <item m="1" x="4583"/>
        <item m="1" x="3497"/>
        <item m="1" x="7002"/>
        <item m="1" x="3230"/>
        <item m="1" x="6695"/>
        <item m="1" x="2907"/>
        <item m="1" x="2667"/>
        <item m="1" x="649"/>
        <item m="1" x="1924"/>
        <item m="1" x="6803"/>
        <item m="1" x="6892"/>
        <item m="1" x="7005"/>
        <item m="1" x="6781"/>
        <item m="1" x="6519"/>
        <item m="1" x="6281"/>
        <item m="1" x="515"/>
        <item m="1" x="3700"/>
        <item m="1" x="3282"/>
        <item m="1" x="7055"/>
        <item m="1" x="6273"/>
        <item m="1" x="2607"/>
        <item m="1" x="6689"/>
        <item m="1" x="6421"/>
        <item m="1" x="6144"/>
        <item m="1" x="2457"/>
        <item m="1" x="3039"/>
        <item m="1" x="6822"/>
        <item m="1" x="6427"/>
        <item m="1" x="2446"/>
        <item m="1" x="2899"/>
        <item m="1" x="6279"/>
        <item m="1" x="2286"/>
        <item m="1" x="6550"/>
        <item m="1" x="2599"/>
        <item m="1" x="2748"/>
        <item m="1" x="2752"/>
        <item m="1" x="2028"/>
        <item m="1" x="2239"/>
        <item m="1" x="514"/>
        <item m="1" x="7620"/>
        <item m="1" x="6304"/>
        <item m="1" x="6124"/>
        <item m="1" x="3443"/>
        <item m="1" x="3783"/>
        <item m="1" x="3625"/>
        <item m="1" x="3332"/>
        <item m="1" x="3205"/>
        <item m="1" x="1196"/>
        <item m="1" x="6937"/>
        <item m="1" x="2735"/>
        <item m="1" x="5024"/>
        <item m="1" x="1026"/>
        <item m="1" x="2265"/>
        <item m="1" x="6425"/>
        <item m="1" x="4329"/>
        <item m="1" x="3850"/>
        <item m="1" x="4580"/>
        <item m="1" x="7475"/>
        <item m="1" x="3844"/>
        <item m="1" x="3164"/>
        <item m="1" x="6818"/>
        <item m="1" x="3031"/>
        <item m="1" x="6681"/>
        <item m="1" x="2891"/>
        <item m="1" x="6544"/>
        <item m="1" x="2740"/>
        <item m="1" x="6412"/>
        <item m="1" x="2593"/>
        <item m="1" x="6942"/>
        <item m="1" x="3288"/>
        <item m="1" x="7063"/>
        <item m="1" x="3023"/>
        <item m="1" x="6671"/>
        <item m="1" x="2884"/>
        <item m="1" x="6535"/>
        <item m="1" x="5977"/>
        <item m="1" x="6546"/>
        <item m="1" x="3398"/>
        <item m="1" x="7254"/>
        <item m="1" x="7186"/>
        <item m="1" x="4591"/>
        <item m="1" x="296"/>
        <item m="1" x="3826"/>
        <item m="1" x="7347"/>
        <item m="1" x="7862"/>
        <item m="1" x="6743"/>
        <item m="1" x="2859"/>
        <item m="1" x="5980"/>
        <item m="1" x="1131"/>
        <item m="1" x="2090"/>
        <item m="1" x="7718"/>
        <item m="1" x="409"/>
        <item m="1" x="7783"/>
        <item m="1" x="4223"/>
        <item m="1" x="5389"/>
        <item m="1" x="1683"/>
        <item m="1" x="7195"/>
        <item m="1" x="667"/>
        <item m="1" x="3405"/>
        <item m="1" x="4217"/>
        <item m="1" x="7430"/>
        <item m="1" x="7047"/>
        <item m="1" x="3273"/>
        <item m="1" x="6833"/>
        <item m="1" x="601"/>
        <item m="1" x="3957"/>
        <item m="1" x="6572"/>
        <item m="1" x="7891"/>
        <item m="1" x="5991"/>
        <item m="1" x="7500"/>
        <item m="1" x="4445"/>
        <item m="1" x="836"/>
        <item m="1" x="4517"/>
        <item m="1" x="7054"/>
        <item m="1" x="2108"/>
        <item m="1" x="6684"/>
        <item m="1" x="2463"/>
        <item m="1" x="3849"/>
        <item m="1" x="2305"/>
        <item m="1" x="7532"/>
        <item m="1" x="4560"/>
        <item m="1" x="2592"/>
        <item m="1" x="3531"/>
        <item m="1" x="7869"/>
        <item m="1" x="6013"/>
        <item m="1" x="638"/>
        <item m="1" x="7875"/>
        <item m="1" x="2876"/>
        <item m="1" x="2248"/>
        <item m="1" x="2508"/>
        <item m="1" x="3281"/>
        <item m="1" x="6935"/>
        <item m="1" x="3153"/>
        <item m="1" x="6807"/>
        <item m="1" x="3837"/>
        <item m="1" x="7467"/>
        <item m="1" x="3691"/>
        <item m="1" x="7318"/>
        <item m="1" x="6411"/>
        <item m="1" x="1972"/>
        <item m="1" x="7614"/>
        <item m="1" x="5868"/>
        <item m="1" x="2135"/>
        <item m="1" x="4647"/>
        <item m="1" x="4868"/>
        <item m="1" x="1006"/>
        <item m="1" x="5961"/>
        <item m="1" x="1966"/>
        <item m="1" x="5865"/>
        <item m="1" x="2128"/>
        <item m="1" x="1379"/>
        <item m="1" x="3181"/>
        <item m="1" x="6844"/>
        <item m="1" x="4612"/>
        <item m="1" x="7325"/>
        <item m="1" x="2467"/>
        <item m="1" x="3542"/>
        <item m="1" x="2182"/>
        <item m="1" x="343"/>
        <item m="1" x="6534"/>
        <item m="1" x="5975"/>
        <item m="1" x="6670"/>
        <item m="1" x="2883"/>
        <item m="1" x="6155"/>
        <item m="1" x="430"/>
        <item m="1" x="1641"/>
        <item m="1" x="2260"/>
        <item m="1" x="6292"/>
        <item m="1" x="6317"/>
        <item m="1" x="7873"/>
        <item m="1" x="3068"/>
        <item m="1" x="2527"/>
        <item m="1" x="2692"/>
        <item m="1" x="2087"/>
        <item m="1" x="2303"/>
        <item m="1" x="137"/>
        <item m="1" x="2436"/>
        <item m="1" x="6263"/>
        <item m="1" x="2475"/>
        <item m="1" x="1815"/>
        <item m="1" x="5710"/>
        <item m="1" x="1101"/>
        <item m="1" x="5768"/>
        <item m="1" x="6122"/>
        <item m="1" x="5572"/>
        <item m="1" x="782"/>
        <item m="1" x="197"/>
        <item m="1" x="4735"/>
        <item m="1" x="7513"/>
        <item m="1" x="317"/>
        <item m="1" x="2238"/>
        <item m="1" x="6234"/>
        <item m="1" x="6010"/>
        <item m="1" x="6805"/>
        <item m="1" x="3571"/>
        <item m="1" x="3302"/>
        <item m="1" x="647"/>
        <item m="1" x="5051"/>
        <item m="1" x="396"/>
        <item m="1" x="6647"/>
        <item m="1" x="4435"/>
        <item m="1" x="529"/>
        <item m="1" x="2396"/>
        <item m="1" x="4593"/>
        <item m="1" x="2542"/>
        <item m="1" x="862"/>
        <item m="1" x="554"/>
        <item m="1" x="429"/>
        <item m="1" x="3013"/>
        <item m="1" x="6660"/>
        <item m="1" x="2869"/>
        <item m="1" x="6522"/>
        <item m="1" x="2723"/>
        <item m="1" x="6382"/>
        <item m="1" x="2560"/>
        <item m="1" x="7345"/>
        <item m="1" x="5379"/>
        <item m="1" x="1807"/>
        <item m="1" x="2842"/>
        <item m="1" x="6952"/>
        <item m="1" x="7884"/>
        <item m="1" x="4699"/>
        <item m="1" x="171"/>
        <item m="1" x="164"/>
        <item m="1" x="5321"/>
        <item m="1" x="856"/>
        <item m="1" x="4861"/>
        <item m="1" x="565"/>
        <item m="1" x="3258"/>
        <item m="1" x="2261"/>
        <item m="1" x="6524"/>
        <item m="1" x="2247"/>
        <item m="1" x="300"/>
        <item m="1" x="7765"/>
        <item m="1" x="3344"/>
        <item m="1" x="1142"/>
        <item m="1" x="700"/>
        <item m="1" x="2753"/>
        <item m="1" x="6555"/>
        <item m="1" x="1962"/>
        <item m="1" x="5859"/>
        <item m="1" x="2124"/>
        <item m="1" x="6007"/>
        <item m="1" x="2293"/>
        <item m="1" x="2614"/>
        <item m="1" x="6282"/>
        <item m="1" x="2464"/>
        <item m="1" x="6150"/>
        <item m="1" x="6920"/>
        <item m="1" x="2855"/>
        <item m="1" x="2707"/>
        <item m="1" x="6428"/>
        <item m="1" x="7033"/>
        <item m="1" x="6815"/>
        <item m="1" x="6366"/>
        <item m="1" x="6452"/>
        <item m="1" x="4201"/>
        <item m="1" x="1678"/>
        <item m="1" x="6103"/>
        <item m="1" x="2420"/>
        <item m="1" x="6249"/>
        <item m="1" x="2575"/>
        <item m="1" x="6398"/>
        <item m="1" x="2734"/>
        <item m="1" x="6907"/>
        <item m="1" x="1999"/>
        <item m="1" x="7242"/>
        <item m="1" x="6402"/>
        <item m="1" x="3518"/>
        <item m="1" x="7091"/>
        <item m="1" x="2439"/>
        <item m="1" x="2458"/>
        <item m="1" x="5851"/>
        <item m="1" x="7288"/>
        <item m="1" x="7336"/>
        <item m="1" x="2447"/>
        <item m="1" x="6274"/>
        <item m="1" x="6717"/>
        <item m="1" x="6742"/>
        <item m="1" x="1135"/>
        <item m="1" x="2580"/>
        <item m="1" x="2742"/>
        <item m="1" x="1240"/>
        <item m="1" x="4639"/>
        <item m="1" x="7023"/>
        <item m="1" x="6145"/>
        <item m="1" x="5702"/>
        <item m="1" x="6303"/>
        <item m="1" x="6673"/>
        <item m="1" x="2886"/>
        <item m="1" x="6423"/>
        <item m="1" x="2601"/>
        <item m="1" x="6300"/>
        <item m="1" x="5084"/>
        <item m="1" x="6085"/>
        <item m="1" x="2287"/>
        <item m="1" x="6552"/>
        <item m="1" x="2901"/>
        <item m="1" x="6691"/>
        <item m="1" x="1342"/>
        <item m="1" x="2927"/>
        <item m="1" x="2787"/>
        <item m="1" x="4378"/>
        <item m="1" x="1840"/>
        <item m="1" x="4434"/>
        <item m="1" x="3295"/>
        <item m="1" x="2929"/>
        <item m="1" x="1812"/>
        <item m="1" x="1502"/>
        <item m="1" x="2280"/>
        <item m="1" x="6134"/>
        <item m="1" x="3644"/>
        <item m="1" x="3283"/>
        <item m="1" x="7056"/>
        <item m="1" x="6399"/>
        <item m="1" x="6938"/>
        <item m="1" x="2576"/>
        <item m="1" x="893"/>
        <item m="1" x="1980"/>
        <item m="1" x="1088"/>
        <item m="1" x="4991"/>
        <item m="1" x="4714"/>
        <item m="1" x="6832"/>
        <item m="1" x="1487"/>
        <item m="1" x="6283"/>
        <item m="1" x="2294"/>
        <item m="1" x="2887"/>
        <item m="1" x="3554"/>
        <item m="1" x="5872"/>
        <item m="1" x="2760"/>
        <item m="1" x="7337"/>
        <item m="1" x="2971"/>
        <item m="1" x="4946"/>
        <item m="1" x="3838"/>
        <item m="1" x="6430"/>
        <item m="1" x="2176"/>
        <item m="1" x="3881"/>
        <item x="1"/>
        <item x="2"/>
        <item m="1" x="6352"/>
        <item m="1" x="2615"/>
        <item m="1" x="2301"/>
        <item x="4"/>
        <item x="6"/>
        <item x="7"/>
        <item x="9"/>
        <item x="10"/>
        <item x="11"/>
        <item x="12"/>
        <item x="13"/>
        <item x="14"/>
        <item x="15"/>
        <item x="16"/>
        <item x="17"/>
        <item x="19"/>
        <item x="20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8"/>
        <item m="1" x="3351"/>
        <item m="1" x="5715"/>
        <item m="1" x="5229"/>
        <item m="1" x="826"/>
        <item m="1" x="1015"/>
        <item m="1" x="2610"/>
        <item m="1" x="1368"/>
        <item m="1" x="4457"/>
        <item m="1" x="189"/>
        <item m="1" x="220"/>
        <item m="1" x="2361"/>
        <item m="1" x="7873"/>
        <item m="1" x="4930"/>
        <item m="1" x="4999"/>
        <item m="1" x="736"/>
        <item m="1" x="159"/>
        <item m="1" x="7947"/>
        <item m="1" x="4819"/>
        <item m="1" x="6397"/>
        <item m="1" x="7468"/>
        <item m="1" x="7004"/>
        <item m="1" x="1162"/>
        <item m="1" x="7950"/>
        <item m="1" x="5939"/>
        <item m="1" x="5976"/>
        <item m="1" x="1994"/>
        <item m="1" x="7017"/>
        <item m="1" x="6873"/>
        <item m="1" x="1529"/>
        <item m="1" x="4031"/>
        <item m="1" x="3700"/>
        <item m="1" x="1408"/>
        <item m="1" x="1117"/>
        <item m="1" x="6550"/>
        <item m="1" x="7505"/>
        <item m="1" x="4036"/>
        <item m="1" x="7334"/>
        <item m="1" x="7333"/>
        <item m="1" x="2405"/>
        <item m="1" x="4813"/>
        <item m="1" x="5842"/>
        <item m="1" x="5836"/>
        <item m="1" x="1759"/>
        <item m="1" x="2147"/>
        <item m="1" x="2865"/>
        <item m="1" x="2021"/>
        <item m="1" x="5424"/>
        <item m="1" x="6530"/>
        <item m="1" x="7853"/>
        <item m="1" x="5778"/>
        <item m="1" x="2930"/>
        <item m="1" x="704"/>
        <item m="1" x="5618"/>
        <item m="1" x="1584"/>
        <item m="1" x="3129"/>
        <item m="1" x="2572"/>
        <item m="1" x="185"/>
        <item m="1" x="3711"/>
        <item m="1" x="6649"/>
        <item m="1" x="1014"/>
        <item m="1" x="5909"/>
        <item m="1" x="2330"/>
        <item m="1" x="6716"/>
        <item m="1" x="94"/>
        <item m="1" x="2463"/>
        <item m="1" x="1934"/>
        <item m="1" x="7892"/>
        <item m="1" x="3166"/>
        <item m="1" x="2185"/>
        <item m="1" x="2650"/>
        <item m="1" x="4977"/>
        <item m="1" x="2620"/>
        <item m="1" x="5021"/>
        <item m="1" x="6167"/>
        <item m="1" x="137"/>
        <item m="1" x="3719"/>
        <item m="1" x="4856"/>
        <item m="1" x="7754"/>
        <item m="1" x="3995"/>
        <item m="1" x="3245"/>
        <item m="1" x="6629"/>
        <item m="1" x="4650"/>
        <item m="1" x="5729"/>
        <item m="1" x="4020"/>
        <item m="1" x="7555"/>
        <item m="1" x="7361"/>
        <item m="1" x="7681"/>
        <item m="1" x="5809"/>
        <item m="1" x="6952"/>
        <item m="1" x="7601"/>
        <item m="1" x="636"/>
        <item m="1" x="1943"/>
        <item m="1" x="5572"/>
        <item m="1" x="7232"/>
        <item m="1" x="6745"/>
        <item m="1" x="7201"/>
        <item m="1" x="617"/>
        <item m="1" x="5643"/>
        <item m="1" x="3274"/>
        <item m="1" x="523"/>
        <item m="1" x="320"/>
        <item m="1" x="6517"/>
        <item m="1" x="6382"/>
        <item m="1" x="6241"/>
        <item m="1" x="7590"/>
        <item m="1" x="5337"/>
        <item m="1" x="4957"/>
        <item m="1" x="3879"/>
        <item m="1" x="2252"/>
        <item m="1" x="5649"/>
        <item m="1" x="3724"/>
        <item m="1" x="6357"/>
        <item m="1" x="2350"/>
        <item m="1" x="6316"/>
        <item m="1" x="2003"/>
        <item m="1" x="609"/>
        <item m="1" x="4302"/>
        <item m="1" x="7842"/>
        <item m="1" x="5994"/>
        <item m="1" x="2594"/>
        <item m="1" x="1338"/>
        <item m="1" x="3618"/>
        <item m="1" x="7128"/>
        <item m="1" x="6616"/>
        <item m="1" x="925"/>
        <item m="1" x="1740"/>
        <item m="1" x="6064"/>
        <item m="1" x="4049"/>
        <item m="1" x="1622"/>
        <item m="1" x="3268"/>
        <item m="1" x="5049"/>
        <item m="1" x="538"/>
        <item m="1" x="5243"/>
        <item m="1" x="1770"/>
        <item m="1" x="3532"/>
        <item m="1" x="7328"/>
        <item m="1" x="1073"/>
        <item m="1" x="7837"/>
        <item m="1" x="7311"/>
        <item m="1" x="6221"/>
        <item m="1" x="4645"/>
        <item m="1" x="4228"/>
        <item m="1" x="1985"/>
        <item m="1" x="6111"/>
        <item m="1" x="4016"/>
        <item m="1" x="1024"/>
        <item m="1" x="1863"/>
        <item m="1" x="6335"/>
        <item m="1" x="6732"/>
        <item m="1" x="1468"/>
        <item m="1" x="6441"/>
        <item m="1" x="3217"/>
        <item m="1" x="4897"/>
        <item m="1" x="2351"/>
        <item m="1" x="3030"/>
        <item m="1" x="6538"/>
        <item m="1" x="7801"/>
        <item m="1" x="230"/>
        <item m="1" x="5619"/>
        <item m="1" x="766"/>
        <item m="1" x="963"/>
        <item m="1" x="4927"/>
        <item m="1" x="5555"/>
        <item m="1" x="3134"/>
        <item m="1" x="3350"/>
        <item m="1" x="4796"/>
        <item m="1" x="2777"/>
        <item m="1" x="6814"/>
        <item m="1" x="1025"/>
        <item m="1" x="6373"/>
        <item m="1" x="7316"/>
        <item m="1" x="5216"/>
        <item m="1" x="7737"/>
        <item m="1" x="848"/>
        <item m="1" x="1094"/>
        <item m="1" x="4050"/>
        <item m="1" x="255"/>
        <item m="1" x="5375"/>
        <item m="1" x="3225"/>
        <item m="1" x="7317"/>
        <item m="1" x="6812"/>
        <item m="1" x="1172"/>
        <item m="1" x="3852"/>
        <item m="1" x="119"/>
        <item m="1" x="7227"/>
        <item m="1" x="6940"/>
        <item m="1" x="2084"/>
        <item m="1" x="678"/>
        <item m="1" x="1889"/>
        <item m="1" x="2642"/>
        <item m="1" x="7639"/>
        <item m="1" x="4264"/>
        <item m="1" x="1947"/>
        <item m="1" x="4524"/>
        <item m="1" x="7960"/>
        <item m="1" x="6989"/>
        <item m="1" x="6928"/>
        <item m="1" x="133"/>
        <item m="1" x="7354"/>
        <item m="1" x="5753"/>
        <item m="1" x="7060"/>
        <item m="1" x="5181"/>
        <item m="1" x="5151"/>
        <item m="1" x="6762"/>
        <item m="1" x="859"/>
        <item m="1" x="1303"/>
        <item m="1" x="7499"/>
        <item m="1" x="7291"/>
        <item m="1" x="935"/>
        <item m="1" x="3639"/>
        <item m="1" x="569"/>
        <item m="1" x="288"/>
        <item m="1" x="7843"/>
        <item m="1" x="7508"/>
        <item m="1" x="274"/>
        <item m="1" x="7509"/>
        <item m="1" x="7803"/>
        <item m="1" x="4126"/>
        <item m="1" x="6403"/>
        <item m="1" x="2113"/>
        <item m="1" x="7717"/>
        <item m="1" x="1387"/>
        <item m="1" x="307"/>
        <item m="1" x="2802"/>
        <item m="1" x="1475"/>
        <item m="1" x="3432"/>
        <item m="1" x="1890"/>
        <item m="1" x="5267"/>
        <item m="1" x="3338"/>
        <item m="1" x="3829"/>
        <item m="1" x="6710"/>
        <item m="1" x="7398"/>
        <item m="1" x="750"/>
        <item m="1" x="7527"/>
        <item m="1" x="6733"/>
        <item m="1" x="915"/>
        <item m="1" x="5189"/>
        <item m="1" x="6867"/>
        <item m="1" x="5615"/>
        <item m="1" x="7302"/>
        <item m="1" x="649"/>
        <item m="1" x="5754"/>
        <item m="1" x="1871"/>
        <item m="1" x="1370"/>
        <item m="1" x="7602"/>
        <item m="1" x="5924"/>
        <item m="1" x="7547"/>
        <item m="1" x="894"/>
        <item m="1" x="4978"/>
        <item m="1" x="6840"/>
        <item m="1" x="6161"/>
        <item m="1" x="6676"/>
        <item m="1" x="861"/>
        <item m="1" x="5022"/>
        <item m="1" x="5415"/>
        <item m="1" x="7244"/>
        <item m="1" x="7808"/>
        <item m="1" x="2267"/>
        <item m="1" x="2721"/>
        <item m="1" x="6553"/>
        <item m="1" x="7569"/>
        <item m="1" x="5077"/>
        <item m="1" x="597"/>
        <item m="1" x="1175"/>
        <item m="1" x="1910"/>
        <item m="1" x="3569"/>
        <item m="1" x="2380"/>
        <item m="1" x="4348"/>
        <item m="1" x="1234"/>
        <item m="1" x="4399"/>
        <item m="1" x="1686"/>
        <item m="1" x="2883"/>
        <item m="1" x="488"/>
        <item m="1" x="7844"/>
        <item m="1" x="477"/>
        <item m="1" x="2332"/>
        <item m="1" x="7174"/>
        <item m="1" x="2143"/>
        <item m="1" x="4232"/>
        <item m="1" x="2888"/>
        <item m="1" x="3738"/>
        <item m="1" x="7962"/>
        <item m="1" x="376"/>
        <item m="1" x="96"/>
        <item m="1" x="971"/>
        <item m="1" x="6826"/>
        <item m="1" x="1103"/>
        <item m="1" x="7025"/>
        <item m="1" x="360"/>
        <item m="1" x="7839"/>
        <item m="1" x="6405"/>
        <item m="1" x="1503"/>
        <item m="1" x="190"/>
        <item m="1" x="1939"/>
        <item m="1" x="6305"/>
        <item m="1" x="7712"/>
        <item m="1" x="3421"/>
        <item m="1" x="6412"/>
        <item m="1" x="3750"/>
        <item m="1" x="6854"/>
        <item m="1" x="1418"/>
        <item m="1" x="4757"/>
        <item m="1" x="4589"/>
        <item m="1" x="1780"/>
        <item m="1" x="6162"/>
        <item m="1" x="7539"/>
        <item m="1" x="6374"/>
        <item m="1" x="7540"/>
        <item m="1" x="4401"/>
        <item m="1" x="6366"/>
        <item m="1" x="7773"/>
        <item m="1" x="1231"/>
        <item m="1" x="6478"/>
        <item m="1" x="6271"/>
        <item m="1" x="4970"/>
        <item m="1" x="5147"/>
        <item m="1" x="1903"/>
        <item m="1" x="3480"/>
        <item m="1" x="3807"/>
        <item m="1" x="1320"/>
        <item m="1" x="2804"/>
        <item m="1" x="4331"/>
        <item m="1" x="6132"/>
        <item m="1" x="3182"/>
        <item m="1" x="494"/>
        <item m="1" x="3136"/>
        <item m="1" x="6097"/>
        <item m="1" x="6778"/>
        <item m="1" x="5068"/>
        <item m="1" x="6753"/>
        <item m="1" x="7788"/>
        <item m="1" x="4681"/>
        <item m="1" x="2389"/>
        <item m="1" x="5008"/>
        <item m="1" x="2501"/>
        <item m="1" x="6185"/>
        <item m="1" x="2877"/>
        <item m="1" x="1244"/>
        <item m="1" x="2565"/>
        <item m="1" x="2566"/>
        <item m="1" x="4725"/>
        <item m="1" x="2844"/>
        <item m="1" x="3173"/>
        <item m="1" x="3544"/>
        <item m="1" x="5017"/>
        <item m="1" x="4421"/>
        <item m="1" x="2922"/>
        <item m="1" x="3972"/>
        <item m="1" x="619"/>
        <item m="1" x="1966"/>
        <item m="1" x="2967"/>
        <item m="1" x="1861"/>
        <item m="1" x="3619"/>
        <item m="1" x="3766"/>
        <item m="1" x="4603"/>
        <item m="1" x="2448"/>
        <item m="1" x="7550"/>
        <item m="1" x="5867"/>
        <item m="1" x="5024"/>
        <item m="1" x="1968"/>
        <item m="1" x="1762"/>
        <item m="1" x="5158"/>
        <item m="1" x="7633"/>
        <item m="1" x="3124"/>
        <item m="1" x="5119"/>
        <item m="1" x="4807"/>
        <item m="1" x="281"/>
        <item m="1" x="4918"/>
        <item m="1" x="438"/>
        <item m="1" x="6981"/>
        <item m="1" x="5205"/>
        <item m="1" x="6630"/>
        <item m="1" x="6582"/>
        <item m="1" x="615"/>
        <item m="1" x="3742"/>
        <item m="1" x="5571"/>
        <item m="1" x="6148"/>
        <item m="1" x="3880"/>
        <item m="1" x="4167"/>
        <item m="1" x="4655"/>
        <item m="1" x="6235"/>
        <item m="1" x="616"/>
        <item m="1" x="2688"/>
        <item m="1" x="2689"/>
        <item m="1" x="7131"/>
        <item m="1" x="5101"/>
        <item m="1" x="3669"/>
        <item m="1" x="4877"/>
        <item m="1" x="2971"/>
        <item m="1" x="4743"/>
        <item m="1" x="3312"/>
        <item m="1" x="7726"/>
        <item m="1" x="7323"/>
        <item m="1" x="7927"/>
        <item m="1" x="5906"/>
        <item m="1" x="1921"/>
        <item m="1" x="6627"/>
        <item m="1" x="7136"/>
        <item m="1" x="2523"/>
        <item m="1" x="5757"/>
        <item m="1" x="7276"/>
        <item m="1" x="356"/>
        <item m="1" x="2079"/>
        <item m="1" x="2342"/>
        <item m="1" x="7307"/>
        <item m="1" x="835"/>
        <item m="1" x="3218"/>
        <item m="1" x="3405"/>
        <item m="1" x="7137"/>
        <item m="1" x="7838"/>
        <item m="1" x="6850"/>
        <item m="1" x="3759"/>
        <item m="1" x="2472"/>
        <item m="1" x="78"/>
        <item m="1" x="2882"/>
        <item m="1" x="7427"/>
        <item m="1" x="4963"/>
        <item m="1" x="6590"/>
        <item m="1" x="6187"/>
        <item m="1" x="6279"/>
        <item m="1" x="2398"/>
        <item m="1" x="7656"/>
        <item m="1" x="5586"/>
        <item m="1" x="7255"/>
        <item m="1" x="6864"/>
        <item m="1" x="7802"/>
        <item m="1" x="6987"/>
        <item m="1" x="2399"/>
        <item m="1" x="1802"/>
        <item m="1" x="6142"/>
        <item m="1" x="6998"/>
        <item m="1" x="6999"/>
        <item m="1" x="6689"/>
        <item m="1" x="1850"/>
        <item m="1" x="3819"/>
        <item m="1" x="3466"/>
        <item m="1" x="7880"/>
        <item m="1" x="7961"/>
        <item m="1" x="3537"/>
        <item m="1" x="3811"/>
        <item m="1" x="6856"/>
        <item m="1" x="6059"/>
        <item m="1" x="6352"/>
        <item m="1" x="6353"/>
        <item m="1" x="551"/>
        <item m="1" x="5784"/>
        <item m="1" x="325"/>
        <item m="1" x="6946"/>
        <item m="1" x="6669"/>
        <item m="1" x="5658"/>
        <item m="1" x="7668"/>
        <item m="1" x="2107"/>
        <item m="1" x="2406"/>
        <item m="1" x="6024"/>
        <item m="1" x="491"/>
        <item m="1" x="6869"/>
        <item m="1" x="6249"/>
        <item m="1" x="2799"/>
        <item m="1" x="7458"/>
        <item m="1" x="2407"/>
        <item m="1" x="6496"/>
        <item m="1" x="4546"/>
        <item m="1" x="4184"/>
        <item m="1" x="102"/>
        <item m="1" x="7123"/>
        <item m="1" x="729"/>
        <item m="1" x="7644"/>
        <item m="1" x="1707"/>
        <item m="1" x="7476"/>
        <item m="1" x="6990"/>
        <item m="1" x="1485"/>
        <item m="1" x="2004"/>
        <item m="1" x="7609"/>
        <item m="1" x="2022"/>
        <item m="1" x="4011"/>
        <item m="1" x="3161"/>
        <item m="1" x="3178"/>
        <item m="1" x="5408"/>
        <item m="1" x="5113"/>
        <item m="1" x="1141"/>
        <item m="1" x="7124"/>
        <item m="1" x="7766"/>
        <item m="1" x="7534"/>
        <item m="1" x="6883"/>
        <item m="1" x="6128"/>
        <item m="1" x="887"/>
        <item m="1" x="1269"/>
        <item m="1" x="5539"/>
        <item m="1" x="4866"/>
        <item m="1" x="6457"/>
        <item m="1" x="448"/>
        <item m="1" x="881"/>
        <item m="1" x="2972"/>
        <item m="1" x="4379"/>
        <item m="1" x="7562"/>
        <item m="1" x="2441"/>
        <item m="1" x="2186"/>
        <item m="1" x="2973"/>
        <item m="1" x="2442"/>
        <item m="1" x="7806"/>
        <item m="1" x="5515"/>
        <item m="1" x="3774"/>
        <item m="1" x="2324"/>
        <item m="1" x="4252"/>
        <item m="1" x="6254"/>
        <item m="1" x="1424"/>
        <item m="1" x="4102"/>
        <item m="1" x="6677"/>
        <item m="1" x="4715"/>
        <item m="1" x="5728"/>
        <item m="1" x="6685"/>
        <item m="1" x="836"/>
        <item m="1" x="2690"/>
        <item m="1" x="4646"/>
        <item m="1" x="4647"/>
        <item m="1" x="6617"/>
        <item m="1" x="7259"/>
        <item m="1" x="6618"/>
        <item m="1" x="2671"/>
        <item m="1" x="6437"/>
        <item m="1" x="2643"/>
        <item m="1" x="4168"/>
        <item m="1" x="2343"/>
        <item m="1" x="7040"/>
        <item m="1" x="3786"/>
        <item m="1" x="5573"/>
        <item m="1" x="1872"/>
        <item m="1" x="1101"/>
        <item m="1" x="904"/>
        <item m="1" x="7718"/>
        <item m="1" x="7956"/>
        <item m="1" x="7565"/>
        <item m="1" x="6837"/>
        <item m="1" x="6780"/>
        <item m="1" x="2187"/>
        <item m="1" x="2321"/>
        <item m="1" x="1242"/>
        <item m="1" x="7603"/>
        <item m="1" x="6158"/>
        <item m="1" x="6236"/>
        <item m="1" x="5557"/>
        <item m="1" x="2722"/>
        <item m="1" x="4071"/>
        <item m="1" x="5940"/>
        <item m="1" x="5556"/>
        <item m="1" x="2664"/>
        <item m="1" x="6450"/>
        <item m="1" x="660"/>
        <item m="1" x="1339"/>
        <item m="1" x="1879"/>
        <item m="1" x="6818"/>
        <item m="1" x="4677"/>
        <item m="1" x="6554"/>
        <item m="1" x="7090"/>
        <item m="1" x="3184"/>
        <item m="1" x="1417"/>
        <item m="1" x="737"/>
        <item m="1" x="7794"/>
        <item m="1" x="1217"/>
        <item m="1" x="3027"/>
        <item m="1" x="7394"/>
        <item m="1" x="7824"/>
        <item m="1" x="1857"/>
        <item m="1" x="5865"/>
        <item m="1" x="6328"/>
        <item m="1" x="1513"/>
        <item m="1" x="7015"/>
        <item m="1" x="3812"/>
        <item m="1" x="6261"/>
        <item m="1" x="4794"/>
        <item m="1" x="7373"/>
        <item m="1" x="5562"/>
        <item m="1" x="7019"/>
        <item m="1" x="3307"/>
        <item m="1" x="1979"/>
        <item m="1" x="7208"/>
        <item m="1" x="5253"/>
        <item m="1" x="792"/>
        <item m="1" x="6976"/>
        <item m="1" x="6325"/>
        <item m="1" x="6262"/>
        <item m="1" x="6834"/>
        <item m="1" x="3108"/>
        <item m="1" x="2482"/>
        <item m="1" x="7859"/>
        <item m="1" x="6919"/>
        <item m="1" x="3453"/>
        <item m="1" x="1685"/>
        <item m="1" x="7910"/>
        <item m="1" x="5703"/>
        <item m="1" x="1486"/>
        <item m="1" x="2241"/>
        <item m="1" x="7436"/>
        <item m="1" x="5075"/>
        <item m="1" x="6697"/>
        <item m="1" x="6306"/>
        <item m="1" x="6404"/>
        <item m="1" x="6267"/>
        <item m="1" x="5274"/>
        <item m="1" x="6698"/>
        <item m="1" x="2242"/>
        <item m="1" x="2400"/>
        <item m="1" x="3554"/>
        <item m="1" x="6115"/>
        <item m="1" x="5552"/>
        <item m="1" x="3845"/>
        <item m="1" x="5553"/>
        <item m="1" x="6654"/>
        <item m="1" x="7366"/>
        <item m="1" x="6118"/>
        <item m="1" x="7209"/>
        <item m="1" x="2188"/>
        <item m="1" x="3039"/>
        <item m="1" x="7594"/>
        <item m="1" x="4117"/>
        <item m="1" x="6387"/>
        <item m="1" x="4156"/>
        <item m="1" x="7006"/>
        <item m="1" x="6345"/>
        <item m="1" x="2576"/>
        <item m="1" x="767"/>
        <item m="1" x="1536"/>
        <item m="1" x="6510"/>
        <item m="1" x="240"/>
        <item m="1" x="7818"/>
        <item m="1" x="3881"/>
        <item m="1" x="3611"/>
        <item m="1" x="7342"/>
        <item m="1" x="6835"/>
        <item m="1" x="7171"/>
        <item m="1" x="6425"/>
        <item m="1" x="6783"/>
        <item m="1" x="2007"/>
        <item m="1" x="6878"/>
        <item m="1" x="1541"/>
        <item m="1" x="6898"/>
        <item m="1" x="6601"/>
        <item m="1" x="3077"/>
        <item m="1" x="1496"/>
        <item m="1" x="4465"/>
        <item m="1" x="4295"/>
        <item m="1" x="2524"/>
        <item m="1" x="4112"/>
        <item m="1" x="6984"/>
        <item m="1" x="4545"/>
        <item m="1" x="1832"/>
        <item m="1" x="5606"/>
        <item m="1" x="6392"/>
        <item m="1" x="2953"/>
        <item m="1" x="1682"/>
        <item m="1" x="1858"/>
        <item m="1" x="6857"/>
        <item m="1" x="2699"/>
        <item m="1" x="7772"/>
        <item m="1" x="3475"/>
        <item m="1" x="6819"/>
        <item m="1" x="4086"/>
        <item m="1" x="3069"/>
        <item m="1" x="5607"/>
        <item m="1" x="6858"/>
        <item m="1" x="3570"/>
        <item m="1" x="4560"/>
        <item m="1" x="5054"/>
        <item m="1" x="5141"/>
        <item m="1" x="6901"/>
        <item m="1" x="1026"/>
        <item m="1" x="3664"/>
        <item m="1" x="4736"/>
        <item m="1" x="3368"/>
        <item m="1" x="2597"/>
        <item m="1" x="2598"/>
        <item m="1" x="3887"/>
        <item m="1" x="7709"/>
        <item m="1" x="4368"/>
        <item m="1" x="1027"/>
        <item m="1" x="2213"/>
        <item m="1" x="4062"/>
        <item m="1" x="1112"/>
        <item m="1" x="183"/>
        <item m="1" x="7217"/>
        <item m="1" x="7184"/>
        <item m="1" x="2781"/>
        <item m="1" x="2946"/>
        <item m="1" x="3778"/>
        <item m="1" x="2735"/>
        <item m="1" x="3387"/>
        <item m="1" x="1938"/>
        <item m="1" x="5142"/>
        <item m="1" x="6914"/>
        <item m="1" x="2048"/>
        <item m="1" x="2700"/>
        <item m="1" x="2618"/>
        <item m="1" x="2049"/>
        <item m="1" x="1049"/>
        <item m="1" x="4763"/>
        <item m="1" x="5476"/>
        <item m="1" x="1830"/>
        <item m="1" x="1134"/>
        <item m="1" x="7226"/>
        <item m="1" x="1602"/>
        <item m="1" x="4056"/>
        <item m="1" x="6734"/>
        <item m="1" x="6735"/>
        <item m="1" x="5913"/>
        <item m="1" x="6074"/>
        <item m="1" x="5914"/>
        <item m="1" x="6075"/>
        <item m="1" x="6434"/>
        <item m="1" x="5496"/>
        <item m="1" x="3665"/>
        <item m="1" x="2127"/>
        <item m="1" x="4149"/>
        <item m="1" x="7192"/>
        <item m="1" x="179"/>
        <item m="1" x="4224"/>
        <item m="1" x="1470"/>
        <item m="1" x="6737"/>
        <item m="1" x="1603"/>
        <item m="1" x="1209"/>
        <item m="1" x="6415"/>
        <item m="1" x="4688"/>
        <item m="1" x="2536"/>
        <item m="1" x="1572"/>
        <item m="1" x="2493"/>
        <item m="1" x="4202"/>
        <item m="1" x="4641"/>
        <item m="1" x="5915"/>
        <item m="1" x="1604"/>
        <item m="1" x="5916"/>
        <item m="1" x="7919"/>
        <item m="1" x="169"/>
        <item m="1" x="178"/>
        <item m="1" x="6736"/>
        <item m="1" x="2500"/>
        <item m="1" x="6299"/>
        <item m="1" x="6922"/>
        <item m="1" x="3770"/>
        <item m="1" x="778"/>
        <item m="1" x="6076"/>
        <item m="1" x="6435"/>
        <item m="1" x="1471"/>
        <item m="1" x="2826"/>
        <item m="1" x="430"/>
        <item m="1" x="364"/>
        <item m="1" x="2964"/>
        <item m="1" x="1038"/>
        <item m="1" x="4945"/>
        <item m="1" x="1891"/>
        <item m="1" x="2605"/>
        <item m="1" x="588"/>
        <item m="1" x="711"/>
        <item m="1" x="4820"/>
        <item m="1" x="1028"/>
        <item m="1" x="7177"/>
        <item m="1" x="7140"/>
        <item m="1" x="1931"/>
        <item m="1" x="7965"/>
        <item m="1" x="2778"/>
        <item m="1" x="6673"/>
        <item m="1" x="223"/>
        <item m="1" x="7669"/>
        <item m="1" x="7571"/>
        <item m="1" x="562"/>
        <item m="1" x="2526"/>
        <item m="1" x="3945"/>
        <item m="1" x="4203"/>
        <item m="1" x="552"/>
        <item m="1" x="257"/>
        <item m="1" x="7428"/>
        <item m="1" x="5193"/>
        <item m="1" x="5651"/>
        <item m="1" x="201"/>
        <item m="1" x="1135"/>
        <item m="1" x="4308"/>
        <item m="1" x="4595"/>
        <item m="1" x="7370"/>
        <item m="1" x="2672"/>
        <item m="1" x="4842"/>
        <item m="1" x="7662"/>
        <item m="1" x="7595"/>
        <item m="1" x="4481"/>
        <item m="1" x="4347"/>
        <item m="1" x="7446"/>
        <item m="1" x="7989"/>
        <item m="1" x="1319"/>
        <item m="1" x="4764"/>
        <item m="1" x="3888"/>
        <item m="1" x="1539"/>
        <item m="1" x="759"/>
        <item m="1" x="2992"/>
        <item m="1" x="3889"/>
        <item m="1" x="3890"/>
        <item m="1" x="2851"/>
        <item m="1" x="5764"/>
        <item m="1" x="2140"/>
        <item m="1" x="6784"/>
        <item m="1" x="620"/>
        <item m="1" x="5587"/>
        <item m="1" x="3282"/>
        <item m="1" x="6248"/>
        <item m="1" x="233"/>
        <item m="1" x="926"/>
        <item m="1" x="3897"/>
        <item m="1" x="79"/>
        <item m="1" x="6941"/>
        <item m="1" x="6365"/>
        <item m="1" x="4808"/>
        <item m="1" x="4821"/>
        <item m="1" x="3728"/>
        <item m="1" x="3729"/>
        <item m="1" x="3571"/>
        <item m="1" x="3903"/>
        <item m="1" x="5954"/>
        <item m="1" x="7560"/>
        <item m="1" x="7085"/>
        <item m="1" x="3904"/>
        <item m="1" x="5955"/>
        <item m="1" x="7396"/>
        <item m="1" x="3458"/>
        <item m="1" x="5563"/>
        <item m="1" x="7538"/>
        <item m="1" x="3125"/>
        <item m="1" x="426"/>
        <item m="1" x="6060"/>
        <item m="1" x="1827"/>
        <item m="1" x="6451"/>
        <item m="1" x="2792"/>
        <item m="1" x="650"/>
        <item m="1" x="5669"/>
        <item m="1" x="140"/>
        <item m="1" x="4161"/>
        <item m="1" x="7298"/>
        <item m="1" x="3645"/>
        <item m="1" x="4482"/>
        <item m="1" x="3112"/>
        <item m="1" x="4178"/>
        <item m="1" x="5670"/>
        <item m="1" x="1883"/>
        <item m="1" x="6639"/>
        <item m="1" x="3070"/>
        <item m="1" x="7734"/>
        <item m="1" x="2763"/>
        <item m="1" x="2203"/>
        <item m="1" x="4831"/>
        <item m="1" x="6337"/>
        <item m="1" x="7203"/>
        <item m="1" x="3779"/>
        <item m="1" x="6341"/>
        <item m="1" x="6475"/>
        <item m="1" x="4689"/>
        <item m="1" x="4204"/>
        <item m="1" x="2253"/>
        <item m="1" x="4326"/>
        <item m="1" x="1102"/>
        <item m="1" x="3009"/>
        <item m="1" x="4690"/>
        <item m="1" x="7236"/>
        <item m="1" x="2984"/>
        <item m="1" x="7108"/>
        <item m="1" x="7855"/>
        <item m="1" x="7676"/>
        <item m="1" x="3666"/>
        <item m="1" x="6957"/>
        <item m="1" x="6934"/>
        <item m="1" x="7304"/>
        <item m="1" x="5747"/>
        <item m="1" x="1971"/>
        <item m="1" x="7572"/>
        <item m="1" x="760"/>
        <item m="1" x="6035"/>
        <item m="1" x="321"/>
        <item m="1" x="1972"/>
        <item m="1" x="6910"/>
        <item m="1" x="2775"/>
        <item m="1" x="1909"/>
        <item m="1" x="6292"/>
        <item m="1" x="3657"/>
        <item m="1" x="5341"/>
        <item m="1" x="6191"/>
        <item m="1" x="3185"/>
        <item m="1" x="1639"/>
        <item m="1" x="418"/>
        <item m="1" x="4935"/>
        <item m="1" x="6902"/>
        <item m="1" x="7556"/>
        <item m="1" x="7240"/>
        <item m="1" x="6915"/>
        <item m="1" x="4561"/>
        <item m="1" x="7109"/>
        <item m="1" x="991"/>
        <item m="1" x="6446"/>
        <item m="1" x="4403"/>
        <item m="1" x="2619"/>
        <item m="1" x="6399"/>
        <item m="1" x="3100"/>
        <item m="1" x="4867"/>
        <item m="1" x="4516"/>
        <item m="1" x="5194"/>
        <item m="1" x="73"/>
        <item m="1" x="7795"/>
        <item m="1" x="5786"/>
        <item m="1" x="7471"/>
        <item m="1" x="6795"/>
        <item m="1" x="7888"/>
        <item m="1" x="7563"/>
        <item m="1" x="4634"/>
        <item m="1" x="6809"/>
        <item m="1" x="1118"/>
        <item m="1" x="6354"/>
        <item m="1" x="6930"/>
        <item m="1" x="1409"/>
        <item m="1" x="5970"/>
        <item m="1" x="1052"/>
        <item m="1" x="6513"/>
        <item m="1" x="876"/>
        <item m="1" x="208"/>
        <item m="1" x="4952"/>
        <item m="1" x="6466"/>
        <item m="1" x="6467"/>
        <item m="1" x="7591"/>
        <item m="1" x="661"/>
        <item m="1" x="3920"/>
        <item m="1" x="1610"/>
        <item m="1" x="6361"/>
        <item m="1" x="145"/>
        <item m="1" x="1902"/>
        <item m="1" x="3760"/>
        <item m="1" x="6580"/>
        <item m="1" x="1443"/>
        <item m="1" x="4256"/>
        <item m="1" x="397"/>
        <item m="1" x="5667"/>
        <item m="1" x="7677"/>
        <item m="1" x="6338"/>
        <item m="1" x="6251"/>
        <item m="1" x="2229"/>
        <item m="1" x="2050"/>
        <item m="1" x="7030"/>
        <item m="1" x="605"/>
        <item m="1" x="6887"/>
        <item m="1" x="5176"/>
        <item m="1" x="5366"/>
        <item m="1" x="5569"/>
        <item m="1" x="6065"/>
        <item m="1" x="1927"/>
        <item m="1" x="5210"/>
        <item m="1" x="5891"/>
        <item m="1" x="3581"/>
        <item m="1" x="5797"/>
        <item m="1" x="4311"/>
        <item m="1" x="4795"/>
        <item m="1" x="779"/>
        <item m="1" x="5796"/>
        <item m="1" x="3016"/>
        <item m="1" x="162"/>
        <item m="1" x="7727"/>
        <item m="1" x="6119"/>
        <item m="1" x="357"/>
        <item m="1" x="5598"/>
        <item m="1" x="1798"/>
        <item m="1" x="5895"/>
        <item m="1" x="4609"/>
        <item m="1" x="1068"/>
        <item m="1" x="1079"/>
        <item m="1" x="2167"/>
        <item m="1" x="3256"/>
        <item m="1" x="7610"/>
        <item m="1" x="4061"/>
        <item m="1" x="6666"/>
        <item m="1" x="7629"/>
        <item m="1" x="3824"/>
        <item m="1" x="7367"/>
        <item m="1" x="6198"/>
        <item m="1" x="3519"/>
        <item m="1" x="4327"/>
        <item m="1" x="3277"/>
        <item m="1" x="726"/>
        <item m="1" x="754"/>
        <item m="1" x="5211"/>
        <item m="1" x="755"/>
        <item m="1" x="7305"/>
        <item m="1" x="1878"/>
        <item m="1" x="6388"/>
        <item m="1" x="4656"/>
        <item m="1" x="7162"/>
        <item m="1" x="7846"/>
        <item m="1" x="7125"/>
        <item m="1" x="5851"/>
        <item m="1" x="2473"/>
        <item m="1" x="4176"/>
        <item m="1" x="6704"/>
        <item m="1" x="7447"/>
        <item m="1" x="6213"/>
        <item m="1" x="5098"/>
        <item m="1" x="1884"/>
        <item m="1" x="5789"/>
        <item m="1" x="2416"/>
        <item m="1" x="6725"/>
        <item m="1" x="3720"/>
        <item m="1" x="7303"/>
        <item m="1" x="2300"/>
        <item m="1" x="3736"/>
        <item m="1" x="7968"/>
        <item m="1" x="3071"/>
        <item m="1" x="1111"/>
        <item m="1" x="289"/>
        <item m="1" x="2056"/>
        <item m="1" x="5579"/>
        <item m="1" x="1864"/>
        <item m="1" x="4017"/>
        <item m="1" x="7776"/>
        <item m="1" x="1721"/>
        <item m="1" x="144"/>
        <item m="1" x="4472"/>
        <item m="1" x="5773"/>
        <item m="1" x="2063"/>
        <item m="1" x="4320"/>
        <item m="1" x="6555"/>
        <item m="1" x="2979"/>
        <item m="1" x="4738"/>
        <item m="1" x="268"/>
        <item m="1" x="431"/>
        <item m="1" x="4137"/>
        <item m="1" x="342"/>
        <item m="1" x="6483"/>
        <item m="1" x="1332"/>
        <item m="1" x="7827"/>
        <item m="1" x="3646"/>
        <item m="1" x="6785"/>
        <item m="1" x="2154"/>
        <item m="1" x="4301"/>
        <item m="1" x="7820"/>
        <item m="1" x="1848"/>
        <item m="1" x="7105"/>
        <item m="1" x="579"/>
        <item m="1" x="2537"/>
        <item m="1" x="2431"/>
        <item m="1" x="6487"/>
        <item m="1" x="3492"/>
        <item m="1" x="7515"/>
        <item m="1" x="2938"/>
        <item m="1" x="385"/>
        <item m="1" x="3860"/>
        <item m="1" x="3866"/>
        <item m="1" x="3708"/>
        <item m="1" x="7760"/>
        <item m="1" x="4159"/>
        <item m="1" x="875"/>
        <item m="1" x="6572"/>
        <item m="1" x="4920"/>
        <item m="1" x="6644"/>
        <item m="1" x="6885"/>
        <item m="1" x="3424"/>
        <item m="1" x="4035"/>
        <item m="1" x="1957"/>
        <item m="1" x="5548"/>
        <item m="1" x="4123"/>
        <item m="1" x="7637"/>
        <item m="1" x="5591"/>
        <item m="1" x="7984"/>
        <item m="1" x="592"/>
        <item m="1" x="4294"/>
        <item m="1" x="7679"/>
        <item m="1" x="7425"/>
        <item m="1" x="2299"/>
        <item m="1" x="3417"/>
        <item m="1" x="6721"/>
        <item m="1" x="4726"/>
        <item m="1" x="3655"/>
        <item m="1" x="3505"/>
        <item m="1" x="3656"/>
        <item m="1" x="5986"/>
        <item m="1" x="2923"/>
        <item m="1" x="4410"/>
        <item m="1" x="3485"/>
        <item m="1" x="2174"/>
        <item m="1" x="6751"/>
        <item m="1" x="839"/>
        <item m="1" x="2180"/>
        <item m="1" x="1956"/>
        <item m="1" x="2386"/>
        <item m="1" x="70"/>
        <item m="1" x="6827"/>
        <item m="1" x="4334"/>
        <item m="1" x="2055"/>
        <item m="1" x="5944"/>
        <item m="1" x="7979"/>
        <item m="1" x="2926"/>
        <item m="1" x="2646"/>
        <item m="1" x="6012"/>
        <item m="1" x="4566"/>
        <item m="1" x="4091"/>
        <item m="1" x="3281"/>
        <item m="1" x="5793"/>
        <item m="1" x="3105"/>
        <item m="1" x="2359"/>
        <item m="1" x="644"/>
        <item m="1" x="6772"/>
        <item m="1" x="5751"/>
        <item m="1" x="2796"/>
        <item m="1" x="6862"/>
        <item m="1" x="4706"/>
        <item m="1" x="7929"/>
        <item m="1" x="6007"/>
        <item m="1" x="4039"/>
        <item m="1" x="6965"/>
        <item m="1" x="1059"/>
        <item m="1" x="5945"/>
        <item m="1" x="1061"/>
        <item m="1" x="7268"/>
        <item m="1" x="1608"/>
        <item m="1" x="3326"/>
        <item m="1" x="3019"/>
        <item m="1" x="1705"/>
        <item m="1" x="7365"/>
        <item m="1" x="4914"/>
        <item m="1" x="5290"/>
        <item m="1" x="1382"/>
        <item m="1" x="474"/>
        <item m="1" x="442"/>
        <item m="1" x="1865"/>
        <item m="1" x="6855"/>
        <item m="1" x="5244"/>
        <item m="1" x="5312"/>
        <item m="1" x="6875"/>
        <item m="1" x="2412"/>
        <item m="1" x="3126"/>
        <item m="1" x="1591"/>
        <item m="1" x="7710"/>
        <item m="1" x="121"/>
        <item m="1" x="3029"/>
        <item m="1" x="4986"/>
        <item m="1" x="4225"/>
        <item m="1" x="2589"/>
        <item m="1" x="809"/>
        <item m="1" x="1844"/>
        <item m="1" x="3777"/>
        <item m="1" x="361"/>
        <item m="1" x="247"/>
        <item m="1" x="3373"/>
        <item m="1" x="490"/>
        <item m="1" x="6432"/>
        <item m="1" x="5361"/>
        <item m="1" x="3005"/>
        <item m="1" x="5795"/>
        <item m="1" x="6691"/>
        <item m="1" x="4019"/>
        <item m="1" x="4261"/>
        <item m="1" x="1841"/>
        <item m="1" x="4113"/>
        <item m="1" x="4984"/>
        <item m="1" x="1811"/>
        <item m="1" x="7911"/>
        <item m="1" x="5900"/>
        <item m="1" x="4979"/>
        <item m="1" x="3248"/>
        <item m="1" x="813"/>
        <item m="1" x="2381"/>
        <item m="1" x="5326"/>
        <item m="1" x="3316"/>
        <item m="1" x="4473"/>
        <item m="1" x="2912"/>
        <item m="1" x="6295"/>
        <item m="1" x="1739"/>
        <item m="1" x="6797"/>
        <item m="1" x="2065"/>
        <item m="1" x="1967"/>
        <item m="1" x="2680"/>
        <item m="1" x="7489"/>
        <item m="1" x="6465"/>
        <item m="1" x="1136"/>
        <item m="1" x="1358"/>
        <item m="1" x="3240"/>
        <item m="1" x="3783"/>
        <item m="1" x="6664"/>
        <item m="1" x="7680"/>
        <item m="1" x="3737"/>
        <item m="1" x="4619"/>
        <item m="1" x="1769"/>
        <item m="1" x="3333"/>
        <item m="1" x="4806"/>
        <item m="1" x="1964"/>
        <item m="1" x="1279"/>
        <item m="1" x="2800"/>
        <item m="1" x="3870"/>
        <item m="1" x="2683"/>
        <item m="1" x="5488"/>
        <item m="1" x="3761"/>
        <item m="1" x="2488"/>
        <item m="1" x="6005"/>
        <item m="1" x="6426"/>
        <item m="1" x="6427"/>
        <item m="1" x="2907"/>
        <item m="1" x="2584"/>
        <item m="1" x="6401"/>
        <item m="1" x="505"/>
        <item m="1" x="1722"/>
        <item m="1" x="5585"/>
        <item m="1" x="6744"/>
        <item m="1" x="2243"/>
        <item m="1" x="2859"/>
        <item m="1" x="1097"/>
        <item m="1" x="5374"/>
        <item m="1" x="608"/>
        <item m="1" x="5385"/>
        <item m="1" x="5087"/>
        <item m="1" x="4067"/>
        <item m="1" x="961"/>
        <item m="1" x="3734"/>
        <item m="1" x="5762"/>
        <item m="1" x="5355"/>
        <item m="1" x="4345"/>
        <item m="1" x="2852"/>
        <item m="1" x="3555"/>
        <item m="1" x="5507"/>
        <item m="1" x="7898"/>
        <item m="1" x="6473"/>
        <item m="1" x="282"/>
        <item m="1" x="1348"/>
        <item m="1" x="6205"/>
        <item m="1" x="7411"/>
        <item m="1" x="2963"/>
        <item m="1" x="7121"/>
        <item m="1" x="5677"/>
        <item m="1" x="936"/>
        <item m="1" x="7627"/>
        <item m="1" x="369"/>
        <item m="1" x="7684"/>
        <item m="1" x="5029"/>
        <item m="1" x="4885"/>
        <item m="1" x="1945"/>
        <item m="1" x="7158"/>
        <item m="1" x="4251"/>
        <item m="1" x="458"/>
        <item m="1" x="3196"/>
        <item m="1" x="4351"/>
        <item m="1" x="7092"/>
        <item m="1" x="4606"/>
        <item m="1" x="4967"/>
        <item m="1" x="1292"/>
        <item m="1" x="3612"/>
        <item m="1" x="718"/>
        <item m="1" x="3226"/>
        <item m="1" x="1476"/>
        <item m="1" x="5497"/>
        <item m="1" x="3643"/>
        <item m="1" x="3110"/>
        <item m="1" x="2432"/>
        <item m="1" x="332"/>
        <item m="1" x="3979"/>
        <item m="1" x="2108"/>
        <item m="1" x="4092"/>
        <item m="1" x="5769"/>
        <item m="1" x="6717"/>
        <item m="1" x="131"/>
        <item m="1" x="6640"/>
        <item m="1" x="5521"/>
        <item m="1" x="2504"/>
        <item m="1" x="5730"/>
        <item m="1" x="535"/>
        <item m="1" x="2193"/>
        <item m="1" x="3763"/>
        <item m="1" x="4321"/>
        <item m="1" x="1150"/>
        <item m="1" x="2029"/>
        <item m="1" x="4291"/>
        <item m="1" x="7423"/>
        <item m="1" x="7946"/>
        <item m="1" x="244"/>
        <item m="1" x="261"/>
        <item m="1" x="6645"/>
        <item m="1" x="2353"/>
        <item m="1" x="6362"/>
        <item m="1" x="2190"/>
        <item m="1" x="6093"/>
        <item m="1" x="6843"/>
        <item m="1" x="4023"/>
        <item m="1" x="3613"/>
        <item m="1" x="3583"/>
        <item m="1" x="3436"/>
        <item m="1" x="1045"/>
        <item m="1" x="5131"/>
        <item m="1" x="4600"/>
        <item m="1" x="5971"/>
        <item m="1" x="2066"/>
        <item m="1" x="1362"/>
        <item m="1" x="7918"/>
        <item m="1" x="4436"/>
        <item m="1" x="3871"/>
        <item m="1" x="3585"/>
        <item m="1" x="1016"/>
        <item m="1" x="7777"/>
        <item m="1" x="7248"/>
        <item m="1" x="524"/>
        <item m="1" x="4536"/>
        <item m="1" x="7093"/>
        <item m="1" x="4871"/>
        <item m="1" x="3994"/>
        <item m="1" x="2621"/>
        <item m="1" x="315"/>
        <item m="1" x="478"/>
        <item m="1" x="6641"/>
        <item m="1" x="381"/>
        <item m="1" x="308"/>
        <item m="1" x="4660"/>
        <item m="1" x="2593"/>
        <item m="1" x="459"/>
        <item m="1" x="2942"/>
        <item m="1" x="7322"/>
        <item m="1" x="5339"/>
        <item m="1" x="6494"/>
        <item m="1" x="7663"/>
        <item m="1" x="870"/>
        <item m="1" x="5184"/>
        <item m="1" x="1152"/>
        <item m="1" x="6481"/>
        <item m="1" x="6507"/>
        <item m="1" x="6471"/>
        <item m="1" x="6598"/>
        <item m="1" x="6277"/>
        <item m="1" x="6364"/>
        <item m="1" x="6057"/>
        <item m="1" x="6612"/>
        <item m="1" x="4384"/>
        <item m="1" x="5434"/>
        <item m="1" x="4258"/>
        <item m="1" x="6229"/>
        <item m="1" x="1356"/>
        <item m="1" x="6089"/>
        <item m="1" x="3037"/>
        <item m="1" x="1853"/>
        <item m="1" x="331"/>
        <item m="1" x="5506"/>
        <item m="1" x="568"/>
        <item m="1" x="7496"/>
        <item m="1" x="515"/>
        <item m="1" x="1876"/>
        <item m="1" x="6845"/>
        <item m="1" x="5820"/>
        <item m="1" x="5985"/>
        <item m="1" x="4393"/>
        <item m="1" x="4450"/>
        <item m="1" x="4211"/>
        <item m="1" x="4635"/>
        <item m="1" x="4162"/>
        <item m="1" x="7902"/>
        <item m="1" x="1350"/>
        <item m="1" x="6605"/>
        <item m="1" x="7500"/>
        <item m="1" x="6524"/>
        <item m="1" x="2489"/>
        <item m="1" x="3533"/>
        <item m="1" x="7289"/>
        <item m="1" x="5737"/>
        <item m="1" x="1307"/>
        <item m="1" x="3946"/>
        <item m="1" x="5180"/>
        <item m="1" x="1898"/>
        <item m="1" x="3305"/>
        <item m="1" x="975"/>
        <item m="1" x="4405"/>
        <item m="1" x="6974"/>
        <item m="1" x="6686"/>
        <item m="1" x="1457"/>
        <item m="1" x="7743"/>
        <item m="1" x="1259"/>
        <item m="1" x="3550"/>
        <item m="1" x="5574"/>
        <item m="1" x="6013"/>
        <item m="1" x="3390"/>
        <item m="1" x="2827"/>
        <item m="1" x="2163"/>
        <item m="1" x="3382"/>
        <item m="1" x="3122"/>
        <item m="1" x="5984"/>
        <item m="1" x="336"/>
        <item m="1" x="251"/>
        <item m="1" x="1645"/>
        <item m="1" x="4701"/>
        <item m="1" x="3257"/>
        <item m="1" x="539"/>
        <item m="1" x="4868"/>
        <item m="1" x="2569"/>
        <item m="1" x="7187"/>
        <item m="1" x="7241"/>
        <item m="1" x="2118"/>
        <item m="1" x="150"/>
        <item m="1" x="5254"/>
        <item m="1" x="2200"/>
        <item m="1" x="1732"/>
        <item m="1" x="5444"/>
        <item m="1" x="3629"/>
        <item m="1" x="4844"/>
        <item m="1" x="2057"/>
        <item m="1" x="4322"/>
        <item m="1" x="2518"/>
        <item m="1" x="4346"/>
        <item m="1" x="5447"/>
        <item m="1" x="5855"/>
        <item m="1" x="4411"/>
        <item m="1" x="6773"/>
        <item m="1" x="6569"/>
        <item m="1" x="2374"/>
        <item m="1" x="6904"/>
        <item m="1" x="6842"/>
        <item m="1" x="7293"/>
        <item m="1" x="6603"/>
        <item m="1" x="1394"/>
        <item m="1" x="7654"/>
        <item m="1" x="7520"/>
        <item m="1" x="6053"/>
        <item m="1" x="5549"/>
        <item m="1" x="4412"/>
        <item m="1" x="1074"/>
        <item m="1" x="7026"/>
        <item m="1" x="5765"/>
        <item m="1" x="5708"/>
        <item m="1" x="1709"/>
        <item m="1" x="90"/>
        <item m="1" x="454"/>
        <item m="1" x="6156"/>
        <item m="1" x="5693"/>
        <item m="1" x="5057"/>
        <item m="1" x="5257"/>
        <item m="1" x="3144"/>
        <item m="1" x="3040"/>
        <item m="1" x="6786"/>
        <item m="1" x="7263"/>
        <item m="1" x="1687"/>
        <item m="1" x="3413"/>
        <item m="1" x="3143"/>
        <item m="1" x="6413"/>
        <item m="1" x="2622"/>
        <item m="1" x="1748"/>
        <item m="1" x="4253"/>
        <item m="1" x="398"/>
        <item m="1" x="2611"/>
        <item m="1" x="1949"/>
        <item m="1" x="976"/>
        <item m="1" x="3604"/>
        <item m="1" x="7448"/>
        <item m="1" x="4296"/>
        <item m="1" x="3520"/>
        <item m="1" x="4127"/>
        <item m="1" x="4907"/>
        <item m="1" x="3861"/>
        <item m="1" x="3408"/>
        <item m="1" x="4562"/>
        <item m="1" x="5678"/>
        <item m="1" x="2934"/>
        <item m="1" x="5691"/>
        <item m="1" x="7993"/>
        <item m="1" x="5277"/>
        <item m="1" x="1904"/>
        <item m="1" x="4489"/>
        <item m="1" x="2088"/>
        <item m="1" x="3917"/>
        <item m="1" x="4037"/>
        <item m="1" x="164"/>
        <item m="1" x="4426"/>
        <item m="1" x="1631"/>
        <item m="1" x="3334"/>
        <item m="1" x="6025"/>
        <item m="1" x="506"/>
        <item m="1" x="6232"/>
        <item m="1" x="4388"/>
        <item m="1" x="4389"/>
        <item m="1" x="4128"/>
        <item m="1" x="1308"/>
        <item m="1" x="768"/>
        <item m="1" x="5815"/>
        <item m="1" x="888"/>
        <item m="1" x="511"/>
        <item m="1" x="4809"/>
        <item m="1" x="4810"/>
        <item m="1" x="4580"/>
        <item m="1" x="4530"/>
        <item m="1" x="2812"/>
        <item m="1" x="6740"/>
        <item m="1" x="6741"/>
        <item m="1" x="2458"/>
        <item m="1" x="4671"/>
        <item m="1" x="1053"/>
        <item m="1" x="2030"/>
        <item m="1" x="1164"/>
        <item m="1" x="6594"/>
        <item m="1" x="3572"/>
        <item m="1" x="3964"/>
        <item m="1" x="1158"/>
        <item m="1" x="3498"/>
        <item m="1" x="3564"/>
        <item m="1" x="4422"/>
        <item m="1" x="7640"/>
        <item m="1" x="2061"/>
        <item m="1" x="5114"/>
        <item m="1" x="7046"/>
        <item m="1" x="1210"/>
        <item m="1" x="808"/>
        <item m="1" x="3290"/>
        <item m="1" x="4652"/>
        <item m="1" x="3827"/>
        <item m="1" x="3894"/>
        <item m="1" x="6233"/>
        <item m="1" x="3673"/>
        <item m="1" x="7035"/>
        <item m="1" x="2976"/>
        <item m="1" x="7378"/>
        <item m="1" x="7233"/>
        <item m="1" x="3132"/>
        <item m="1" x="3514"/>
        <item m="1" x="7702"/>
        <item m="1" x="3152"/>
        <item m="1" x="6581"/>
        <item m="1" x="3261"/>
        <item m="1" x="730"/>
        <item m="1" x="530"/>
        <item m="1" x="7308"/>
        <item m="1" x="2627"/>
        <item m="1" x="7528"/>
        <item m="1" x="1632"/>
        <item m="1" x="628"/>
        <item m="1" x="6792"/>
        <item m="1" x="5818"/>
        <item m="1" x="6324"/>
        <item m="1" x="7856"/>
        <item m="1" x="1984"/>
        <item m="1" x="4183"/>
        <item m="1" x="4195"/>
        <item m="1" x="4846"/>
        <item m="1" x="3085"/>
        <item m="1" x="7115"/>
        <item m="1" x="6648"/>
        <item m="1" x="6094"/>
        <item m="1" x="1692"/>
        <item m="1" x="1143"/>
        <item m="1" x="4863"/>
        <item m="1" x="2583"/>
        <item m="1" x="4932"/>
        <item m="1" x="3698"/>
        <item m="1" x="1928"/>
        <item m="1" x="7424"/>
        <item m="1" x="1093"/>
        <item m="1" x="5107"/>
        <item m="1" x="3415"/>
        <item m="1" x="5988"/>
        <item m="1" x="5625"/>
        <item m="1" x="5099"/>
        <item m="1" x="2779"/>
        <item m="1" x="304"/>
        <item m="1" x="3902"/>
        <item m="1" x="6705"/>
        <item m="1" x="4657"/>
        <item m="1" x="5490"/>
        <item m="1" x="6870"/>
        <item m="1" x="7469"/>
        <item m="1" x="5225"/>
        <item m="1" x="3093"/>
        <item m="1" x="6179"/>
        <item m="1" x="4227"/>
        <item m="1" x="7410"/>
        <item m="1" x="599"/>
        <item m="1" x="5802"/>
        <item m="1" x="1489"/>
        <item m="1" x="1794"/>
        <item m="1" x="1727"/>
        <item m="1" x="2271"/>
        <item m="1" x="3015"/>
        <item m="1" x="3074"/>
        <item m="1" x="6468"/>
        <item m="1" x="2916"/>
        <item m="1" x="6921"/>
        <item m="1" x="1167"/>
        <item m="1" x="2288"/>
        <item m="1" x="7405"/>
        <item m="1" x="1657"/>
        <item m="1" x="3541"/>
        <item m="1" x="6637"/>
        <item m="1" x="6884"/>
        <item m="1" x="6112"/>
        <item m="1" x="5262"/>
        <item m="1" x="7175"/>
        <item m="1" x="1381"/>
        <item m="1" x="3452"/>
        <item m="1" x="6788"/>
        <item m="1" x="3934"/>
        <item m="1" x="7211"/>
        <item m="1" x="4908"/>
        <item m="1" x="1736"/>
        <item m="1" x="4332"/>
        <item m="1" x="3787"/>
        <item m="1" x="383"/>
        <item m="1" x="7080"/>
        <item m="1" x="5150"/>
        <item m="1" x="2638"/>
        <item m="1" x="4933"/>
        <item m="1" x="7003"/>
        <item m="1" x="4994"/>
        <item m="1" x="1274"/>
        <item m="1" x="7312"/>
        <item m="1" x="5100"/>
        <item m="1" x="1514"/>
        <item m="1" x="1224"/>
        <item m="1" x="7051"/>
        <item m="1" x="5370"/>
        <item m="1" x="5382"/>
        <item m="1" x="1453"/>
        <item m="1" x="7732"/>
        <item m="1" x="1306"/>
        <item m="1" x="7225"/>
        <item m="1" x="3699"/>
        <item m="1" x="6442"/>
        <item m="1" x="6329"/>
        <item m="1" x="6440"/>
        <item m="1" x="3038"/>
        <item m="1" x="4965"/>
        <item m="1" x="1341"/>
        <item m="1" x="6088"/>
        <item m="1" x="3409"/>
        <item m="1" x="684"/>
        <item m="1" x="542"/>
        <item m="1" x="7832"/>
        <item m="1" x="7833"/>
        <item m="1" x="5226"/>
        <item m="1" x="872"/>
        <item m="1" x="6098"/>
        <item m="1" x="7127"/>
        <item m="1" x="5748"/>
        <item m="1" x="4615"/>
        <item m="1" x="545"/>
        <item m="1" x="7665"/>
        <item m="1" x="161"/>
        <item m="1" x="7196"/>
        <item m="1" x="873"/>
        <item m="1" x="4165"/>
        <item m="1" x="5901"/>
        <item m="1" x="5739"/>
        <item m="1" x="5331"/>
        <item m="1" x="7819"/>
        <item m="1" x="7146"/>
        <item m="1" x="2797"/>
        <item m="1" x="2119"/>
        <item m="1" x="2120"/>
        <item m="1" x="2121"/>
        <item m="1" x="4974"/>
        <item m="1" x="6943"/>
        <item m="1" x="2067"/>
        <item m="1" x="7445"/>
        <item m="1" x="6030"/>
        <item m="1" x="3164"/>
        <item m="1" x="2282"/>
        <item m="1" x="2076"/>
        <item m="1" x="5858"/>
        <item m="1" x="3489"/>
        <item m="1" x="6031"/>
        <item m="1" x="7841"/>
        <item m="1" x="2268"/>
        <item m="1" x="544"/>
        <item m="1" x="6044"/>
        <item m="1" x="2340"/>
        <item m="1" x="4005"/>
        <item m="1" x="1411"/>
        <item m="1" x="5996"/>
        <item m="1" x="5648"/>
        <item m="1" x="4084"/>
        <item m="1" x="6679"/>
        <item m="1" x="4357"/>
        <item m="1" x="470"/>
        <item m="1" x="5520"/>
        <item m="1" x="4931"/>
        <item m="1" x="6103"/>
        <item m="1" x="6752"/>
        <item m="1" x="3940"/>
        <item m="1" x="4069"/>
        <item m="1" x="4817"/>
        <item m="1" x="1730"/>
        <item m="1" x="7388"/>
        <item m="1" x="4217"/>
        <item m="1" x="3366"/>
        <item m="1" x="3864"/>
        <item m="1" x="2745"/>
        <item m="1" x="2767"/>
        <item m="1" x="3472"/>
        <item m="1" x="5673"/>
        <item m="1" x="5783"/>
        <item m="1" x="5694"/>
        <item m="1" x="126"/>
        <item m="1" x="1771"/>
        <item m="1" x="1352"/>
        <item m="1" x="5185"/>
        <item m="1" x="7402"/>
        <item m="1" x="2276"/>
        <item m="1" x="1519"/>
        <item m="1" x="5896"/>
        <item m="1" x="1495"/>
        <item m="1" x="7845"/>
        <item m="1" x="1295"/>
        <item m="1" x="4777"/>
        <item m="1" x="7951"/>
        <item m="1" x="4892"/>
        <item m="1" x="7129"/>
        <item m="1" x="5402"/>
        <item m="1" x="1395"/>
        <item m="1" x="4185"/>
        <item m="1" x="3380"/>
        <item m="1" x="5430"/>
        <item m="1" x="6188"/>
        <item m="1" x="2303"/>
        <item m="1" x="4627"/>
        <item m="1" x="531"/>
        <item m="1" x="4230"/>
        <item m="1" x="2733"/>
        <item m="1" x="843"/>
        <item m="1" x="2016"/>
        <item m="1" x="5938"/>
        <item m="1" x="389"/>
        <item m="1" x="4328"/>
        <item m="1" x="3674"/>
        <item m="1" x="7065"/>
        <item m="1" x="455"/>
        <item m="1" x="4800"/>
        <item m="1" x="3391"/>
        <item m="1" x="5903"/>
        <item m="1" x="3644"/>
        <item m="1" x="1644"/>
        <item m="1" x="7207"/>
        <item m="1" x="212"/>
        <item m="1" x="4684"/>
        <item m="1" x="7454"/>
        <item m="1" x="1580"/>
        <item m="1" x="6226"/>
        <item m="1" x="4350"/>
        <item m="1" x="6168"/>
        <item m="1" x="734"/>
        <item m="1" x="7295"/>
        <item m="1" x="286"/>
        <item m="1" x="2104"/>
        <item m="1" x="6653"/>
        <item m="1" x="7849"/>
        <item m="1" x="5910"/>
        <item m="1" x="3068"/>
        <item m="1" x="2744"/>
        <item m="1" x="7383"/>
        <item m="1" x="3115"/>
        <item m="1" x="6631"/>
        <item m="1" x="7554"/>
        <item m="1" x="5616"/>
        <item m="1" x="5034"/>
        <item m="1" x="2768"/>
        <item m="1" x="1867"/>
        <item m="1" x="6310"/>
        <item m="1" x="7858"/>
        <item m="1" x="5511"/>
        <item m="1" x="2348"/>
        <item m="1" x="7434"/>
        <item m="1" x="2219"/>
        <item m="1" x="5465"/>
        <item m="1" x="4623"/>
        <item m="1" x="1600"/>
        <item m="1" x="7455"/>
        <item m="1" x="2512"/>
        <item m="1" x="1510"/>
        <item m="1" x="7066"/>
        <item m="1" x="2141"/>
        <item m="1" x="1123"/>
        <item m="1" x="1995"/>
        <item m="1" x="5276"/>
        <item m="1" x="3157"/>
        <item m="1" x="4325"/>
        <item m="1" x="4730"/>
        <item m="1" x="7790"/>
        <item m="1" x="5868"/>
        <item m="1" x="1057"/>
        <item m="1" x="2927"/>
        <item m="1" x="4148"/>
        <item m="1" x="3437"/>
        <item m="1" x="2590"/>
        <item m="1" x="5564"/>
        <item m="1" x="7693"/>
        <item m="1" x="1113"/>
        <item m="1" x="1039"/>
        <item m="1" x="3978"/>
        <item m="1" x="5090"/>
        <item m="1" x="5295"/>
        <item m="1" x="6508"/>
        <item m="1" x="6100"/>
        <item m="1" x="301"/>
        <item m="1" x="3321"/>
        <item m="1" x="7963"/>
        <item m="1" x="1342"/>
        <item m="1" x="3875"/>
        <item m="1" x="1160"/>
        <item m="1" x="89"/>
        <item m="1" x="4869"/>
        <item m="1" x="256"/>
        <item m="1" x="2697"/>
        <item m="1" x="2117"/>
        <item m="1" x="953"/>
        <item m="1" x="7588"/>
        <item m="1" x="6668"/>
        <item m="1" x="4922"/>
        <item m="1" x="254"/>
        <item m="1" x="1032"/>
        <item m="1" x="4847"/>
        <item m="1" x="270"/>
        <item m="1" x="5943"/>
        <item m="1" x="6430"/>
        <item m="1" x="860"/>
        <item m="1" x="2691"/>
        <item m="1" x="3802"/>
        <item m="1" x="5298"/>
        <item m="1" x="2673"/>
        <item m="1" x="1169"/>
        <item m="1" x="3833"/>
        <item m="1" x="3817"/>
        <item m="1" x="4241"/>
        <item m="1" x="2978"/>
        <item m="1" x="687"/>
        <item m="1" x="2126"/>
        <item m="1" x="4735"/>
        <item m="1" x="7694"/>
        <item m="1" x="6330"/>
        <item m="1" x="1304"/>
        <item m="1" x="3534"/>
        <item m="1" x="2819"/>
        <item m="1" x="6958"/>
        <item m="1" x="977"/>
        <item m="1" x="1245"/>
        <item m="1" x="5600"/>
        <item m="1" x="6865"/>
        <item m="1" x="769"/>
        <item m="1" x="2218"/>
        <item m="1" x="7151"/>
        <item m="1" x="3730"/>
        <item m="1" x="2527"/>
        <item m="1" x="1232"/>
        <item m="1" x="2170"/>
        <item m="1" x="6847"/>
        <item m="1" x="6245"/>
        <item m="1" x="5503"/>
        <item m="1" x="3411"/>
        <item m="1" x="5171"/>
        <item m="1" x="4676"/>
        <item m="1" x="4614"/>
        <item m="1" x="1148"/>
        <item m="1" x="299"/>
        <item m="1" x="142"/>
        <item m="1" x="3929"/>
        <item m="1" x="3847"/>
        <item m="1" x="226"/>
        <item m="1" x="6774"/>
        <item m="1" x="4829"/>
        <item m="1" x="5299"/>
        <item m="1" x="3925"/>
        <item m="1" x="3933"/>
        <item m="1" x="2060"/>
        <item m="1" x="1607"/>
        <item m="1" x="626"/>
        <item m="1" x="1482"/>
        <item m="1" x="5212"/>
        <item m="1" x="3468"/>
        <item m="1" x="6039"/>
        <item m="1" x="858"/>
        <item m="1" x="5245"/>
        <item m="1" x="2292"/>
        <item m="1" x="5763"/>
        <item m="1" x="5697"/>
        <item m="1" x="3647"/>
        <item m="1" x="4732"/>
        <item m="1" x="1477"/>
        <item m="1" x="5246"/>
        <item m="1" x="3793"/>
        <item m="1" x="3349"/>
        <item m="1" x="3718"/>
        <item m="1" x="3335"/>
        <item m="1" x="5120"/>
        <item m="1" x="3203"/>
        <item m="1" x="5701"/>
        <item m="1" x="3031"/>
        <item m="1" x="6143"/>
        <item m="1" x="821"/>
        <item m="1" x="6549"/>
        <item m="1" x="3434"/>
        <item m="1" x="2548"/>
        <item m="1" x="7513"/>
        <item m="1" x="4116"/>
        <item m="1" x="2998"/>
        <item m="1" x="5652"/>
        <item m="1" x="7272"/>
        <item m="1" x="1040"/>
        <item m="1" x="2100"/>
        <item m="1" x="3980"/>
        <item m="1" x="1716"/>
        <item m="1" x="6155"/>
        <item m="1" x="1289"/>
        <item m="1" x="6541"/>
        <item m="1" x="5264"/>
        <item m="1" x="708"/>
        <item m="1" x="5578"/>
        <item m="1" x="897"/>
        <item m="1" x="3258"/>
        <item m="1" x="3407"/>
        <item m="1" x="6593"/>
        <item m="1" x="3486"/>
        <item m="1" x="3133"/>
        <item m="1" x="5742"/>
        <item m="1" x="6058"/>
        <item m="1" x="3275"/>
        <item m="1" x="2838"/>
        <item m="1" x="3224"/>
        <item m="1" x="2901"/>
        <item m="1" x="2630"/>
        <item m="1" x="1353"/>
        <item m="1" x="3955"/>
        <item m="1" x="1856"/>
        <item m="1" x="822"/>
        <item m="1" x="7324"/>
        <item m="1" x="3813"/>
        <item m="1" x="6406"/>
        <item m="1" x="1214"/>
        <item m="1" x="186"/>
        <item m="1" x="6544"/>
        <item m="1" x="5206"/>
        <item m="1" x="2204"/>
        <item m="1" x="2873"/>
        <item m="1" x="2375"/>
        <item m="1" x="4909"/>
        <item m="1" x="3712"/>
        <item m="1" x="1818"/>
        <item m="1" x="1254"/>
        <item m="1" x="1837"/>
        <item m="1" x="7119"/>
        <item m="1" x="7630"/>
        <item m="1" x="4492"/>
        <item m="1" x="7769"/>
        <item m="1" x="7957"/>
        <item m="1" x="5192"/>
        <item m="1" x="2434"/>
        <item m="1" x="4467"/>
        <item m="1" x="3981"/>
        <item m="1" x="7623"/>
        <item m="1" x="7020"/>
        <item m="1" x="1540"/>
        <item m="1" x="6908"/>
        <item m="1" x="6742"/>
        <item m="1" x="7529"/>
        <item m="1" x="5604"/>
        <item m="1" x="7156"/>
        <item m="1" x="6022"/>
        <item m="1" x="5164"/>
        <item m="1" x="4799"/>
        <item m="1" x="7852"/>
        <item m="1" x="7990"/>
        <item m="1" x="1459"/>
        <item m="1" x="2322"/>
        <item m="1" x="7442"/>
        <item m="1" x="2045"/>
        <item m="1" x="2344"/>
        <item m="1" x="6500"/>
        <item m="1" x="5524"/>
        <item m="1" x="5471"/>
        <item m="1" x="2158"/>
        <item m="1" x="3180"/>
        <item m="1" x="6562"/>
        <item m="1" x="7938"/>
        <item m="1" x="1617"/>
        <item m="1" x="4103"/>
        <item m="1" x="3170"/>
        <item m="1" x="3200"/>
        <item m="1" x="1621"/>
        <item m="1" x="6661"/>
        <item m="1" x="1263"/>
        <item m="1" x="5508"/>
        <item m="1" x="2704"/>
        <item m="1" x="6932"/>
        <item m="1" x="7624"/>
        <item m="1" x="3010"/>
        <item m="1" x="2668"/>
        <item m="1" x="4616"/>
        <item m="1" x="4949"/>
        <item m="1" x="4960"/>
        <item m="1" x="6070"/>
        <item m="1" x="2831"/>
        <item m="1" x="4381"/>
        <item m="1" x="258"/>
        <item m="1" x="5457"/>
        <item m="1" x="4317"/>
        <item m="1" x="525"/>
        <item m="1" x="3238"/>
        <item m="1" x="1941"/>
        <item m="1" x="3445"/>
        <item m="1" x="7664"/>
        <item m="1" x="7306"/>
        <item m="1" x="5676"/>
        <item m="1" x="4910"/>
        <item m="1" x="7578"/>
        <item m="1" x="6546"/>
        <item m="1" x="2269"/>
        <item m="1" x="214"/>
        <item m="1" x="7831"/>
        <item m="1" x="215"/>
        <item m="1" x="7930"/>
        <item m="1" x="3908"/>
        <item m="1" x="4887"/>
        <item m="1" x="5717"/>
        <item m="1" x="91"/>
        <item m="1" x="3679"/>
        <item m="1" x="4911"/>
        <item m="1" x="2513"/>
        <item m="1" x="7399"/>
        <item m="1" x="149"/>
        <item m="1" x="5892"/>
        <item m="1" x="1573"/>
        <item m="1" x="3859"/>
        <item m="1" x="6301"/>
        <item m="1" x="399"/>
        <item m="1" x="7512"/>
        <item m="1" x="5320"/>
        <item m="1" x="7457"/>
        <item m="1" x="3775"/>
        <item m="1" x="645"/>
        <item m="1" x="4021"/>
        <item m="1" x="1643"/>
        <item m="1" x="7451"/>
        <item m="1" x="2408"/>
        <item m="1" x="2289"/>
        <item m="1" x="407"/>
        <item m="1" x="2259"/>
        <item m="1" x="153"/>
        <item m="1" x="3167"/>
        <item m="1" x="5217"/>
        <item m="1" x="788"/>
        <item m="1" x="2871"/>
        <item m="1" x="5864"/>
        <item m="1" x="4313"/>
        <item m="1" x="4761"/>
        <item m="1" x="6836"/>
        <item m="1" x="2532"/>
        <item m="1" x="1613"/>
        <item m="1" x="1996"/>
        <item m="1" x="2684"/>
        <item m="1" x="4936"/>
        <item m="1" x="7287"/>
        <item m="1" x="1899"/>
        <item m="1" x="5203"/>
        <item m="1" x="2534"/>
        <item m="1" x="871"/>
        <item m="1" x="1137"/>
        <item m="1" x="2115"/>
        <item m="1" x="4649"/>
        <item m="1" x="3528"/>
        <item m="1" x="5596"/>
        <item m="1" x="5597"/>
        <item m="1" x="3958"/>
        <item m="1" x="1752"/>
        <item m="1" x="2283"/>
        <item m="1" x="5358"/>
        <item m="1" x="309"/>
        <item m="1" x="3959"/>
        <item m="1" x="4443"/>
        <item m="1" x="3950"/>
        <item m="1" x="6529"/>
        <item m="1" x="5925"/>
        <item m="1" x="2820"/>
        <item m="1" x="5091"/>
        <item m="1" x="2367"/>
        <item m="1" x="2517"/>
        <item m="1" x="275"/>
        <item m="1" x="4873"/>
        <item m="1" x="6516"/>
        <item m="1" x="6769"/>
        <item m="1" x="1646"/>
        <item m="1" x="6284"/>
        <item m="1" x="2836"/>
        <item m="1" x="287"/>
        <item m="1" x="6979"/>
        <item m="1" x="6558"/>
        <item m="1" x="1754"/>
        <item m="1" x="3648"/>
        <item m="1" x="1450"/>
        <item m="1" x="3459"/>
        <item m="1" x="1647"/>
        <item m="1" x="7067"/>
        <item m="1" x="5989"/>
        <item m="1" x="1384"/>
        <item m="1" x="6346"/>
        <item m="1" x="2999"/>
        <item m="1" x="3862"/>
        <item m="1" x="3171"/>
        <item m="1" x="1321"/>
        <item m="1" x="2417"/>
        <item m="1" x="6643"/>
        <item m="1" x="3996"/>
        <item m="1" x="7703"/>
        <item m="1" x="6081"/>
        <item m="1" x="1728"/>
        <item m="1" x="3149"/>
        <item m="1" x="6101"/>
        <item m="1" x="1651"/>
        <item m="1" x="1419"/>
        <item m="1" x="7278"/>
        <item m="1" x="1343"/>
        <item m="1" x="7470"/>
        <item m="1" x="2701"/>
        <item m="1" x="6760"/>
        <item m="1" x="3593"/>
        <item m="1" x="637"/>
        <item m="1" x="3383"/>
        <item m="1" x="1238"/>
        <item m="1" x="5653"/>
        <item m="1" x="316"/>
        <item m="1" x="4610"/>
        <item m="1" x="3882"/>
        <item m="1" x="1163"/>
        <item m="1" x="4787"/>
        <item m="1" x="7530"/>
        <item m="1" x="7282"/>
        <item m="1" x="7068"/>
        <item m="1" x="6879"/>
        <item m="1" x="6216"/>
        <item m="1" x="1663"/>
        <item m="1" x="2064"/>
        <item m="1" x="7205"/>
        <item m="1" x="2304"/>
        <item m="1" x="5410"/>
        <item m="1" x="719"/>
        <item m="1" x="3713"/>
        <item m="1" x="5635"/>
        <item m="1" x="5810"/>
        <item m="1" x="3370"/>
        <item m="1" x="5872"/>
        <item m="1" x="7069"/>
        <item m="1" x="2868"/>
        <item m="1" x="7948"/>
        <item m="1" x="1986"/>
        <item m="1" x="7340"/>
        <item m="1" x="5356"/>
        <item m="1" x="1772"/>
        <item m="1" x="1859"/>
        <item m="1" x="6484"/>
        <item m="1" x="400"/>
        <item m="1" x="7970"/>
        <item m="1" x="1325"/>
        <item m="1" x="2906"/>
        <item m="1" x="4851"/>
        <item m="1" x="7980"/>
        <item m="1" x="1649"/>
        <item m="1" x="1472"/>
        <item m="1" x="3597"/>
        <item m="1" x="3165"/>
        <item m="1" x="3937"/>
        <item m="1" x="471"/>
        <item m="1" x="6408"/>
        <item m="1" x="4006"/>
        <item m="1" x="4451"/>
        <item m="1" x="3272"/>
        <item m="1" x="2557"/>
        <item m="1" x="6588"/>
        <item m="1" x="5956"/>
        <item m="1" x="7043"/>
        <item m="1" x="5047"/>
        <item m="1" x="7543"/>
        <item x="54"/>
        <item m="1" x="3267"/>
        <item m="1" x="6972"/>
        <item m="1" x="7372"/>
        <item m="1" x="2770"/>
        <item m="1" x="2196"/>
        <item m="1" x="7878"/>
        <item m="1" x="3295"/>
        <item m="1" x="2328"/>
        <item m="1" x="4776"/>
        <item m="1" x="4531"/>
        <item m="1" x="1521"/>
        <item m="1" x="7645"/>
        <item m="1" x="3701"/>
        <item m="1" x="4250"/>
        <item m="1" x="5362"/>
        <item m="1" x="7346"/>
        <item m="1" x="2806"/>
        <item m="1" x="2335"/>
        <item m="1" x="2490"/>
        <item m="1" x="6815"/>
        <item m="1" x="4878"/>
        <item m="1" x="5933"/>
        <item m="1" x="6443"/>
        <item m="1" x="4537"/>
        <item m="1" x="348"/>
        <item m="1" x="2285"/>
        <item m="1" x="217"/>
        <item m="1" x="5575"/>
        <item m="1" x="2382"/>
        <item m="1" x="6147"/>
        <item m="1" x="6602"/>
        <item m="1" x="6106"/>
        <item m="1" x="7516"/>
        <item m="1" x="2539"/>
        <item m="1" x="2244"/>
        <item m="1" x="2295"/>
        <item m="1" x="554"/>
        <item m="1" x="7461"/>
        <item m="1" x="4995"/>
        <item m="1" x="7106"/>
        <item m="1" x="7168"/>
        <item m="1" x="7152"/>
        <item m="1" x="1733"/>
        <item m="1" x="3794"/>
        <item m="1" x="5195"/>
        <item m="1" x="2212"/>
        <item m="1" x="555"/>
        <item m="1" x="913"/>
        <item m="1" x="2245"/>
        <item m="1" x="423"/>
        <item m="1" x="427"/>
        <item m="1" x="556"/>
        <item m="1" x="697"/>
        <item m="1" x="4568"/>
        <item m="1" x="2813"/>
        <item m="1" x="5419"/>
        <item m="1" x="6400"/>
        <item m="1" x="5782"/>
        <item m="1" x="7163"/>
        <item m="1" x="3517"/>
        <item m="1" x="1983"/>
        <item m="1" x="638"/>
        <item m="1" x="3130"/>
        <item m="1" x="6876"/>
        <item m="1" x="7172"/>
        <item m="1" x="4581"/>
        <item m="1" x="532"/>
        <item m="1" x="527"/>
        <item m="1" x="7165"/>
        <item m="1" x="927"/>
        <item m="1" x="5376"/>
        <item m="1" x="5275"/>
        <item m="1" x="7613"/>
        <item m="1" x="7283"/>
        <item m="1" x="6918"/>
        <item m="1" x="6613"/>
        <item m="1" x="775"/>
        <item m="1" x="2368"/>
        <item m="1" x="7452"/>
        <item m="1" x="793"/>
        <item m="1" x="6591"/>
        <item m="1" x="6801"/>
        <item m="1" x="4822"/>
        <item m="1" x="6551"/>
        <item m="1" x="4691"/>
        <item m="1" x="830"/>
        <item m="1" x="1351"/>
        <item m="1" x="5502"/>
        <item m="1" x="3574"/>
        <item m="1" x="501"/>
        <item m="1" x="4788"/>
        <item m="1" x="1993"/>
        <item m="1" x="662"/>
        <item m="1" x="7552"/>
        <item m="1" x="6781"/>
        <item m="1" x="6511"/>
        <item m="1" x="4565"/>
        <item m="1" x="5584"/>
        <item m="1" x="1950"/>
        <item m="1" x="6195"/>
        <item m="1" x="5240"/>
        <item m="1" x="7179"/>
        <item m="1" x="7913"/>
        <item m="1" x="7180"/>
        <item m="1" x="1455"/>
        <item m="1" x="2933"/>
        <item m="1" x="6375"/>
        <item m="1" x="3503"/>
        <item m="1" x="5359"/>
        <item m="1" x="7860"/>
        <item m="1" x="3632"/>
        <item m="1" x="80"/>
        <item m="1" x="4697"/>
        <item m="1" x="1062"/>
        <item m="1" x="5775"/>
        <item m="1" x="475"/>
        <item m="1" x="6376"/>
        <item m="1" x="3504"/>
        <item m="1" x="5360"/>
        <item m="1" x="3633"/>
        <item m="1" x="512"/>
        <item m="1" x="1592"/>
        <item m="1" x="4904"/>
        <item m="1" x="3299"/>
        <item m="1" x="259"/>
        <item m="1" x="2090"/>
        <item x="6"/>
        <item m="1" x="6949"/>
        <item m="1" x="3271"/>
        <item m="1" x="6149"/>
        <item m="1" x="6955"/>
        <item m="1" x="1105"/>
        <item m="1" x="663"/>
        <item m="1" x="7391"/>
        <item m="1" x="1006"/>
        <item m="1" x="6274"/>
        <item m="1" x="5495"/>
        <item m="1" x="4290"/>
        <item m="1" x="81"/>
        <item m="1" x="2764"/>
        <item m="1" x="2038"/>
        <item m="1" x="2354"/>
        <item m="1" x="3921"/>
        <item m="1" x="5771"/>
        <item m="1" x="516"/>
        <item m="1" x="82"/>
        <item m="1" x="1179"/>
        <item m="1" x="954"/>
        <item m="1" x="7073"/>
        <item m="1" x="2869"/>
        <item m="1" x="5018"/>
        <item m="1" x="902"/>
        <item m="1" x="437"/>
        <item m="1" x="6396"/>
        <item m="1" x="7031"/>
        <item m="1" x="7975"/>
        <item m="1" x="4934"/>
        <item m="1" x="5241"/>
        <item m="1" x="3206"/>
        <item m="1" x="3675"/>
        <item m="1" x="3751"/>
        <item m="1" x="6749"/>
        <item m="1" x="5186"/>
        <item m="1" x="7077"/>
        <item m="1" x="6674"/>
        <item m="1" x="4358"/>
        <item m="1" x="5078"/>
        <item m="1" x="6150"/>
        <item m="1" x="3893"/>
        <item m="1" x="6151"/>
        <item m="1" x="7181"/>
        <item m="1" x="1588"/>
        <item m="1" x="4237"/>
        <item m="1" x="327"/>
        <item m="1" x="7400"/>
        <item m="1" x="7401"/>
        <item m="1" x="7212"/>
        <item m="1" x="3535"/>
        <item m="1" x="7032"/>
        <item m="1" x="6086"/>
        <item m="1" x="3723"/>
        <item m="1" x="2987"/>
        <item m="1" x="3542"/>
        <item m="1" x="4624"/>
        <item m="1" x="1122"/>
        <item m="1" x="3752"/>
        <item m="1" x="7169"/>
        <item m="1" x="3803"/>
        <item m="1" x="6257"/>
        <item m="1" x="4538"/>
        <item m="1" x="4621"/>
        <item m="1" x="2637"/>
        <item m="1" x="1809"/>
        <item m="1" x="5428"/>
        <item m="1" x="7484"/>
        <item m="1" x="666"/>
        <item m="1" x="168"/>
        <item m="1" x="5297"/>
        <item m="1" x="3116"/>
        <item m="1" x="576"/>
        <item m="1" x="5707"/>
        <item m="1" x="1207"/>
        <item m="1" x="3340"/>
        <item m="1" x="4950"/>
        <item m="1" x="3631"/>
        <item m="1" x="7570"/>
        <item m="1" x="4318"/>
        <item m="1" x="4938"/>
        <item m="1" x="5522"/>
        <item m="1" x="1924"/>
        <item m="1" x="5698"/>
        <item m="1" x="4076"/>
        <item m="1" x="1340"/>
        <item m="1" x="5918"/>
        <item m="1" x="7112"/>
        <item m="1" x="5354"/>
        <item m="1" x="3399"/>
        <item m="1" x="2160"/>
        <item m="1" x="1080"/>
        <item m="1" x="1054"/>
        <item m="1" x="5644"/>
        <item m="1" x="6348"/>
        <item m="1" x="3868"/>
        <item m="1" x="1233"/>
        <item m="1" x="724"/>
        <item m="1" x="2608"/>
        <item m="1" x="1753"/>
        <item m="1" x="1129"/>
        <item m="1" x="1620"/>
        <item m="1" x="3114"/>
        <item m="1" x="2928"/>
        <item m="1" x="1543"/>
        <item m="1" x="409"/>
        <item m="1" x="1840"/>
        <item m="1" x="857"/>
        <item m="1" x="7939"/>
        <item m="1" x="2134"/>
        <item m="1" x="3857"/>
        <item m="1" x="3285"/>
        <item m="1" x="2653"/>
        <item m="1" x="1106"/>
        <item m="1" x="7723"/>
        <item m="1" x="7504"/>
        <item m="1" x="5308"/>
        <item m="1" x="5656"/>
        <item m="1" x="1313"/>
        <item m="1" x="1029"/>
        <item m="1" x="804"/>
        <item m="1" x="6204"/>
        <item m="1" x="5846"/>
        <item m="1" x="7284"/>
        <item m="1" x="3772"/>
        <item m="1" x="2817"/>
        <item m="1" x="885"/>
        <item m="1" x="4667"/>
        <item m="1" x="3239"/>
        <item m="1" x="4175"/>
        <item m="1" x="3682"/>
        <item m="1" x="5169"/>
        <item m="1" x="6422"/>
        <item m="1" x="7655"/>
        <item m="1" x="3727"/>
        <item m="1" x="5767"/>
        <item m="1" x="7945"/>
        <item m="1" x="669"/>
        <item m="1" x="5645"/>
        <item m="1" x="5674"/>
        <item m="1" x="6578"/>
        <item m="1" x="4564"/>
        <item m="1" x="7049"/>
        <item m="1" x="1466"/>
        <item m="1" x="4199"/>
        <item m="1" x="1432"/>
        <item m="1" x="5641"/>
        <item m="1" x="4333"/>
        <item m="1" x="892"/>
        <item m="1" x="6050"/>
        <item m="1" x="3562"/>
        <item m="1" x="5353"/>
        <item m="1" x="1787"/>
        <item m="1" x="4004"/>
        <item m="1" x="4631"/>
        <item m="1" x="4926"/>
        <item m="1" x="952"/>
        <item m="1" x="5519"/>
        <item m="1" x="5788"/>
        <item m="1" x="3443"/>
        <item m="1" x="2712"/>
        <item m="1" x="5912"/>
        <item m="1" x="5930"/>
        <item m="1" x="4205"/>
        <item m="1" x="6084"/>
        <item m="1" x="5875"/>
        <item m="1" x="5272"/>
        <item m="1" x="363"/>
        <item m="1" x="406"/>
        <item m="1" x="6105"/>
        <item m="1" x="5614"/>
        <item m="1" x="6124"/>
        <item m="1" x="5621"/>
        <item m="1" x="5772"/>
        <item m="1" x="7687"/>
        <item m="1" x="5908"/>
        <item m="1" x="1962"/>
        <item m="1" x="447"/>
        <item m="1" x="7034"/>
        <item m="1" x="7345"/>
        <item m="1" x="216"/>
        <item m="1" x="6527"/>
        <item m="1" x="3140"/>
        <item m="1" x="6153"/>
        <item m="1" x="4741"/>
        <item m="1" x="1109"/>
        <item m="1" x="3385"/>
        <item m="1" x="1773"/>
        <item m="1" x="5624"/>
        <item m="1" x="2225"/>
        <item m="1" x="4377"/>
        <item m="1" x="4164"/>
        <item m="1" x="7914"/>
        <item m="1" x="4845"/>
        <item m="1" x="3677"/>
        <item m="1" x="6522"/>
        <item m="1" x="7800"/>
        <item m="1" x="3589"/>
        <item m="1" x="2830"/>
        <item m="1" x="5582"/>
        <item m="1" x="3800"/>
        <item m="1" x="6559"/>
        <item m="1" x="7330"/>
        <item m="1" x="1661"/>
        <item m="1" x="195"/>
        <item m="1" x="6791"/>
        <item m="1" x="6936"/>
        <item m="1" x="3087"/>
        <item m="1" x="4206"/>
        <item m="1" x="1237"/>
        <item m="1" x="5589"/>
        <item m="1" x="3634"/>
        <item m="1" x="6011"/>
        <item m="1" x="6196"/>
        <item m="1" x="3805"/>
        <item m="1" x="2164"/>
        <item m="1" x="6023"/>
        <item m="1" x="5888"/>
        <item m="1" x="5922"/>
        <item m="1" x="4207"/>
        <item m="1" x="607"/>
        <item m="1" x="7932"/>
        <item m="1" x="1717"/>
        <item m="1" x="4208"/>
        <item m="1" x="2248"/>
        <item m="1" x="5412"/>
        <item m="1" x="3438"/>
        <item m="1" x="6424"/>
        <item m="1" x="5613"/>
        <item m="1" x="2706"/>
        <item m="1" x="7292"/>
        <item m="1" x="5482"/>
        <item m="1" x="266"/>
        <item m="1" x="5472"/>
        <item m="1" x="4221"/>
        <item m="1" x="6528"/>
        <item m="1" x="6418"/>
        <item m="1" x="7178"/>
        <item m="1" x="6548"/>
        <item m="1" x="6638"/>
        <item m="1" x="634"/>
        <item m="1" x="898"/>
        <item m="1" x="783"/>
        <item m="1" x="816"/>
        <item m="1" x="5637"/>
        <item m="1" x="2617"/>
        <item m="1" x="6480"/>
        <item m="1" x="4300"/>
        <item m="1" x="2955"/>
        <item m="1" x="4828"/>
        <item m="1" x="6122"/>
        <item m="1" x="2109"/>
        <item m="1" x="2041"/>
        <item m="1" x="7487"/>
        <item m="1" x="3098"/>
        <item m="1" x="5612"/>
        <item m="1" x="3332"/>
        <item m="1" x="4722"/>
        <item m="1" x="6806"/>
        <item m="1" x="5686"/>
        <item m="1" x="290"/>
        <item m="1" x="7920"/>
        <item m="1" x="1425"/>
        <item m="1" x="333"/>
        <item m="1" x="1467"/>
        <item m="1" x="4801"/>
        <item m="1" x="4628"/>
        <item m="1" x="4072"/>
        <item m="1" x="7198"/>
        <item m="1" x="7810"/>
        <item m="1" x="5790"/>
        <item m="1" x="5009"/>
        <item m="1" x="5724"/>
        <item m="1" x="2958"/>
        <item m="1" x="6526"/>
        <item m="1" x="7251"/>
        <item m="1" x="2235"/>
        <item m="1" x="4480"/>
        <item m="1" x="2624"/>
        <item m="1" x="2522"/>
        <item m="1" x="7899"/>
        <item m="1" x="5709"/>
        <item m="1" x="2832"/>
        <item m="1" x="5714"/>
        <item m="1" x="3702"/>
        <item m="1" x="3703"/>
        <item m="1" x="5683"/>
        <item m="1" x="5862"/>
        <item m="1" x="1614"/>
        <item m="1" x="2336"/>
        <item m="1" x="2601"/>
        <item m="1" x="483"/>
        <item m="1" x="982"/>
        <item m="1" x="2363"/>
        <item m="1" x="4478"/>
        <item m="1" x="4262"/>
        <item m="1" x="5629"/>
        <item m="1" x="2861"/>
        <item m="1" x="5947"/>
        <item m="1" x="1235"/>
        <item m="1" x="4658"/>
        <item m="1" x="5235"/>
        <item m="1" x="3788"/>
        <item m="1" x="2917"/>
        <item m="1" x="443"/>
        <item m="1" x="6849"/>
        <item m="1" x="4835"/>
        <item m="1" x="911"/>
        <item m="1" x="7245"/>
        <item m="1" x="5513"/>
        <item m="1" x="3956"/>
        <item m="1" x="6378"/>
        <item m="1" x="3560"/>
        <item m="1" x="6794"/>
        <item m="1" x="4245"/>
        <item m="1" x="5417"/>
        <item m="1" x="5255"/>
        <item m="1" x="6358"/>
        <item m="1" x="1799"/>
        <item m="1" x="6756"/>
        <item m="1" x="6327"/>
        <item m="1" x="7923"/>
        <item m="1" x="7194"/>
        <item m="1" x="3789"/>
        <item m="1" x="1593"/>
        <item m="1" x="3359"/>
        <item m="1" x="481"/>
        <item m="1" x="3739"/>
        <item m="1" x="2345"/>
        <item m="1" x="5816"/>
        <item m="1" x="6037"/>
        <item m="1" x="3982"/>
        <item m="1" x="5403"/>
        <item m="1" x="1309"/>
        <item m="1" x="6994"/>
        <item m="1" x="4297"/>
        <item m="1" x="3714"/>
        <item m="1" x="1226"/>
        <item m="1" x="4483"/>
        <item m="1" x="7122"/>
        <item x="40"/>
        <item m="1" x="4419"/>
        <item m="1" x="1734"/>
        <item m="1" x="3747"/>
        <item m="1" x="5492"/>
        <item m="1" x="1018"/>
        <item m="1" x="2475"/>
        <item m="1" x="2457"/>
        <item m="1" x="6258"/>
        <item m="1" x="6907"/>
        <item m="1" x="7983"/>
        <item m="1" x="3522"/>
        <item m="1" x="1804"/>
        <item m="1" x="2418"/>
        <item m="1" x="3576"/>
        <item m="1" x="1248"/>
        <item m="1" x="3892"/>
        <item m="1" x="6379"/>
        <item m="1" x="1181"/>
        <item m="1" x="7861"/>
        <item m="1" x="3721"/>
        <item m="1" x="7862"/>
        <item m="1" x="1182"/>
        <item m="1" x="4157"/>
        <item m="1" x="4138"/>
        <item m="1" x="4552"/>
        <item m="1" x="5738"/>
        <item m="1" x="1478"/>
        <item m="1" x="7222"/>
        <item m="1" x="4265"/>
        <item m="1" x="291"/>
        <item m="1" x="2135"/>
        <item m="1" x="2136"/>
        <item m="1" x="5731"/>
        <item m="1" x="6265"/>
        <item m="1" x="5367"/>
        <item m="1" x="5132"/>
        <item m="1" x="2743"/>
        <item m="1" x="3867"/>
        <item m="1" x="3343"/>
        <item m="1" x="496"/>
        <item m="1" x="2746"/>
        <item m="1" x="408"/>
        <item m="1" x="2755"/>
        <item m="1" x="7850"/>
        <item m="1" x="371"/>
        <item m="1" x="202"/>
        <item m="1" x="6956"/>
        <item m="1" x="5516"/>
        <item m="1" x="6116"/>
        <item m="1" x="3638"/>
        <item m="1" x="625"/>
        <item m="1" x="7863"/>
        <item m="1" x="6390"/>
        <item m="1" x="973"/>
        <item m="1" x="5558"/>
        <item m="1" x="5630"/>
        <item m="1" x="187"/>
        <item m="1" x="428"/>
        <item m="1" x="2161"/>
        <item m="1" x="593"/>
        <item m="1" x="2364"/>
        <item m="1" x="6054"/>
        <item m="1" x="5143"/>
        <item m="1" x="4596"/>
        <item m="1" x="5426"/>
        <item m="1" x="5831"/>
        <item m="1" x="7916"/>
        <item m="1" x="7674"/>
        <item m="1" x="1396"/>
        <item m="1" x="814"/>
        <item m="1" x="7449"/>
        <item m="1" x="4446"/>
        <item m="1" x="2194"/>
        <item m="1" x="6966"/>
        <item m="1" x="4139"/>
        <item m="1" x="7553"/>
        <item m="1" x="103"/>
        <item m="1" x="920"/>
        <item m="1" x="7952"/>
        <item m="1" x="7021"/>
        <item m="1" x="6622"/>
        <item m="1" x="5265"/>
        <item m="1" x="4135"/>
        <item m="1" x="3659"/>
        <item m="1" x="1236"/>
        <item m="1" x="4041"/>
        <item m="1" x="6923"/>
        <item m="1" x="2599"/>
        <item m="1" x="3764"/>
        <item m="1" x="5409"/>
        <item m="1" x="3174"/>
        <item m="1" x="3117"/>
        <item m="1" x="5003"/>
        <item m="1" x="4898"/>
        <item m="1" x="2874"/>
        <item m="1" x="2419"/>
        <item m="1" x="7001"/>
        <item m="1" x="7864"/>
        <item m="1" x="5309"/>
        <item m="1" x="1216"/>
        <item m="1" x="5062"/>
        <item m="1" x="5390"/>
        <item m="1" x="7188"/>
        <item m="1" x="5576"/>
        <item m="1" x="238"/>
        <item m="1" x="4488"/>
        <item m="1" x="5115"/>
        <item m="1" x="6667"/>
        <item m="1" x="6133"/>
        <item m="1" x="7741"/>
        <item m="1" x="3780"/>
        <item m="1" x="3872"/>
        <item m="1" x="5039"/>
        <item m="1" x="4894"/>
        <item m="1" x="3162"/>
        <item m="1" x="2122"/>
        <item m="1" x="2842"/>
        <item m="1" x="5028"/>
        <item m="1" x="1365"/>
        <item m="1" x="4661"/>
        <item m="1" x="1227"/>
        <item m="1" x="4229"/>
        <item m="1" x="5321"/>
        <item m="1" x="3406"/>
        <item m="1" x="6239"/>
        <item m="1" x="2505"/>
        <item m="1" x="136"/>
        <item m="1" x="1089"/>
        <item m="1" x="2696"/>
        <item m="1" x="2853"/>
        <item m="1" x="7213"/>
        <item m="1" x="4223"/>
        <item m="1" x="5550"/>
        <item m="1" x="932"/>
        <item m="1" x="6281"/>
        <item m="1" x="6485"/>
        <item m="1" x="3869"/>
        <item m="1" x="510"/>
        <item m="1" x="4104"/>
        <item m="1" x="1447"/>
        <item m="1" x="4766"/>
        <item m="1" x="3344"/>
        <item m="1" x="7738"/>
        <item m="1" x="6190"/>
        <item m="1" x="7706"/>
        <item m="1" x="3470"/>
        <item m="1" x="1400"/>
        <item x="7"/>
        <item m="1" x="3992"/>
        <item m="1" x="3731"/>
        <item m="1" x="1086"/>
        <item m="1" x="6619"/>
        <item m="1" x="3567"/>
        <item m="1" x="3064"/>
        <item m="1" x="6893"/>
        <item m="1" x="3568"/>
        <item m="1" x="2795"/>
        <item m="1" x="4664"/>
        <item m="1" x="1007"/>
        <item m="1" x="709"/>
        <item m="1" x="1869"/>
        <item m="1" x="7559"/>
        <item m="1" x="2841"/>
        <item m="1" x="5000"/>
        <item m="1" x="6813"/>
        <item m="1" x="681"/>
        <item m="1" x="6967"/>
        <item m="1" x="3493"/>
        <item m="1" x="4458"/>
        <item m="1" x="3186"/>
        <item m="1" x="148"/>
        <item m="1" x="1658"/>
        <item m="1" x="526"/>
        <item m="1" x="7170"/>
        <item m="1" x="3697"/>
        <item m="1" x="2720"/>
        <item m="1" x="7691"/>
        <item m="1" x="5626"/>
        <item m="1" x="4744"/>
        <item m="1" x="432"/>
        <item m="1" x="3691"/>
        <item m="1" x="4778"/>
        <item m="1" x="4512"/>
        <item m="1" x="5580"/>
        <item m="1" x="7371"/>
        <item m="1" x="5460"/>
        <item m="1" x="2401"/>
        <item m="1" x="844"/>
        <item m="1" x="6407"/>
        <item m="1" x="2682"/>
        <item m="1" x="7450"/>
        <item m="1" x="3322"/>
        <item m="1" x="7763"/>
        <item m="1" x="4559"/>
        <item m="1" x="3662"/>
        <item m="1" x="5923"/>
        <item m="1" x="548"/>
        <item m="1" x="3013"/>
        <item m="1" x="602"/>
        <item m="1" x="4669"/>
        <item m="1" x="3017"/>
        <item m="1" x="2228"/>
        <item m="1" x="3686"/>
        <item m="1" x="469"/>
        <item m="1" x="1444"/>
        <item m="1" x="582"/>
        <item m="1" x="3079"/>
        <item m="1" x="2139"/>
        <item m="1" x="4527"/>
        <item m="1" x="1942"/>
        <item m="1" x="2318"/>
        <item m="1" x="6690"/>
        <item m="1" x="3273"/>
        <item m="1" x="6939"/>
        <item m="1" x="7437"/>
        <item m="1" x="2468"/>
        <item m="1" x="7114"/>
        <item m="1" x="5852"/>
        <item m="1" x="5902"/>
        <item m="1" x="5834"/>
        <item m="1" x="1723"/>
        <item m="1" x="4588"/>
        <item m="1" x="546"/>
        <item m="1" x="6495"/>
        <item m="1" x="1944"/>
        <item m="1" x="7660"/>
        <item m="1" x="3386"/>
        <item m="1" x="1729"/>
        <item m="1" x="3909"/>
        <item m="1" x="2910"/>
        <item m="1" x="3878"/>
        <item m="1" x="4007"/>
        <item m="1" x="4236"/>
        <item m="1" x="2010"/>
        <item m="1" x="2369"/>
        <item m="1" x="2867"/>
        <item m="1" x="4742"/>
        <item m="1" x="5941"/>
        <item m="1" x="5680"/>
        <item m="1" x="4569"/>
        <item m="1" x="1522"/>
        <item m="1" x="3580"/>
        <item m="1" x="7607"/>
        <item m="1" x="498"/>
        <item m="1" x="7585"/>
        <item m="1" x="3905"/>
        <item m="1" x="6315"/>
        <item m="1" x="635"/>
        <item m="1" x="3454"/>
        <item m="1" x="3252"/>
        <item m="1" x="3704"/>
        <item m="1" x="6444"/>
        <item m="1" x="5085"/>
        <item m="1" x="992"/>
        <item m="1" x="5058"/>
        <item m="1" x="3997"/>
        <item m="1" x="6009"/>
        <item m="1" x="832"/>
        <item m="1" x="5386"/>
        <item m="1" x="1479"/>
        <item m="1" x="6087"/>
        <item m="1" x="7575"/>
        <item m="1" x="5014"/>
        <item m="1" x="2337"/>
        <item m="1" x="5886"/>
        <item m="1" x="7481"/>
        <item m="1" x="3986"/>
        <item m="1" x="4338"/>
        <item m="1" x="2628"/>
        <item m="1" x="6134"/>
        <item m="1" x="7374"/>
        <item m="1" x="1042"/>
        <item m="1" x="3834"/>
        <item m="1" x="5732"/>
        <item m="1" x="5690"/>
        <item m="1" x="4919"/>
        <item m="1" x="4231"/>
        <item m="1" x="6872"/>
        <item m="1" x="7507"/>
        <item m="1" x="7782"/>
        <item m="1" x="3197"/>
        <item m="1" x="3671"/>
        <item m="1" x="3678"/>
        <item m="1" x="4966"/>
        <item m="1" x="4629"/>
        <item m="1" x="831"/>
        <item m="1" x="7161"/>
        <item m="1" x="5063"/>
        <item m="1" x="3754"/>
        <item m="1" x="4786"/>
        <item m="1" x="1550"/>
        <item m="1" x="7183"/>
        <item m="1" x="7897"/>
        <item m="1" x="4085"/>
        <item m="1" x="3435"/>
        <item m="1" x="2172"/>
        <item m="1" x="3606"/>
        <item m="1" x="693"/>
        <item m="1" x="4173"/>
        <item m="1" x="1788"/>
        <item m="1" x="1128"/>
        <item m="1" x="2658"/>
        <item m="1" x="3389"/>
        <item m="1" x="1708"/>
        <item m="1" x="204"/>
        <item m="1" x="6126"/>
        <item m="1" x="2540"/>
        <item m="1" x="4997"/>
        <item m="1" x="3991"/>
        <item m="1" x="4201"/>
        <item m="1" x="2390"/>
        <item m="1" x="6889"/>
        <item m="1" x="1071"/>
        <item m="1" x="3990"/>
        <item m="1" x="787"/>
        <item m="1" x="6537"/>
        <item m="1" x="2659"/>
        <item m="1" x="5144"/>
        <item m="1" x="4902"/>
        <item m="1" x="310"/>
        <item m="1" x="3455"/>
        <item m="1" x="6066"/>
        <item m="1" x="5832"/>
        <item m="1" x="3918"/>
        <item m="1" x="5190"/>
        <item m="1" x="6767"/>
        <item m="1" x="2954"/>
        <item m="1" x="7497"/>
        <item m="1" x="5601"/>
        <item m="1" x="416"/>
        <item m="1" x="5096"/>
        <item m="1" x="7885"/>
        <item m="1" x="863"/>
        <item m="1" x="1228"/>
        <item m="1" x="6032"/>
        <item m="1" x="242"/>
        <item m="1" x="2587"/>
        <item m="1" x="1783"/>
        <item m="1" x="1474"/>
        <item m="1" x="4746"/>
        <item m="1" x="6687"/>
        <item m="1" x="4109"/>
        <item m="1" x="227"/>
        <item m="1" x="2476"/>
        <item m="1" x="7153"/>
        <item m="1" x="4939"/>
        <item m="1" x="5454"/>
        <item m="1" x="2377"/>
        <item m="1" x="6286"/>
        <item m="1" x="4702"/>
        <item m="1" x="3024"/>
        <item m="1" x="1512"/>
        <item m="1" x="1805"/>
        <item m="1" x="1505"/>
        <item m="1" x="6688"/>
        <item m="1" x="4553"/>
        <item m="1" x="2148"/>
        <item m="1" x="6924"/>
        <item m="1" x="2814"/>
        <item m="1" x="88"/>
        <item m="1" x="3836"/>
        <item m="1" x="4870"/>
        <item m="1" x="6130"/>
        <item m="1" x="6935"/>
        <item m="1" x="4679"/>
        <item m="1" x="2909"/>
        <item m="1" x="5467"/>
        <item m="1" x="6332"/>
        <item m="1" x="3215"/>
        <item m="1" x="2612"/>
        <item m="1" x="664"/>
        <item m="1" x="1138"/>
        <item m="1" x="7614"/>
        <item m="1" x="5328"/>
        <item m="1" x="1081"/>
        <item m="1" x="6311"/>
        <item m="1" x="6252"/>
        <item m="1" x="3709"/>
        <item m="1" x="5071"/>
        <item m="1" x="419"/>
        <item m="1" x="6891"/>
        <item m="1" x="713"/>
        <item m="1" x="1085"/>
        <item m="1" x="3400"/>
        <item m="1" x="1429"/>
        <item m="1" x="5993"/>
        <item m="1" x="3626"/>
        <item m="1" x="5030"/>
        <item m="1" x="6472"/>
        <item m="1" x="5675"/>
        <item m="1" x="4765"/>
        <item m="1" x="3439"/>
        <item m="1" x="6518"/>
        <item m="1" x="4857"/>
        <item m="1" x="1124"/>
        <item m="1" x="5979"/>
        <item m="1" x="1223"/>
        <item m="1" x="513"/>
        <item m="1" x="6302"/>
        <item m="1" x="5040"/>
        <item m="1" x="1305"/>
        <item m="1" x="4429"/>
        <item m="1" x="7558"/>
        <item m="1" x="7016"/>
        <item m="1" x="1693"/>
        <item m="1" x="7685"/>
        <item m="1" x="7185"/>
        <item m="1" x="1314"/>
        <item m="1" x="7501"/>
        <item m="1" x="6237"/>
        <item m="1" x="705"/>
        <item m="1" x="4797"/>
        <item m="1" x="4928"/>
        <item m="1" x="5035"/>
        <item m="1" x="2965"/>
        <item m="1" x="1047"/>
        <item m="1" x="6461"/>
        <item m="1" x="1095"/>
        <item m="1" x="3853"/>
        <item m="1" x="6175"/>
        <item m="1" x="7309"/>
        <item m="1" x="7435"/>
        <item m="1" x="5498"/>
        <item m="1" x="1961"/>
        <item m="1" x="3614"/>
        <item m="1" x="2031"/>
        <item m="1" x="1764"/>
        <item m="1" x="7275"/>
        <item m="1" x="2894"/>
        <item m="1" x="5121"/>
        <item m="1" x="6436"/>
        <item m="1" x="1114"/>
        <item m="1" x="7159"/>
        <item m="1" x="479"/>
        <item m="1" x="5499"/>
        <item m="1" x="731"/>
        <item m="1" x="4814"/>
        <item m="1" x="7641"/>
        <item m="1" x="1674"/>
        <item m="1" x="5664"/>
        <item m="1" x="6905"/>
        <item m="1" x="4879"/>
        <item m="1" x="1145"/>
        <item m="1" x="3615"/>
        <item m="1" x="5500"/>
        <item m="1" x="842"/>
        <item m="1" x="7228"/>
        <item m="1" x="5777"/>
        <item m="1" x="2895"/>
        <item m="1" x="3616"/>
        <item m="1" x="785"/>
        <item m="1" x="676"/>
        <item m="1" x="5329"/>
        <item m="1" x="4905"/>
        <item m="1" x="817"/>
        <item m="1" x="7771"/>
        <item m="1" x="5877"/>
        <item m="1" x="939"/>
        <item m="1" x="949"/>
        <item m="1" x="3352"/>
        <item m="1" x="7719"/>
        <item m="1" x="5384"/>
        <item m="1" x="7611"/>
        <item m="1" x="942"/>
        <item m="1" x="3353"/>
        <item m="1" x="375"/>
        <item m="1" x="1022"/>
        <item m="1" x="6722"/>
        <item m="1" x="4077"/>
        <item m="1" x="165"/>
        <item m="1" x="3551"/>
        <item m="1" x="7195"/>
        <item m="1" x="3963"/>
        <item m="1" x="1664"/>
        <item m="1" x="1506"/>
        <item m="1" x="7972"/>
        <item m="1" x="115"/>
        <item m="1" x="4733"/>
        <item m="1" x="4770"/>
        <item m="1" x="7646"/>
        <item m="1" x="1507"/>
        <item m="1" x="5847"/>
        <item m="1" x="2178"/>
        <item m="1" x="7828"/>
        <item m="1" x="4993"/>
        <item m="1" x="794"/>
        <item m="1" x="4771"/>
        <item m="1" x="6564"/>
        <item m="1" x="1666"/>
        <item m="1" x="1672"/>
        <item m="1" x="1741"/>
        <item m="1" x="2847"/>
        <item m="1" x="6206"/>
        <item m="1" x="5391"/>
        <item m="1" x="1742"/>
        <item m="1" x="1743"/>
        <item m="1" x="5122"/>
        <item m="1" x="929"/>
        <item m="1" x="688"/>
        <item m="1" x="3099"/>
        <item m="1" x="905"/>
        <item m="1" x="6656"/>
        <item m="1" x="4078"/>
        <item m="1" x="6135"/>
        <item m="1" x="7199"/>
        <item m="1" x="906"/>
        <item m="1" x="2175"/>
        <item m="1" x="6531"/>
        <item m="1" x="3429"/>
        <item m="1" x="3139"/>
        <item m="1" x="668"/>
        <item m="1" x="4946"/>
        <item m="1" x="4528"/>
        <item m="1" x="4430"/>
        <item m="1" x="786"/>
        <item m="1" x="1665"/>
        <item m="1" x="2728"/>
        <item m="1" x="7620"/>
        <item m="1" x="1530"/>
        <item m="1" x="2884"/>
        <item m="1" x="2913"/>
        <item m="1" x="7971"/>
        <item m="1" x="3951"/>
        <item m="1" x="1494"/>
        <item m="1" x="2102"/>
        <item m="1" x="3101"/>
        <item m="1" x="1873"/>
        <item m="1" x="5342"/>
        <item m="1" x="7005"/>
        <item m="1" x="4266"/>
        <item m="1" x="941"/>
        <item m="1" x="7352"/>
        <item m="1" x="3183"/>
        <item m="1" x="2782"/>
        <item m="1" x="4267"/>
        <item m="1" x="4672"/>
        <item m="1" x="1064"/>
        <item m="1" x="7974"/>
        <item m="1" x="1668"/>
        <item m="1" x="3213"/>
        <item m="1" x="4079"/>
        <item m="1" x="3082"/>
        <item m="1" x="5392"/>
        <item m="1" x="6620"/>
        <item m="1" x="943"/>
        <item m="1" x="944"/>
        <item m="1" x="1987"/>
        <item m="1" x="4827"/>
        <item m="1" x="3460"/>
        <item m="1" x="3461"/>
        <item x="4"/>
        <item m="1" x="1594"/>
        <item m="1" x="1596"/>
        <item m="1" x="5172"/>
        <item m="1" x="2677"/>
        <item m="1" x="4843"/>
        <item m="1" x="2606"/>
        <item m="1" x="5501"/>
        <item m="1" x="2678"/>
        <item m="1" x="1595"/>
        <item m="1" x="3683"/>
        <item m="1" x="7798"/>
        <item m="1" x="1497"/>
        <item m="1" x="960"/>
        <item m="1" x="6931"/>
        <item m="1" x="4002"/>
        <item m="1" x="945"/>
        <item m="1" x="5684"/>
        <item m="1" x="4246"/>
        <item m="1" x="1146"/>
        <item m="1" x="7404"/>
        <item m="1" x="3086"/>
        <item m="1" x="5279"/>
        <item m="1" x="712"/>
        <item m="1" x="2981"/>
        <item m="1" x="751"/>
        <item m="1" x="7219"/>
        <item m="1" x="5315"/>
        <item m="1" x="7903"/>
        <item m="1" x="1055"/>
        <item m="1" x="6587"/>
        <item m="1" x="4665"/>
        <item m="1" x="7648"/>
        <item m="1" x="7670"/>
        <item m="1" x="996"/>
        <item m="1" x="4772"/>
        <item m="1" x="6650"/>
        <item m="1" x="3755"/>
        <item m="1" x="2948"/>
        <item m="1" x="5311"/>
        <item m="1" x="3684"/>
        <item m="1" x="5848"/>
        <item m="1" x="5084"/>
        <item m="1" x="5869"/>
        <item m="1" x="7604"/>
        <item m="1" x="651"/>
        <item m="1" x="6055"/>
        <item m="1" x="4972"/>
        <item m="1" x="3189"/>
        <item m="1" x="1377"/>
        <item m="1" x="7551"/>
        <item m="1" x="2880"/>
        <item m="1" x="6423"/>
        <item m="1" x="1806"/>
        <item m="1" x="7973"/>
        <item m="1" x="7647"/>
        <item m="1" x="795"/>
        <item m="1" x="1667"/>
        <item m="1" x="2220"/>
        <item m="1" x="4359"/>
        <item m="1" x="1151"/>
        <item m="1" x="4182"/>
        <item m="1" x="6463"/>
        <item m="1" x="166"/>
        <item m="1" x="6950"/>
        <item m="1" x="7807"/>
        <item m="1" x="1139"/>
        <item m="1" x="948"/>
        <item m="1" x="3354"/>
        <item m="1" x="947"/>
        <item m="1" x="946"/>
        <item m="1" x="3230"/>
        <item m="1" x="3987"/>
        <item m="1" x="5681"/>
        <item m="1" x="3938"/>
        <item m="1" x="2723"/>
        <item m="1" x="3627"/>
        <item m="1" x="1790"/>
        <item m="1" x="6367"/>
        <item m="1" x="6368"/>
        <item m="1" x="410"/>
        <item m="1" x="563"/>
        <item m="1" x="7358"/>
        <item m="1" x="6222"/>
        <item m="1" x="6539"/>
        <item m="1" x="573"/>
        <item m="1" x="5957"/>
        <item m="1" x="7994"/>
        <item m="1" x="4268"/>
        <item m="1" x="6763"/>
        <item m="1" x="7868"/>
        <item m="1" x="2355"/>
        <item m="1" x="7995"/>
        <item m="1" x="4271"/>
        <item m="1" x="1551"/>
        <item m="1" x="2305"/>
        <item m="1" x="6120"/>
        <item m="1" x="2783"/>
        <item m="1" x="987"/>
        <item m="1" x="7234"/>
        <item m="1" x="4554"/>
        <item m="1" x="5962"/>
        <item m="1" x="7996"/>
        <item m="1" x="4270"/>
        <item m="1" x="4947"/>
        <item m="1" x="3479"/>
        <item m="1" x="564"/>
        <item m="1" x="4269"/>
        <item m="1" x="4274"/>
        <item m="1" x="1552"/>
        <item m="1" x="1556"/>
        <item m="1" x="4285"/>
        <item m="1" x="6968"/>
        <item m="1" x="6764"/>
        <item m="1" x="5960"/>
        <item m="1" x="2306"/>
        <item m="1" x="4273"/>
        <item m="1" x="7999"/>
        <item m="1" x="5961"/>
        <item m="1" x="1554"/>
        <item m="1" x="2307"/>
        <item m="1" x="2784"/>
        <item m="1" x="1992"/>
        <item m="1" x="5959"/>
        <item m="1" x="739"/>
        <item m="1" x="5958"/>
        <item m="1" x="7998"/>
        <item m="1" x="4272"/>
        <item m="1" x="1555"/>
        <item m="1" x="1676"/>
        <item m="1" x="1677"/>
        <item m="1" x="4118"/>
        <item m="1" x="1701"/>
        <item m="1" x="7223"/>
        <item m="1" x="7997"/>
        <item m="1" x="1553"/>
        <item m="1" x="1557"/>
        <item m="1" x="4519"/>
        <item m="1" x="3447"/>
        <item m="1" x="6723"/>
        <item m="1" x="4782"/>
        <item m="1" x="7548"/>
        <item m="1" x="252"/>
        <item m="1" x="7524"/>
        <item m="1" x="841"/>
        <item m="1" x="1176"/>
        <item m="1" x="1559"/>
        <item m="1" x="4673"/>
        <item m="1" x="5963"/>
        <item m="1" x="2370"/>
        <item m="1" x="4276"/>
        <item m="1" x="1560"/>
        <item m="1" x="5964"/>
        <item m="1" x="2308"/>
        <item m="1" x="3733"/>
        <item m="1" x="1065"/>
        <item m="1" x="5199"/>
        <item m="1" x="4555"/>
        <item m="1" x="7869"/>
        <item m="1" x="87"/>
        <item m="1" x="4275"/>
        <item m="1" x="3448"/>
        <item m="1" x="2309"/>
        <item m="1" x="4134"/>
        <item m="1" x="1913"/>
        <item m="1" x="7711"/>
        <item m="1" x="6312"/>
        <item m="1" x="1558"/>
        <item m="1" x="6342"/>
        <item m="1" x="610"/>
        <item m="1" x="7214"/>
        <item m="1" x="6765"/>
        <item m="1" x="1561"/>
        <item m="1" x="4277"/>
        <item m="1" x="7816"/>
        <item m="1" x="6592"/>
        <item m="1" x="2785"/>
        <item m="1" x="1562"/>
        <item m="1" x="2310"/>
        <item m="1" x="2631"/>
        <item m="1" x="988"/>
        <item m="1" x="4278"/>
        <item m="1" x="4279"/>
        <item m="1" x="2311"/>
        <item m="1" x="5965"/>
        <item m="1" x="5966"/>
        <item m="1" x="1563"/>
        <item m="1" x="4674"/>
        <item m="1" x="4280"/>
        <item m="1" x="1564"/>
        <item m="1" x="2312"/>
        <item m="1" x="6985"/>
        <item m="1" x="1200"/>
        <item m="1" x="1069"/>
        <item m="1" x="5470"/>
        <item m="1" x="5716"/>
        <item m="1" x="4080"/>
        <item m="1" x="3118"/>
        <item m="1" x="770"/>
        <item m="1" x="1565"/>
        <item m="1" x="771"/>
        <item m="1" x="5468"/>
        <item m="1" x="1566"/>
        <item m="1" x="4081"/>
        <item m="1" x="7649"/>
        <item m="1" x="799"/>
        <item m="1" x="800"/>
        <item m="1" x="797"/>
        <item m="1" x="5393"/>
        <item m="1" x="3694"/>
        <item m="1" x="4082"/>
        <item m="1" x="7650"/>
        <item m="1" x="6343"/>
        <item m="1" x="1192"/>
        <item m="1" x="798"/>
        <item m="1" x="1579"/>
        <item m="1" x="796"/>
        <item m="1" x="801"/>
        <item m="1" x="1744"/>
        <item m="1" x="163"/>
        <item m="1" x="1385"/>
        <item m="1" x="6903"/>
        <item m="1" x="7164"/>
        <item m="1" x="921"/>
        <item m="1" x="2296"/>
        <item m="1" x="463"/>
        <item m="1" x="7079"/>
        <item m="1" x="1669"/>
        <item m="1" x="803"/>
        <item m="1" x="1745"/>
        <item m="1" x="1597"/>
        <item m="1" x="5401"/>
        <item m="1" x="306"/>
        <item m="1" x="7229"/>
        <item m="1" x="2908"/>
        <item m="1" x="1670"/>
        <item m="1" x="2729"/>
        <item m="1" x="5660"/>
        <item m="1" x="7320"/>
        <item m="1" x="354"/>
        <item m="1" x="7189"/>
        <item m="1" x="3799"/>
        <item m="1" x="802"/>
        <item m="1" x="3952"/>
        <item m="1" x="2740"/>
        <item m="1" x="5980"/>
        <item m="1" x="6275"/>
        <item m="1" x="6439"/>
        <item m="1" x="2214"/>
        <item m="1" x="7879"/>
        <item m="1" x="1567"/>
        <item m="1" x="6771"/>
        <item m="1" x="3300"/>
        <item m="1" x="6300"/>
        <item m="1" x="549"/>
        <item m="1" x="7651"/>
        <item m="1" x="7300"/>
        <item m="1" x="6176"/>
        <item m="1" x="652"/>
        <item m="1" x="224"/>
        <item m="1" x="7581"/>
        <item m="1" x="6779"/>
        <item m="1" x="1174"/>
        <item m="1" x="5927"/>
        <item m="1" x="1885"/>
        <item m="1" x="5140"/>
        <item m="1" x="7260"/>
        <item m="1" x="7053"/>
        <item m="1" x="3052"/>
        <item m="1" x="1388"/>
        <item m="1" x="3278"/>
        <item m="1" x="7735"/>
        <item m="1" x="2462"/>
        <item m="1" x="4836"/>
        <item m="1" x="5001"/>
        <item m="1" x="7360"/>
        <item m="1" x="3559"/>
        <item m="1" x="436"/>
        <item m="1" x="4247"/>
        <item m="1" x="3190"/>
        <item m="1" x="6730"/>
        <item m="1" x="4544"/>
        <item m="1" x="7518"/>
        <item m="1" x="6625"/>
        <item m="1" x="3393"/>
        <item m="1" x="6897"/>
        <item m="1" x="4177"/>
        <item m="1" x="6109"/>
        <item m="1" x="6157"/>
        <item m="1" x="6040"/>
        <item m="1" x="1975"/>
        <item m="1" x="5019"/>
        <item m="1" x="6868"/>
        <item m="1" x="1255"/>
        <item m="1" x="278"/>
        <item m="1" x="4144"/>
        <item m="1" x="7250"/>
        <item m="1" x="6608"/>
        <item m="1" x="5942"/>
        <item m="1" x="4888"/>
        <item m="1" x="2692"/>
        <item m="1" x="4532"/>
        <item m="1" x="2993"/>
        <item m="1" x="5343"/>
        <item m="1" x="7246"/>
        <item m="1" x="5109"/>
        <item m="1" x="4653"/>
        <item m="1" x="1147"/>
        <item m="1" x="6596"/>
        <item m="1" x="7036"/>
        <item m="1" x="4452"/>
        <item m="1" x="7865"/>
        <item m="1" x="1010"/>
        <item m="1" x="2577"/>
        <item m="1" x="4760"/>
        <item m="1" x="4179"/>
        <item m="1" x="2667"/>
        <item m="1" x="358"/>
        <item m="1" x="1500"/>
        <item m="1" x="1660"/>
        <item m="1" x="3003"/>
        <item m="1" x="5477"/>
        <item m="1" x="7666"/>
        <item m="1" x="2437"/>
        <item m="1" x="2208"/>
        <item m="1" x="2231"/>
        <item m="1" x="7413"/>
        <item m="1" x="6391"/>
        <item m="1" x="1908"/>
        <item m="1" x="5766"/>
        <item m="1" x="2384"/>
        <item m="1" x="3193"/>
        <item m="1" x="7762"/>
        <item m="1" x="323"/>
        <item m="1" x="6911"/>
        <item m="1" x="2095"/>
        <item m="1" x="3795"/>
        <item m="1" x="3953"/>
        <item m="1" x="384"/>
        <item m="1" x="5102"/>
        <item m="1" x="2260"/>
        <item m="1" x="4464"/>
        <item m="1" x="3388"/>
        <item m="1" x="6207"/>
        <item m="1" x="7462"/>
        <item m="1" x="6585"/>
        <item m="1" x="5595"/>
        <item m="1" x="4042"/>
        <item m="1" x="6476"/>
        <item m="1" x="1186"/>
        <item m="1" x="3543"/>
        <item m="1" x="6699"/>
        <item m="1" x="4637"/>
        <item m="1" x="2730"/>
        <item m="1" x="7566"/>
        <item m="1" x="6026"/>
        <item m="1" x="5504"/>
        <item m="1" x="879"/>
        <item m="1" x="1544"/>
        <item m="1" x="4971"/>
        <item m="1" x="5137"/>
        <item m="1" x="7631"/>
        <item m="1" x="6933"/>
        <item m="1" x="6202"/>
        <item m="1" x="7953"/>
        <item m="1" x="4374"/>
        <item m="1" x="3501"/>
        <item m="1" x="3941"/>
        <item m="1" x="1454"/>
        <item m="1" x="2250"/>
        <item m="1" x="1638"/>
        <item m="1" x="6877"/>
        <item m="1" x="311"/>
        <item m="1" x="4306"/>
        <item m="1" x="1212"/>
        <item m="1" x="1229"/>
        <item m="1" x="1257"/>
        <item m="1" x="1820"/>
        <item m="1" x="6384"/>
        <item m="1" x="6614"/>
        <item m="1" x="3808"/>
        <item m="1" x="2171"/>
        <item m="1" x="5662"/>
        <item m="1" x="4955"/>
        <item m="1" x="5592"/>
        <item m="1" x="495"/>
        <item m="1" x="1940"/>
        <item m="1" x="2886"/>
        <item m="1" x="7349"/>
        <item m="1" x="7900"/>
        <item m="1" x="99"/>
        <item m="1" x="2165"/>
        <item m="1" x="4040"/>
        <item m="1" x="1347"/>
        <item m="1" x="595"/>
        <item m="1" x="886"/>
        <item m="1" x="3092"/>
        <item m="1" x="2422"/>
        <item m="1" x="3053"/>
        <item m="1" x="5188"/>
        <item m="1" x="1498"/>
        <item m="1" x="5535"/>
        <item m="1" x="7056"/>
        <item m="1" x="7985"/>
        <item m="1" x="1978"/>
        <item m="1" x="829"/>
        <item m="1" x="5890"/>
        <item m="1" x="1247"/>
        <item m="1" x="4514"/>
        <item m="1" x="3936"/>
        <item m="1" x="1930"/>
        <item m="1" x="4698"/>
        <item m="1" x="4703"/>
        <item m="1" x="2019"/>
        <item m="1" x="4825"/>
        <item m="1" x="5857"/>
        <item m="1" x="6107"/>
        <item m="1" x="1043"/>
        <item m="1" x="6038"/>
        <item m="1" x="2931"/>
        <item m="1" x="3219"/>
        <item m="1" x="4522"/>
        <item m="1" x="2426"/>
        <item m="1" x="1906"/>
        <item m="1" x="6043"/>
        <item m="1" x="5116"/>
        <item m="1" x="4052"/>
        <item m="1" x="653"/>
        <item m="1" x="203"/>
        <item m="1" x="1189"/>
        <item m="1" x="6632"/>
        <item m="1" x="6095"/>
        <item m="1" x="7783"/>
        <item m="1" x="2144"/>
        <item m="1" x="2506"/>
        <item m="1" x="4752"/>
        <item m="1" x="2383"/>
        <item m="1" x="1290"/>
        <item m="1" x="6159"/>
        <item m="1" x="6880"/>
        <item m="1" x="2156"/>
        <item m="1" x="3449"/>
        <item m="1" x="654"/>
        <item m="1" x="2421"/>
        <item m="1" x="5517"/>
        <item m="1" x="5774"/>
        <item m="1" x="2702"/>
        <item m="1" x="5554"/>
        <item m="1" x="7488"/>
        <item m="1" x="7567"/>
        <item m="1" x="7576"/>
        <item m="1" x="2632"/>
        <item m="1" x="6545"/>
        <item m="1" x="374"/>
        <item m="1" x="77"/>
        <item m="1" x="2604"/>
        <item m="1" x="3965"/>
        <item m="1" x="5593"/>
        <item m="1" x="2494"/>
        <item m="1" x="4174"/>
        <item m="1" x="393"/>
        <item m="1" x="7237"/>
        <item m="1" x="5322"/>
        <item m="1" x="655"/>
        <item m="1" x="3377"/>
        <item m="1" x="394"/>
        <item m="1" x="1230"/>
        <item m="1" x="4906"/>
        <item m="1" x="521"/>
        <item m="1" x="4390"/>
        <item m="1" x="969"/>
        <item m="1" x="6651"/>
        <item m="1" x="2123"/>
        <item m="1" x="5446"/>
        <item m="1" x="2263"/>
        <item m="1" x="5934"/>
        <item m="1" x="6761"/>
        <item m="1" x="6606"/>
        <item m="1" x="2858"/>
        <item m="1" x="3211"/>
        <item m="1" x="3688"/>
        <item m="1" x="3756"/>
        <item m="1" x="4539"/>
        <item m="1" x="5828"/>
        <item m="1" x="3181"/>
        <item m="1" x="3035"/>
        <item m="1" x="395"/>
        <item m="1" x="1426"/>
        <item m="1" x="565"/>
        <item m="1" x="1393"/>
        <item m="1" x="3685"/>
        <item m="1" x="4570"/>
        <item m="1" x="5478"/>
        <item m="1" x="3169"/>
        <item m="1" x="7290"/>
        <item m="1" x="2996"/>
        <item m="1" x="1824"/>
        <item m="1" x="2899"/>
        <item m="1" x="5301"/>
        <item m="1" x="3899"/>
        <item m="1" x="1389"/>
        <item m="1" x="3695"/>
        <item m="1" x="7825"/>
        <item m="1" x="6347"/>
        <item m="1" x="4889"/>
        <item m="1" x="1963"/>
        <item m="1" x="7242"/>
        <item m="1" x="955"/>
        <item m="1" x="5733"/>
        <item m="1" x="1914"/>
        <item m="1" x="7154"/>
        <item m="1" x="1448"/>
        <item m="1" x="5617"/>
        <item m="1" x="828"/>
        <item m="1" x="818"/>
        <item m="1" x="4413"/>
        <item m="1" x="2314"/>
        <item m="1" x="106"/>
        <item m="1" x="3244"/>
        <item m="1" x="7070"/>
        <item m="1" x="1363"/>
        <item m="1" x="4153"/>
        <item m="1" x="2929"/>
        <item m="1" x="497"/>
        <item m="1" x="4096"/>
        <item m="1" x="2780"/>
        <item m="1" x="1724"/>
        <item m="1" x="1640"/>
        <item m="1" x="2951"/>
        <item m="1" x="7407"/>
        <item m="1" x="415"/>
        <item m="1" x="6189"/>
        <item m="1" x="3078"/>
        <item m="1" x="7906"/>
        <item m="1" x="1153"/>
        <item m="1" x="1710"/>
        <item m="1" x="6766"/>
        <item m="1" x="2179"/>
        <item m="1" x="5092"/>
        <item m="1" x="3635"/>
        <item m="1" x="2093"/>
        <item m="1" x="6973"/>
        <item m="1" x="566"/>
        <item m="1" x="4150"/>
        <item m="1" x="143"/>
        <item m="1" x="3440"/>
        <item m="1" x="1929"/>
        <item m="1" x="4160"/>
        <item m="1" x="2425"/>
        <item m="1" x="414"/>
        <item m="1" x="1699"/>
        <item m="1" x="852"/>
        <item m="1" x="4083"/>
        <item m="1" x="4283"/>
        <item m="1" x="5261"/>
        <item m="1" x="4773"/>
        <item m="1" x="7482"/>
        <item m="1" x="1814"/>
        <item m="1" x="365"/>
        <item m="1" x="5126"/>
        <item m="1" x="5893"/>
        <item m="1" x="3508"/>
        <item m="1" x="3509"/>
        <item m="1" x="3047"/>
        <item m="1" x="4520"/>
        <item m="1" x="263"/>
        <item m="1" x="264"/>
        <item m="1" x="2131"/>
        <item m="1" x="7784"/>
        <item m="1" x="4642"/>
        <item m="1" x="5822"/>
        <item m="1" x="3374"/>
        <item m="1" x="6711"/>
        <item m="1" x="5823"/>
        <item m="1" x="3048"/>
        <item m="1" x="5824"/>
        <item m="1" x="3049"/>
        <item m="1" x="97"/>
        <item m="1" x="5540"/>
        <item m="1" x="1271"/>
        <item m="1" x="5800"/>
        <item m="1" x="5544"/>
        <item m="1" x="5421"/>
        <item m="1" x="3441"/>
        <item m="1" x="3820"/>
        <item m="1" x="5695"/>
        <item m="1" x="5159"/>
        <item m="1" x="2346"/>
        <item m="1" x="7190"/>
        <item m="1" x="673"/>
        <item m="1" x="1807"/>
        <item m="1" x="343"/>
        <item m="1" x="5443"/>
        <item m="1" x="2915"/>
        <item m="1" x="1096"/>
        <item m="1" x="1781"/>
        <item m="1" x="4424"/>
        <item m="1" x="928"/>
        <item m="1" x="1220"/>
        <item m="1" x="2872"/>
        <item m="1" x="1880"/>
        <item m="1" x="3325"/>
        <item m="1" x="2043"/>
        <item m="1" x="5973"/>
        <item m="1" x="1548"/>
        <item m="1" x="1225"/>
        <item m="1" x="4571"/>
        <item m="1" x="4852"/>
        <item m="1" x="4719"/>
        <item m="1" x="7107"/>
        <item m="1" x="5166"/>
        <item m="1" x="578"/>
        <item m="1" x="4859"/>
        <item m="1" x="6227"/>
        <item m="1" x="2530"/>
        <item m="1" x="3828"/>
        <item m="1" x="2451"/>
        <item m="1" x="6700"/>
        <item m="1" x="2685"/>
        <item m="1" x="7148"/>
        <item m="1" x="7220"/>
        <item m="1" x="3837"/>
        <item m="1" x="4484"/>
        <item m="1" x="7811"/>
        <item m="1" x="6501"/>
        <item m="1" x="4129"/>
        <item m="1" x="1056"/>
        <item m="1" x="355"/>
        <item m="1" x="468"/>
        <item m="1" x="7000"/>
        <item m="1" x="2510"/>
        <item m="1" x="3194"/>
        <item m="1" x="7456"/>
        <item m="1" x="922"/>
        <item m="1" x="3427"/>
        <item m="1" x="7829"/>
        <item m="1" x="6264"/>
        <item m="1" x="6746"/>
        <item m="1" x="1691"/>
        <item m="1" x="7062"/>
        <item m="1" x="1980"/>
        <item m="1" x="7821"/>
        <item m="1" x="7379"/>
        <item m="1" x="3740"/>
        <item m="1" x="7392"/>
        <item m="1" x="7877"/>
        <item m="1" x="5646"/>
        <item m="1" x="6449"/>
        <item m="1" x="7625"/>
        <item m="1" x="5196"/>
        <item m="1" x="4880"/>
        <item m="1" x="3228"/>
        <item m="1" x="3526"/>
        <item m="1" x="1090"/>
        <item m="1" x="7110"/>
        <item m="1" x="4923"/>
        <item m="1" x="6796"/>
        <item m="1" x="1822"/>
        <item m="1" x="4028"/>
        <item m="1" x="122"/>
        <item m="1" x="2091"/>
        <item m="1" x="4309"/>
        <item m="1" x="5761"/>
        <item m="1" x="6296"/>
        <item m="1" x="3220"/>
        <item m="1" x="3642"/>
        <item m="1" x="7055"/>
        <item m="1" x="1684"/>
        <item m="1" x="1735"/>
        <item m="1" x="3402"/>
        <item m="1" x="4865"/>
        <item m="1" x="1711"/>
        <item m="1" x="4837"/>
        <item m="1" x="3927"/>
        <item m="1" x="2609"/>
        <item m="1" x="4838"/>
        <item m="1" x="1070"/>
        <item m="1" x="6208"/>
        <item m="1" x="7478"/>
        <item m="1" x="2378"/>
        <item m="1" x="2027"/>
        <item m="1" x="3123"/>
        <item m="1" x="968"/>
        <item m="1" x="1719"/>
        <item m="1" x="105"/>
        <item m="1" x="210"/>
        <item m="1" x="4339"/>
        <item m="1" x="5567"/>
        <item m="1" x="4648"/>
        <item m="1" x="7343"/>
        <item m="1" x="600"/>
        <item m="1" x="5620"/>
        <item m="1" x="439"/>
        <item m="1" x="2357"/>
        <item m="1" x="5462"/>
        <item m="1" x="3111"/>
        <item m="1" x="3422"/>
        <item m="1" x="7937"/>
        <item m="1" x="72"/>
        <item m="1" x="6017"/>
        <item m="1" x="6067"/>
        <item m="1" x="1202"/>
        <item m="1" x="6948"/>
        <item m="1" x="4260"/>
        <item m="1" x="603"/>
        <item m="1" x="4784"/>
        <item m="1" x="4453"/>
        <item m="1" x="7901"/>
        <item m="1" x="6253"/>
        <item m="1" x="4708"/>
        <item m="1" x="7545"/>
        <item m="1" x="7133"/>
        <item m="1" x="6240"/>
        <item x="11"/>
        <item m="1" x="2094"/>
        <item m="1" x="2440"/>
        <item m="1" x="4147"/>
        <item m="1" x="3663"/>
        <item m="1" x="1706"/>
        <item m="1" x="3168"/>
        <item m="1" x="1875"/>
        <item m="1" x="6164"/>
        <item m="1" x="3128"/>
        <item m="1" x="1403"/>
        <item m="1" x="4286"/>
        <item m="1" x="3791"/>
        <item m="1" x="3598"/>
        <item m="1" x="155"/>
        <item m="1" x="3444"/>
        <item m="1" x="3599"/>
        <item m="1" x="3796"/>
        <item m="1" x="3264"/>
        <item m="1" x="558"/>
        <item m="1" x="3348"/>
        <item m="1" x="1679"/>
        <item m="1" x="2582"/>
        <item m="1" x="6356"/>
        <item m="1" x="1678"/>
        <item m="1" x="3158"/>
        <item m="1" x="2226"/>
        <item m="1" x="537"/>
        <item m="1" x="5876"/>
        <item m="1" x="4065"/>
        <item m="1" x="4210"/>
        <item m="1" x="3410"/>
        <item m="1" x="3565"/>
        <item m="1" x="6298"/>
        <item m="1" x="3511"/>
        <item m="1" x="6021"/>
        <item m="1" x="1404"/>
        <item m="1" x="147"/>
        <item m="1" x="4824"/>
        <item m="1" x="7098"/>
        <item m="1" x="4872"/>
        <item m="1" x="5332"/>
        <item m="1" x="7742"/>
        <item m="1" x="890"/>
        <item m="1" x="5269"/>
        <item m="1" x="1405"/>
        <item m="1" x="3873"/>
        <item m="1" x="657"/>
        <item m="1" x="6802"/>
        <item m="1" x="1406"/>
        <item m="1" x="5411"/>
        <item m="1" x="3801"/>
        <item m="1" x="5804"/>
        <item m="1" x="6228"/>
        <item m="1" x="5642"/>
        <item m="1" x="5418"/>
        <item m="1" x="267"/>
        <item m="1" x="7421"/>
        <item m="1" x="6429"/>
        <item m="1" x="5076"/>
        <item m="1" x="345"/>
        <item m="1" x="895"/>
        <item m="1" x="5148"/>
        <item m="1" x="4063"/>
        <item m="1" x="7866"/>
        <item m="1" x="642"/>
        <item m="1" x="5799"/>
        <item m="1" x="6145"/>
        <item m="1" x="5458"/>
        <item m="1" x="413"/>
        <item m="1" x="1712"/>
        <item m="1" x="6852"/>
        <item m="1" x="2959"/>
        <item m="1" x="6715"/>
        <item m="1" x="3858"/>
        <item m="1" x="3309"/>
        <item m="1" x="5059"/>
        <item m="1" x="3314"/>
        <item m="1" x="6906"/>
        <item m="1" x="6278"/>
        <item m="1" x="206"/>
        <item m="1" x="6080"/>
        <item m="1" x="7688"/>
        <item m="1" x="3202"/>
        <item m="1" x="3636"/>
        <item m="1" x="1937"/>
        <item m="1" x="7382"/>
        <item m="1" x="3033"/>
        <item m="1" x="3207"/>
        <item m="1" x="6193"/>
        <item m="1" x="1756"/>
        <item m="1" x="2073"/>
        <item m="1" x="3596"/>
        <item m="1" x="337"/>
        <item m="1" x="5838"/>
        <item m="1" x="6243"/>
        <item m="1" x="1852"/>
        <item m="1" x="2655"/>
        <item m="1" x="7653"/>
        <item m="1" x="6244"/>
        <item m="1" x="2645"/>
        <item m="1" x="7542"/>
        <item m="1" x="2549"/>
        <item m="1" x="1110"/>
        <item m="1" x="2138"/>
        <item m="1" x="2550"/>
        <item m="1" x="2459"/>
        <item m="1" x="1776"/>
        <item m="1" x="7689"/>
        <item m="1" x="5318"/>
        <item m="1" x="2905"/>
        <item m="1" x="7557"/>
        <item m="1" x="1003"/>
        <item m="1" x="1299"/>
        <item m="1" x="4727"/>
        <item m="1" x="2460"/>
        <item m="1" x="2461"/>
        <item m="1" x="2551"/>
        <item m="1" x="3722"/>
        <item m="1" x="2227"/>
        <item m="1" x="1989"/>
        <item m="1" x="2552"/>
        <item m="1" x="2553"/>
        <item m="1" x="6503"/>
        <item m="1" x="6504"/>
        <item m="1" x="7978"/>
        <item m="1" x="7202"/>
        <item m="1" x="7430"/>
        <item m="1" x="346"/>
        <item m="1" x="123"/>
        <item m="1" x="956"/>
        <item m="1" x="3050"/>
        <item m="1" x="819"/>
        <item m="1" x="2516"/>
        <item m="1" x="7969"/>
        <item m="1" x="1334"/>
        <item x="13"/>
        <item m="1" x="7744"/>
        <item m="1" x="6456"/>
        <item m="1" x="4890"/>
        <item m="1" x="1847"/>
        <item x="59"/>
        <item m="1" x="7467"/>
        <item m="1" x="4834"/>
        <item m="1" x="3336"/>
        <item m="1" x="2663"/>
        <item m="1" x="3371"/>
        <item m="1" x="7007"/>
        <item m="1" x="1895"/>
        <item m="1" x="2542"/>
        <item m="1" x="4371"/>
        <item m="1" x="6701"/>
        <item m="1" x="4496"/>
        <item m="1" x="728"/>
        <item m="1" x="2124"/>
        <item m="1" x="7745"/>
        <item m="1" x="1574"/>
        <item m="1" x="6719"/>
        <item m="1" x="6385"/>
        <item m="1" x="1835"/>
        <item m="1" x="2856"/>
        <item m="1" x="2025"/>
        <item m="1" x="2833"/>
        <item m="1" x="4485"/>
        <item m="1" x="534"/>
        <item m="1" x="3056"/>
        <item m="1" x="3057"/>
        <item m="1" x="5093"/>
        <item m="1" x="5743"/>
        <item m="1" x="2982"/>
        <item m="1" x="1866"/>
        <item m="1" x="5179"/>
        <item m="1" x="4391"/>
        <item m="1" x="6712"/>
        <item m="1" x="1204"/>
        <item m="1" x="4747"/>
        <item m="1" x="433"/>
        <item m="1" x="7638"/>
        <item m="1" x="5752"/>
        <item m="1" x="3735"/>
        <item m="1" x="5389"/>
        <item m="1" x="903"/>
        <item m="1" x="7959"/>
        <item m="1" x="1605"/>
        <item m="1" x="4057"/>
        <item m="1" x="1280"/>
        <item m="1" x="7029"/>
        <item m="1" x="6888"/>
        <item m="1" x="1998"/>
        <item m="1" x="4748"/>
        <item m="1" x="7521"/>
        <item m="1" x="6411"/>
        <item m="1" x="3548"/>
        <item m="1" x="1243"/>
        <item m="1" x="2474"/>
        <item m="1" x="460"/>
        <item m="1" x="7634"/>
        <item m="1" x="3289"/>
        <item m="1" x="7922"/>
        <item m="1" x="3841"/>
        <item m="1" x="4613"/>
        <item m="1" x="5577"/>
        <item m="1" x="7103"/>
        <item m="1" x="931"/>
        <item m="1" x="5505"/>
        <item m="1" x="196"/>
        <item m="1" x="4012"/>
        <item m="1" x="7010"/>
        <item m="1" x="6458"/>
        <item m="1" x="5485"/>
        <item m="1" x="1473"/>
        <item m="1" x="4956"/>
        <item m="1" x="3457"/>
        <item m="1" x="5636"/>
        <item m="1" x="2234"/>
        <item m="1" x="5334"/>
        <item m="1" x="529"/>
        <item m="1" x="6692"/>
        <item m="1" x="601"/>
        <item m="1" x="5609"/>
        <item m="1" x="6321"/>
        <item m="1" x="2560"/>
        <item m="1" x="1755"/>
        <item m="1" x="7057"/>
        <item m="1" x="1907"/>
        <item m="1" x="1862"/>
        <item m="1" x="2075"/>
        <item m="1" x="6269"/>
        <item m="1" x="7432"/>
        <item m="1" x="4574"/>
        <item m="1" x="5372"/>
        <item m="1" x="2034"/>
        <item m="1" x="2272"/>
        <item m="1" x="5130"/>
        <item m="1" x="1696"/>
        <item m="1" x="1737"/>
        <item m="1" x="3744"/>
        <item m="1" x="3785"/>
        <item m="1" x="7498"/>
        <item m="1" x="5937"/>
        <item m="1" x="2633"/>
        <item m="1" x="1021"/>
        <item m="1" x="3947"/>
        <item m="1" x="3496"/>
        <item m="1" x="1954"/>
        <item m="1" x="3809"/>
        <item m="1" x="5581"/>
        <item m="1" x="1386"/>
        <item m="1" x="5459"/>
        <item m="1" x="1264"/>
        <item m="1" x="4578"/>
        <item m="1" x="4310"/>
        <item m="1" x="3743"/>
        <item m="1" x="444"/>
        <item m="1" x="4420"/>
        <item m="1" x="5668"/>
        <item m="1" x="6381"/>
        <item m="1" x="184"/>
        <item m="1" x="2114"/>
        <item m="1" x="3020"/>
        <item m="1" x="4197"/>
        <item m="1" x="6322"/>
        <item m="1" x="1779"/>
        <item m="1" x="5464"/>
        <item m="1" x="386"/>
        <item m="1" x="3874"/>
        <item m="1" x="6768"/>
        <item m="1" x="1183"/>
        <item m="1" x="3966"/>
        <item m="1" x="2870"/>
        <item m="1" x="3649"/>
        <item m="1" x="4802"/>
        <item m="1" x="2854"/>
        <item m="1" x="6056"/>
        <item m="1" x="6696"/>
        <item m="1" x="1953"/>
        <item m="1" x="2822"/>
        <item m="1" x="3474"/>
        <item m="1" x="7657"/>
        <item m="1" x="7254"/>
        <item m="1" x="6110"/>
        <item m="1" x="3916"/>
        <item m="1" x="4352"/>
        <item m="1" x="2001"/>
        <item m="1" x="1501"/>
        <item m="1" x="231"/>
        <item m="1" x="7473"/>
        <item m="1" x="3973"/>
        <item m="1" x="7600"/>
        <item m="1" x="5926"/>
        <item m="1" x="6986"/>
        <item m="1" x="4622"/>
        <item m="1" x="703"/>
        <item m="1" x="7247"/>
        <item m="1" x="3063"/>
        <item m="1" x="334"/>
        <item m="1" x="2939"/>
        <item m="1" x="761"/>
        <item m="1" x="7331"/>
        <item m="1" x="3483"/>
        <item m="1" x="1033"/>
        <item m="1" x="6993"/>
        <item m="1" x="4340"/>
        <item m="1" x="4855"/>
        <item m="1" x="2607"/>
        <item m="1" x="387"/>
        <item m="1" x="3328"/>
        <item m="1" x="4170"/>
        <item m="1" x="4533"/>
        <item m="1" x="1833"/>
        <item m="1" x="2656"/>
        <item m="1" x="4948"/>
        <item m="1" x="6363"/>
        <item m="1" x="4058"/>
        <item m="1" x="4427"/>
        <item m="1" x="4651"/>
        <item m="1" x="1297"/>
        <item m="1" x="3784"/>
        <item m="1" x="4601"/>
        <item m="1" x="4437"/>
        <item m="1" x="5509"/>
        <item m="1" x="6091"/>
        <item m="1" x="2438"/>
        <item m="1" x="762"/>
        <item m="1" x="295"/>
        <item m="1" x="5679"/>
        <item m="1" x="910"/>
        <item m="1" x="120"/>
        <item m="1" x="6186"/>
        <item m="1" x="5336"/>
        <item m="1" x="1973"/>
        <item m="1" x="5032"/>
        <item m="1" x="6642"/>
        <item m="1" x="6394"/>
        <item m="1" x="5289"/>
        <item m="1" x="3746"/>
        <item m="1" x="6309"/>
        <item m="1" x="6225"/>
        <item m="1" x="2749"/>
        <item m="1" x="2436"/>
        <item m="1" x="5526"/>
        <item m="1" x="7720"/>
        <item m="1" x="3601"/>
        <item m="1" x="5654"/>
        <item m="1" x="507"/>
        <item m="1" x="7626"/>
        <item m="1" x="441"/>
        <item m="1" x="1416"/>
        <item m="1" x="2011"/>
        <item m="1" x="2660"/>
        <item m="1" x="7102"/>
        <item m="1" x="6615"/>
        <item m="1" x="699"/>
        <item m="1" x="4434"/>
        <item m="1" x="3545"/>
        <item m="1" x="7695"/>
        <item m="1" x="4968"/>
        <item m="1" x="5165"/>
        <item m="1" x="5420"/>
        <item m="1" x="3490"/>
        <item m="1" x="6626"/>
        <item m="1" x="4864"/>
        <item m="1" x="4110"/>
        <item m="1" x="3741"/>
        <item m="1" x="5106"/>
        <item m="1" x="1765"/>
        <item m="1" x="1194"/>
        <item m="1" x="2142"/>
        <item m="1" x="222"/>
        <item m="1" x="2543"/>
        <item m="1" x="7577"/>
        <item m="1" x="1813"/>
        <item m="1" x="1013"/>
        <item m="1" x="4608"/>
        <item m="1" x="6317"/>
        <item m="1" x="740"/>
        <item m="1" x="5843"/>
        <item m="1" x="7134"/>
        <item m="1" x="1609"/>
        <item m="1" x="3818"/>
        <item m="1" x="4198"/>
        <item m="1" x="6951"/>
        <item m="1" x="197"/>
        <item m="1" x="604"/>
        <item m="1" x="279"/>
        <item m="1" x="5545"/>
        <item m="1" x="2270"/>
        <item m="1" x="6170"/>
        <item m="1" x="4704"/>
        <item m="1" x="7774"/>
        <item m="1" x="7753"/>
        <item m="1" x="4008"/>
        <item m="1" x="1589"/>
        <item m="1" x="6758"/>
        <item m="1" x="1819"/>
        <item m="1" x="3311"/>
        <item m="1" x="7285"/>
        <item m="1" x="7673"/>
        <item m="1" x="5231"/>
        <item m="1" x="347"/>
        <item m="1" x="2092"/>
        <item m="1" x="5990"/>
        <item m="1" x="7063"/>
        <item m="1" x="7117"/>
        <item m="1" x="780"/>
        <item m="1" x="7101"/>
        <item m="1" x="3376"/>
        <item m="1" x="6799"/>
        <item m="1" x="3288"/>
        <item m="1" x="2012"/>
        <item m="1" x="727"/>
        <item m="1" x="417"/>
        <item m="1" x="1958"/>
        <item m="1" x="4046"/>
        <item m="1" x="5768"/>
        <item m="1" x="7661"/>
        <item m="1" x="4108"/>
        <item m="1" x="6320"/>
        <item m="1" x="6695"/>
        <item m="1" x="3970"/>
        <item m="1" x="7598"/>
        <item m="1" x="7667"/>
        <item m="1" x="6099"/>
        <item m="1" x="7297"/>
        <item m="1" x="4494"/>
        <item m="1" x="2284"/>
        <item m="1" x="2748"/>
        <item m="1" x="1524"/>
        <item m="1" x="2811"/>
        <item m="1" x="3051"/>
        <item m="1" x="2146"/>
        <item m="1" x="1345"/>
        <item m="1" x="2887"/>
        <item m="1" x="5696"/>
        <item m="1" x="2080"/>
        <item m="1" x="1747"/>
        <item m="1" x="3088"/>
        <item m="1" x="1915"/>
        <item m="1" x="4025"/>
        <item m="1" x="997"/>
        <item m="1" x="1916"/>
        <item m="1" x="5840"/>
        <item m="1" x="4438"/>
        <item m="1" x="4739"/>
        <item m="1" x="1917"/>
        <item m="1" x="2766"/>
        <item m="1" x="1451"/>
        <item m="1" x="5951"/>
        <item m="1" x="4003"/>
        <item m="1" x="998"/>
        <item m="1" x="3199"/>
        <item m="1" x="6445"/>
        <item m="1" x="4026"/>
        <item m="1" x="837"/>
        <item m="1" x="970"/>
        <item m="1" x="3018"/>
        <item m="1" x="3089"/>
        <item m="1" x="1918"/>
        <item m="1" x="840"/>
        <item m="1" x="243"/>
        <item m="1" x="2492"/>
        <item m="1" x="5758"/>
        <item m="1" x="4355"/>
        <item m="1" x="2561"/>
        <item m="1" x="4043"/>
        <item m="1" x="5605"/>
        <item m="1" x="3412"/>
        <item m="1" x="2358"/>
        <item m="1" x="4811"/>
        <item m="1" x="994"/>
        <item m="1" x="228"/>
        <item m="1" x="339"/>
        <item m="1" x="205"/>
        <item m="1" x="7294"/>
        <item m="1" x="6386"/>
        <item m="1" x="317"/>
        <item m="1" x="7616"/>
        <item m="1" x="499"/>
        <item m="1" x="1653"/>
        <item m="1" x="2103"/>
        <item m="1" x="6171"/>
        <item m="1" x="5263"/>
        <item m="1" x="5416"/>
        <item m="1" x="3771"/>
        <item m="1" x="6731"/>
        <item m="1" x="1011"/>
        <item m="1" x="4944"/>
        <item m="1" x="1397"/>
        <item m="1" x="2128"/>
        <item m="1" x="5025"/>
        <item m="1" x="1431"/>
        <item m="1" x="2968"/>
        <item m="1" x="6197"/>
        <item m="1" x="2173"/>
        <item m="1" x="1786"/>
        <item m="1" x="3179"/>
        <item m="1" x="7008"/>
        <item m="1" x="4883"/>
        <item m="1" x="5377"/>
        <item m="1" x="889"/>
        <item m="1" x="893"/>
        <item m="1" x="1702"/>
        <item m="1" x="984"/>
        <item m="1" x="7964"/>
        <item m="1" x="715"/>
        <item m="1" x="7981"/>
        <item m="1" x="1067"/>
        <item m="1" x="6314"/>
        <item m="1" x="4557"/>
        <item m="1" x="1460"/>
        <item m="1" x="618"/>
        <item m="1" x="7118"/>
        <item m="1" x="5414"/>
        <item m="1" x="4463"/>
        <item m="1" x="7132"/>
        <item m="1" x="2255"/>
        <item m="1" x="6519"/>
        <item m="1" x="2603"/>
        <item m="1" x="392"/>
        <item m="1" x="1749"/>
        <item m="1" x="7395"/>
        <item m="1" x="5948"/>
        <item m="1" x="7042"/>
        <item m="1" x="1845"/>
        <item m="1" x="2005"/>
        <item m="1" x="6402"/>
        <item m="1" x="2879"/>
        <item m="1" x="3034"/>
        <item m="1" x="6369"/>
        <item m="1" x="3121"/>
        <item m="1" x="6285"/>
        <item m="1" x="741"/>
        <item m="1" x="2925"/>
        <item m="1" x="2600"/>
        <item m="1" x="3058"/>
        <item m="1" x="4146"/>
        <item m="1" x="2429"/>
        <item m="1" x="2674"/>
        <item m="1" x="7747"/>
        <item m="1" x="4592"/>
        <item m="1" x="6738"/>
        <item m="1" x="7377"/>
        <item m="1" x="1288"/>
        <item m="1" x="4891"/>
        <item m="1" x="2786"/>
        <item m="1" x="4400"/>
        <item m="1" x="3967"/>
        <item m="1" x="1030"/>
        <item m="1" x="1031"/>
        <item m="1" x="7369"/>
        <item m="1" x="5710"/>
        <item m="1" x="4470"/>
        <item m="1" x="473"/>
        <item m="1" x="6108"/>
        <item m="1" x="611"/>
        <item m="1" x="2291"/>
        <item m="1" x="234"/>
        <item m="1" x="1072"/>
        <item m="1" x="6210"/>
        <item m="1" x="6431"/>
        <item m="1" x="7890"/>
        <item m="1" x="1493"/>
        <item m="1" x="4593"/>
        <item m="1" x="6417"/>
        <item m="1" x="2824"/>
        <item m="1" x="2703"/>
        <item m="1" x="3242"/>
        <item m="1" x="1168"/>
        <item m="1" x="1173"/>
        <item m="1" x="6983"/>
        <item m="1" x="5400"/>
        <item x="67"/>
        <item m="1" x="550"/>
        <item m="1" x="1430"/>
        <item m="1" x="1469"/>
        <item m="1" x="1774"/>
        <item m="1" x="5387"/>
        <item m="1" x="4515"/>
        <item m="1" x="480"/>
        <item m="1" x="671"/>
        <item m="1" x="5352"/>
        <item m="1" x="641"/>
        <item m="1" x="7854"/>
        <item m="1" x="3061"/>
        <item m="1" x="6051"/>
        <item m="1" x="466"/>
        <item m="1" x="2769"/>
        <item m="1" x="3113"/>
        <item m="1" x="1627"/>
        <item m="1" x="2150"/>
        <item m="1" x="5487"/>
        <item m="1" x="6892"/>
        <item m="1" x="5493"/>
        <item m="1" x="5719"/>
        <item m="1" x="4474"/>
        <item m="1" x="990"/>
        <item m="1" x="2333"/>
        <item m="1" x="533"/>
        <item m="1" x="1855"/>
        <item m="1" x="5928"/>
        <item m="1" x="5145"/>
        <item m="1" x="1082"/>
        <item m="1" x="5440"/>
        <item m="1" x="424"/>
        <item m="1" x="1326"/>
        <item m="1" x="484"/>
        <item m="1" x="1036"/>
        <item m="1" x="5072"/>
        <item m="1" x="3059"/>
        <item m="1" x="4675"/>
        <item m="1" x="5110"/>
        <item m="1" x="5518"/>
        <item m="1" x="7715"/>
        <item m="1" x="1981"/>
        <item m="1" x="6803"/>
        <item m="1" x="7721"/>
        <item m="1" x="5894"/>
        <item m="1" x="4087"/>
        <item m="1" x="7652"/>
        <item m="1" x="2216"/>
        <item m="1" x="4547"/>
        <item m="1" x="2514"/>
        <item m="1" x="2918"/>
        <item m="1" x="5527"/>
        <item m="1" x="5256"/>
        <item m="1" x="4611"/>
        <item m="1" x="211"/>
        <item m="1" x="5187"/>
        <item m="1" x="1108"/>
        <item m="1" x="4582"/>
        <item m="1" x="7596"/>
        <item m="1" x="5853"/>
        <item m="1" x="6220"/>
        <item m="1" x="656"/>
        <item m="1" x="74"/>
        <item m="1" x="957"/>
        <item m="1" x="6082"/>
        <item m="1" x="7791"/>
        <item m="1" x="2129"/>
        <item m="1" x="5182"/>
        <item m="1" x="6355"/>
        <item m="1" x="4439"/>
        <item m="1" x="4298"/>
        <item m="1" x="5133"/>
        <item m="1" x="4257"/>
        <item m="1" x="6977"/>
        <item m="1" x="882"/>
        <item m="1" x="5170"/>
        <item m="1" x="528"/>
        <item m="1" x="896"/>
        <item m="1" x="101"/>
        <item m="1" x="5344"/>
        <item m="1" x="4798"/>
        <item m="1" x="7221"/>
        <item m="1" x="2379"/>
        <item m="1" x="5213"/>
        <item m="1" x="5849"/>
        <item m="1" x="1932"/>
        <item m="1" x="7765"/>
        <item m="1" x="7510"/>
        <item m="1" x="5287"/>
        <item m="1" x="2647"/>
        <item m="1" x="6790"/>
        <item m="1" x="6016"/>
        <item m="1" x="5086"/>
        <item m="1" x="2724"/>
        <item m="1" x="4812"/>
        <item m="1" x="6266"/>
        <item m="1" x="6684"/>
        <item m="1" x="1518"/>
        <item m="1" x="285"/>
        <item m="1" x="2443"/>
        <item m="1" x="3975"/>
        <item m="1" x="7083"/>
        <item m="1" x="633"/>
        <item m="1" x="3241"/>
        <item m="1" x="2511"/>
        <item m="1" x="2444"/>
        <item m="1" x="4755"/>
        <item m="1" x="7048"/>
        <item m="1" x="5173"/>
        <item m="1" x="6573"/>
        <item m="1" x="3883"/>
        <item m="1" x="2815"/>
        <item m="1" x="5258"/>
        <item m="1" x="3900"/>
        <item m="1" x="5104"/>
        <item m="1" x="5439"/>
        <item m="1" x="5541"/>
        <item m="1" x="5542"/>
        <item m="1" x="5005"/>
        <item m="1" x="1538"/>
        <item m="1" x="116"/>
        <item m="1" x="239"/>
        <item m="1" x="7135"/>
        <item m="1" x="1892"/>
        <item m="1" x="4024"/>
        <item m="1" x="2639"/>
        <item m="1" x="6083"/>
        <item m="1" x="1251"/>
        <item m="1" x="4490"/>
        <item m="1" x="3884"/>
        <item m="1" x="3081"/>
        <item m="1" x="6288"/>
        <item m="1" x="2736"/>
        <item m="1" x="3304"/>
        <item m="1" x="1294"/>
        <item m="1" x="6071"/>
        <item m="1" x="5097"/>
        <item m="1" x="2137"/>
        <item m="1" x="4142"/>
        <item m="1" x="5749"/>
        <item m="1" x="1311"/>
        <item m="1" x="351"/>
        <item m="1" x="1206"/>
        <item m="1" x="2217"/>
        <item m="1" x="425"/>
        <item m="1" x="5770"/>
        <item m="1" x="5094"/>
        <item m="1" x="7675"/>
        <item m="1" x="4550"/>
        <item m="1" x="7216"/>
        <item m="1" x="7982"/>
        <item m="1" x="5044"/>
        <item m="1" x="7329"/>
        <item m="1" x="7589"/>
        <item m="1" x="368"/>
        <item m="1" x="959"/>
        <item m="1" x="2957"/>
        <item m="1" x="2166"/>
        <item m="1" x="3072"/>
        <item m="1" x="5348"/>
        <item m="1" x="914"/>
        <item m="1" x="1281"/>
        <item m="1" x="5167"/>
        <item m="1" x="3510"/>
        <item m="1" x="1808"/>
        <item m="1" x="1265"/>
        <item m="1" x="3313"/>
        <item m="1" x="1922"/>
        <item m="1" x="2997"/>
        <item m="1" x="2533"/>
        <item m="1" x="5935"/>
        <item m="1" x="2000"/>
        <item m="1" x="6770"/>
        <item m="1" x="5105"/>
        <item m="1" x="6488"/>
        <item m="1" x="3378"/>
        <item m="1" x="7167"/>
        <item m="1" x="1354"/>
        <item m="1" x="2717"/>
        <item m="1" x="2855"/>
        <item m="1" x="4045"/>
        <item m="1" x="2580"/>
        <item m="1" x="6370"/>
        <item m="1" x="6671"/>
        <item m="1" x="1688"/>
        <item m="1" x="6433"/>
        <item m="1" x="1170"/>
        <item m="1" x="7429"/>
        <item m="1" x="5284"/>
        <item m="1" x="378"/>
        <item m="1" x="815"/>
        <item m="1" x="1912"/>
        <item m="1" x="6350"/>
        <item m="1" x="4774"/>
        <item m="1" x="4212"/>
        <item m="1" x="4115"/>
        <item m="1" x="6662"/>
        <item m="1" x="3816"/>
        <item m="1" x="1161"/>
        <item m="1" x="7155"/>
        <item m="1" x="3473"/>
        <item m="1" x="3323"/>
        <item m="1" x="435"/>
        <item m="1" x="7327"/>
        <item m="1" x="3208"/>
        <item m="1" x="3499"/>
        <item m="1" x="6980"/>
        <item m="1" x="335"/>
        <item m="1" x="2096"/>
        <item m="1" x="4716"/>
        <item m="1" x="1335"/>
        <item m="1" x="3246"/>
        <item m="1" x="1704"/>
        <item m="1" x="2191"/>
        <item m="1" x="2834"/>
        <item m="1" x="5974"/>
        <item m="1" x="5286"/>
        <item m="1" x="1372"/>
        <item m="1" x="3715"/>
        <item m="1" x="7526"/>
        <item m="1" x="3538"/>
        <item x="44"/>
        <item m="1" x="5734"/>
        <item m="1" x="5053"/>
        <item m="1" x="4654"/>
        <item m="1" x="6174"/>
        <item m="1" x="5811"/>
        <item m="1" x="3233"/>
        <item m="1" x="6822"/>
        <item m="1" x="985"/>
        <item m="1" x="4858"/>
        <item m="1" x="4218"/>
        <item m="1" x="4749"/>
        <item m="1" x="2848"/>
        <item m="1" x="4073"/>
        <item m="1" x="3524"/>
        <item m="1" x="1815"/>
        <item m="1" x="7621"/>
        <item m="1" x="5281"/>
        <item m="1" x="2734"/>
        <item m="1" x="6085"/>
        <item m="1" x="5475"/>
        <item m="1" x="3625"/>
        <item m="1" x="1697"/>
        <item m="1" x="6041"/>
        <item m="1" x="2774"/>
        <item m="1" x="4433"/>
        <item m="1" x="2329"/>
        <item m="1" x="514"/>
        <item m="1" x="6663"/>
        <item m="1" x="7224"/>
        <item m="1" x="5381"/>
        <item m="1" x="271"/>
        <item m="1" x="1576"/>
        <item m="1" x="4214"/>
        <item m="1" x="4713"/>
        <item m="1" x="5850"/>
        <item m="1" x="4105"/>
        <item m="1" x="2083"/>
        <item m="1" x="1211"/>
        <item m="1" x="3279"/>
        <item m="1" x="989"/>
        <item m="1" x="5368"/>
        <item m="1" x="7874"/>
        <item m="1" x="1935"/>
        <item m="1" x="1267"/>
        <item m="1" x="5706"/>
        <item m="1" x="3360"/>
        <item m="1" x="1750"/>
        <item m="1" x="4734"/>
        <item m="1" x="3856"/>
        <item m="1" x="2037"/>
        <item m="1" x="1116"/>
        <item m="1" x="2341"/>
        <item m="1" x="3922"/>
        <item m="1" x="7770"/>
        <item m="1" x="2327"/>
        <item m="1" x="1531"/>
        <item m="1" x="7206"/>
        <item m="1" x="6912"/>
        <item m="1" x="5805"/>
        <item m="1" x="6092"/>
        <item m="1" x="3315"/>
        <item m="1" x="3154"/>
        <item m="1" x="4154"/>
        <item m="1" x="4425"/>
        <item m="1" x="4518"/>
        <item m="1" x="1838"/>
        <item m="1" x="3205"/>
        <item m="1" x="851"/>
        <item m="1" x="791"/>
        <item m="1" x="716"/>
        <item m="1" x="1392"/>
        <item m="1" x="3525"/>
        <item m="1" x="379"/>
        <item m="1" x="130"/>
        <item m="1" x="4375"/>
        <item m="1" x="4750"/>
        <item m="1" x="5720"/>
        <item m="1" x="5330"/>
        <item m="1" x="5437"/>
        <item m="1" x="2801"/>
        <item m="1" x="191"/>
        <item m="1" x="5469"/>
        <item m="1" x="2737"/>
        <item m="1" x="5023"/>
        <item m="1" x="2969"/>
        <item m="1" x="6293"/>
        <item m="1" x="3592"/>
        <item m="1" x="4692"/>
        <item m="1" x="4431"/>
        <item m="1" x="108"/>
        <item m="1" x="1312"/>
        <item m="1" x="1318"/>
        <item m="1" x="86"/>
        <item m="1" x="4717"/>
        <item m="1" x="5735"/>
        <item m="1" x="3442"/>
        <item m="1" x="5082"/>
        <item m="1" x="3478"/>
        <item m="1" x="1965"/>
        <item m="1" x="639"/>
        <item x="15"/>
        <item m="1" x="2558"/>
        <item m="1" x="3329"/>
        <item m="1" x="4940"/>
        <item m="1" x="4130"/>
        <item m="1" x="4131"/>
        <item m="1" x="4395"/>
        <item m="1" x="883"/>
        <item m="1" x="3253"/>
        <item m="1" x="388"/>
        <item m="1" x="1252"/>
        <item m="1" x="1452"/>
        <item m="1" x="4180"/>
        <item m="1" x="520"/>
        <item m="1" x="7592"/>
        <item m="1" x="6068"/>
        <item m="1" x="1291"/>
        <item m="1" x="2924"/>
        <item m="1" x="763"/>
        <item m="1" x="4803"/>
        <item m="1" x="3177"/>
        <item m="1" x="5405"/>
        <item m="1" x="3450"/>
        <item m="1" x="2595"/>
        <item m="1" x="3988"/>
        <item m="1" x="7438"/>
        <item m="1" x="1205"/>
        <item m="1" x="7299"/>
        <item m="1" x="2994"/>
        <item m="1" x="5429"/>
        <item m="1" x="540"/>
        <item m="1" x="1877"/>
        <item m="1" x="3693"/>
        <item m="1" x="2168"/>
        <item m="1" x="6256"/>
        <item m="1" x="4099"/>
        <item m="1" x="580"/>
        <item m="1" x="2053"/>
        <item m="1" x="1364"/>
        <item m="1" x="5661"/>
        <item m="1" x="2919"/>
        <item m="1" x="5079"/>
        <item m="1" x="1991"/>
        <item m="1" x="7277"/>
        <item m="1" x="6489"/>
        <item m="1" x="6497"/>
        <item m="1" x="1456"/>
        <item m="1" x="2710"/>
        <item m="1" x="1125"/>
        <item m="1" x="5721"/>
        <item m="1" x="6015"/>
        <item m="1" x="2960"/>
        <item m="1" x="4521"/>
        <item m="1" x="1611"/>
        <item m="1" x="493"/>
        <item m="1" x="6453"/>
        <item m="1" x="300"/>
        <item m="1" x="2943"/>
        <item m="1" x="5599"/>
        <item m="1" x="4573"/>
        <item m="1" x="7582"/>
        <item m="1" x="790"/>
        <item m="1" x="4370"/>
        <item m="1" x="3012"/>
        <item m="1" x="1792"/>
        <item m="1" x="218"/>
        <item m="1" x="6273"/>
        <item m="1" x="1369"/>
        <item m="1" x="2707"/>
        <item m="1" x="2687"/>
        <item m="1" x="352"/>
        <item m="1" x="4585"/>
        <item m="1" x="5969"/>
        <item m="1" x="4471"/>
        <item m="1" x="2427"/>
        <item m="1" x="1766"/>
        <item m="1" x="5252"/>
        <item m="1" x="781"/>
        <item m="1" x="1634"/>
        <item m="1" x="4307"/>
        <item m="1" x="596"/>
        <item m="1" x="2731"/>
        <item m="1" x="6090"/>
        <item m="1" x="7840"/>
        <item m="1" x="235"/>
        <item m="1" x="7817"/>
        <item m="1" x="3229"/>
        <item m="1" x="3521"/>
        <item m="1" x="2789"/>
        <item m="1" x="3600"/>
        <item m="1" x="2446"/>
        <item m="1" x="7142"/>
        <item m="1" x="966"/>
        <item m="1" x="7690"/>
        <item m="1" x="2750"/>
        <item m="1" x="866"/>
        <item m="1" x="3844"/>
        <item m="1" x="6532"/>
        <item m="1" x="4119"/>
        <item m="1" x="721"/>
        <item m="1" x="2787"/>
        <item m="1" x="1525"/>
        <item m="1" x="329"/>
        <item m="1" x="6881"/>
        <item m="1" x="5792"/>
        <item m="1" x="2028"/>
        <item m="1" x="2626"/>
        <item m="1" x="2503"/>
        <item m="1" x="5887"/>
        <item m="1" x="6027"/>
        <item m="1" x="390"/>
        <item m="1" x="4475"/>
        <item m="1" x="4594"/>
        <item x="41"/>
        <item m="1" x="4423"/>
        <item m="1" x="7728"/>
        <item m="1" x="2634"/>
        <item m="1" x="4292"/>
        <item m="1" x="3292"/>
        <item m="1" x="2771"/>
        <item m="1" x="2772"/>
        <item m="1" x="2983"/>
        <item m="1" x="293"/>
        <item m="1" x="146"/>
        <item m="1" x="3362"/>
        <item m="1" x="6824"/>
        <item m="1" x="6816"/>
        <item m="1" x="1487"/>
        <item m="1" x="6672"/>
        <item m="1" x="3451"/>
        <item m="1" x="5981"/>
        <item m="1" x="7138"/>
        <item m="1" x="5006"/>
        <item m="1" x="6140"/>
        <item m="1" x="4693"/>
        <item m="1" x="1195"/>
        <item m="1" x="4491"/>
        <item m="1" x="2058"/>
        <item m="1" x="6775"/>
        <item m="1" x="4775"/>
        <item m="1" x="2238"/>
        <item m="1" x="6586"/>
        <item m="1" x="6492"/>
        <item m="1" x="2449"/>
        <item m="1" x="2640"/>
        <item m="1" x="1582"/>
        <item m="1" x="2881"/>
        <item m="1" x="6223"/>
        <item m="1" x="1323"/>
        <item m="1" x="2197"/>
        <item m="1" x="5422"/>
        <item m="1" x="7871"/>
        <item m="1" x="4916"/>
        <item m="1" x="6861"/>
        <item m="1" x="7632"/>
        <item m="1" x="5570"/>
        <item m="1" x="7197"/>
        <item m="1" x="4535"/>
        <item m="1" x="7453"/>
        <item m="1" x="5561"/>
        <item m="1" x="3331"/>
        <item m="1" x="4710"/>
        <item m="1" x="1349"/>
        <item m="1" x="6600"/>
        <item m="1" x="3527"/>
        <item m="1" x="5745"/>
        <item m="1" x="4445"/>
        <item m="1" x="7389"/>
        <item m="1" x="2840"/>
        <item m="1" x="7485"/>
        <item m="1" x="5208"/>
        <item m="1" x="6073"/>
        <item m="1" x="667"/>
        <item m="1" x="4215"/>
        <item m="1" x="3672"/>
        <item m="1" x="6964"/>
        <item m="1" x="3536"/>
        <item m="1" x="5347"/>
        <item m="1" x="4141"/>
        <item m="1" x="1480"/>
        <item m="1" x="174"/>
        <item m="1" x="237"/>
        <item m="1" x="3767"/>
        <item m="1" x="296"/>
        <item m="1" x="5995"/>
        <item m="1" x="411"/>
        <item m="1" x="5727"/>
        <item m="1" x="7671"/>
        <item m="1" x="2788"/>
        <item m="1" x="4758"/>
        <item m="1" x="2262"/>
        <item m="1" x="7444"/>
        <item m="1" x="4486"/>
        <item m="1" x="5383"/>
        <item m="1" x="5725"/>
        <item m="1" x="396"/>
        <item m="1" x="4259"/>
        <item m="1" x="2756"/>
        <item m="1" x="6825"/>
        <item m="1" x="7775"/>
        <item m="1" x="1461"/>
        <item m="1" x="1695"/>
        <item m="1" x="6209"/>
        <item m="1" x="5214"/>
        <item m="1" x="2464"/>
        <item m="1" x="4572"/>
        <item m="1" x="4896"/>
        <item m="1" x="1177"/>
        <item m="1" x="5291"/>
        <item m="1" x="5135"/>
        <item m="1" x="232"/>
        <item m="1" x="2415"/>
        <item m="1" x="5236"/>
        <item m="1" x="7778"/>
        <item m="1" x="3232"/>
        <item m="1" x="3083"/>
        <item m="1" x="1260"/>
        <item m="1" x="5746"/>
        <item m="1" x="1413"/>
        <item m="1" x="84"/>
        <item m="1" x="6848"/>
        <item m="1" x="4027"/>
        <item m="1" x="5250"/>
        <item m="1" x="3782"/>
        <item m="1" x="5349"/>
        <item m="1" x="1923"/>
        <item m="1" x="6547"/>
        <item m="1" x="2515"/>
        <item m="1" x="7949"/>
        <item m="1" x="6419"/>
        <item m="1" x="1218"/>
        <item m="1" x="213"/>
        <item m="1" x="670"/>
        <item m="1" x="4432"/>
        <item m="1" x="6589"/>
        <item m="1" x="5380"/>
        <item m="1" x="5112"/>
        <item m="1" x="1272"/>
        <item m="1" x="7353"/>
        <item m="1" x="6729"/>
        <item m="1" x="1775"/>
        <item m="1" x="5345"/>
        <item m="1" x="6681"/>
        <item m="1" x="2331"/>
        <item m="1" x="6575"/>
        <item m="1" x="2686"/>
        <item m="1" x="5479"/>
        <item m="1" x="110"/>
        <item m="1" x="4639"/>
        <item m="1" x="5373"/>
        <item m="1" x="4790"/>
        <item m="1" x="2732"/>
        <item m="1" x="1654"/>
        <item m="1" x="4513"/>
        <item m="1" x="4886"/>
        <item m="1" x="2159"/>
        <item m="1" x="5949"/>
        <item m="1" x="3792"/>
        <item m="1" x="3923"/>
        <item m="1" x="467"/>
        <item m="1" x="2932"/>
        <item m="1" x="6961"/>
        <item m="1" x="280"/>
        <item m="1" x="3456"/>
        <item m="1" x="7426"/>
        <item m="1" x="6821"/>
        <item m="1" x="5004"/>
        <item m="1" x="5870"/>
        <item m="1" x="7904"/>
        <item m="1" x="6882"/>
        <item m="1" x="5977"/>
        <item m="1" x="4013"/>
        <item m="1" x="5512"/>
        <item m="1" x="2757"/>
        <item m="1" x="2054"/>
        <item m="1" x="764"/>
        <item m="1" x="5074"/>
        <item m="1" x="1571"/>
        <item m="1" x="3968"/>
        <item m="1" x="1659"/>
        <item m="1" x="5813"/>
        <item m="1" x="4010"/>
        <item m="1" x="3590"/>
        <item m="1" x="3187"/>
        <item m="1" x="3084"/>
        <item m="1" x="2636"/>
        <item m="1" x="1599"/>
        <item m="1" x="3401"/>
        <item m="1" x="3176"/>
        <item m="1" x="6169"/>
        <item m="1" x="5209"/>
        <item m="1" x="3310"/>
        <item m="1" x="5371"/>
        <item m="1" x="1126"/>
        <item m="1" x="3687"/>
        <item m="1" x="1960"/>
        <item m="1" x="1777"/>
        <item m="1" x="583"/>
        <item m="1" x="4239"/>
        <item m="1" x="4783"/>
        <item m="1" x="3500"/>
        <item m="1" x="7347"/>
        <item m="1" x="5127"/>
        <item m="1" x="4440"/>
        <item m="1" x="3863"/>
        <item m="1" x="3212"/>
        <item m="1" x="2487"/>
        <item m="1" x="3810"/>
        <item m="1" x="3266"/>
        <item m="1" x="3042"/>
        <item m="1" x="83"/>
        <item m="1" x="1545"/>
        <item m="1" x="3790"/>
        <item m="1" x="3418"/>
        <item m="1" x="4712"/>
        <item m="1" x="6947"/>
        <item m="1" x="6702"/>
        <item m="1" x="1099"/>
        <item m="1" x="7176"/>
        <item m="1" x="1886"/>
        <item m="1" x="677"/>
        <item m="1" x="5638"/>
        <item m="1" x="6675"/>
        <item m="1" x="6830"/>
        <item m="1" x="999"/>
        <item m="1" x="7310"/>
        <item m="1" x="4353"/>
        <item m="1" x="3249"/>
        <item m="1" x="7339"/>
        <item m="1" x="1760"/>
        <item m="1" x="6533"/>
        <item m="1" x="6512"/>
        <item m="1" x="283"/>
        <item m="1" x="7672"/>
        <item m="1" x="5514"/>
        <item m="1" x="5854"/>
        <item m="1" x="694"/>
        <item m="1" x="2201"/>
        <item m="1" x="6747"/>
        <item m="1" x="6808"/>
        <item m="1" x="6713"/>
        <item m="1" x="5333"/>
        <item m="1" x="4525"/>
        <item m="1" x="7708"/>
        <item m="1" x="6811"/>
        <item m="1" x="2455"/>
        <item m="1" x="805"/>
        <item m="1" x="3930"/>
        <item m="1" x="1253"/>
        <item m="1" x="5335"/>
        <item m="1" x="3831"/>
        <item m="1" x="2846"/>
        <item m="1" x="1655"/>
        <item m="1" x="3641"/>
        <item m="1" x="1586"/>
        <item m="1" x="7549"/>
        <item m="1" x="446"/>
        <item m="1" x="4213"/>
        <item m="1" x="7160"/>
        <item m="1" x="1287"/>
        <item m="1" x="2338"/>
        <item m="1" x="7891"/>
        <item m="1" x="567"/>
        <item m="1" x="3430"/>
        <item m="1" x="1203"/>
        <item m="1" x="7326"/>
        <item m="1" x="1982"/>
        <item m="1" x="4694"/>
        <item m="1" x="3091"/>
        <item m="1" x="3426"/>
        <item m="1" x="2562"/>
        <item m="1" x="1508"/>
        <item m="1" x="3578"/>
        <item m="1" x="1407"/>
        <item m="1" x="4943"/>
        <item m="1" x="6851"/>
        <item m="1" x="7796"/>
        <item m="1" x="1277"/>
        <item m="1" x="6963"/>
        <item m="1" x="2776"/>
        <item m="1" x="1532"/>
        <item m="1" x="113"/>
        <item m="1" x="746"/>
        <item m="1" x="7139"/>
        <item m="1" x="5268"/>
        <item m="1" x="1836"/>
        <item m="1" x="2280"/>
        <item m="1" x="2099"/>
        <item m="1" x="2221"/>
        <item m="1" x="2222"/>
        <item m="1" x="7262"/>
        <item m="1" x="5089"/>
        <item m="1" x="4586"/>
        <item m="1" x="7414"/>
        <item m="1" x="4143"/>
        <item m="1" x="5841"/>
        <item m="1" x="2198"/>
        <item m="1" x="6708"/>
        <item m="1" x="4461"/>
        <item m="1" x="2962"/>
        <item m="1" x="3848"/>
        <item m="1" x="3159"/>
        <item m="1" x="6536"/>
        <item m="1" x="1520"/>
        <item m="1" x="7348"/>
        <item m="1" x="2986"/>
        <item m="1" x="198"/>
        <item m="1" x="7074"/>
        <item m="1" x="3530"/>
        <item m="1" x="6776"/>
        <item m="1" x="338"/>
        <item m="1" x="4033"/>
        <item m="1" x="7009"/>
        <item m="1" x="7243"/>
        <item m="1" x="7928"/>
        <item m="1" x="3707"/>
        <item m="1" x="6937"/>
        <item m="1" x="2059"/>
        <item m="1" x="5967"/>
        <item m="1" x="3745"/>
        <item m="1" x="3652"/>
        <item m="1" x="5991"/>
        <item m="1" x="7682"/>
        <item m="1" x="5859"/>
        <item m="1" x="1284"/>
        <item m="1" x="7111"/>
        <item m="1" x="7683"/>
        <item m="1" x="6938"/>
        <item m="1" x="7253"/>
        <item m="1" x="5819"/>
        <item m="1" x="7847"/>
        <item m="1" x="5760"/>
        <item m="1" x="3163"/>
        <item m="1" x="1900"/>
        <item m="1" x="3075"/>
        <item m="1" x="682"/>
        <item m="1" x="4111"/>
        <item m="1" x="6127"/>
        <item m="1" x="6246"/>
        <item m="1" x="4181"/>
        <item m="1" x="2046"/>
        <item m="1" x="5162"/>
        <item m="1" x="2837"/>
        <item m="1" x="7889"/>
        <item m="1" x="7418"/>
        <item m="1" x="5060"/>
        <item m="1" x="4640"/>
        <item m="1" x="3234"/>
        <item m="1" x="1681"/>
        <item m="1" x="5117"/>
        <item m="1" x="6359"/>
        <item m="1" x="1000"/>
        <item m="1" x="2547"/>
        <item m="1" x="7071"/>
        <item m="1" x="4769"/>
        <item m="1" x="820"/>
        <item m="1" x="3363"/>
        <item m="1" x="3854"/>
        <item m="1" x="629"/>
        <item m="1" x="7173"/>
        <item m="1" x="5441"/>
        <item m="1" x="340"/>
        <item m="1" x="2571"/>
        <item m="1" x="7381"/>
        <item m="1" x="7072"/>
        <item m="1" x="4517"/>
        <item m="1" x="2385"/>
        <item m="1" x="827"/>
        <item m="1" x="2890"/>
        <item m="1" x="5700"/>
        <item m="1" x="4055"/>
        <item m="1" x="2751"/>
        <item m="1" x="1797"/>
        <item m="1" x="7746"/>
        <item m="1" x="710"/>
        <item m="1" x="1511"/>
        <item m="1" x="683"/>
        <item m="1" x="3337"/>
        <item m="1" x="2491"/>
        <item m="1" x="5302"/>
        <item m="1" x="3008"/>
        <item m="1" x="1533"/>
        <item m="1" x="2669"/>
        <item m="1" x="4158"/>
        <item m="1" x="6393"/>
        <item m="1" x="7386"/>
        <item m="1" x="6048"/>
        <item m="1" x="6978"/>
        <item m="1" x="7113"/>
        <item m="1" x="5946"/>
        <item m="1" x="6657"/>
        <item m="1" x="2920"/>
        <item m="1" x="4132"/>
        <item m="1" x="5404"/>
        <item m="1" x="3939"/>
        <item m="1" x="5146"/>
        <item m="1" x="6470"/>
        <item m="1" x="362"/>
        <item m="1" x="5866"/>
        <item m="1" x="7047"/>
        <item m="1" x="706"/>
        <item m="1" x="4666"/>
        <item m="1" x="2465"/>
        <item m="1" x="1911"/>
        <item m="1" x="2989"/>
        <item m="1" x="6477"/>
        <item m="1" x="3023"/>
        <item m="1" x="964"/>
        <item m="1" x="5565"/>
        <item m="1" x="2466"/>
        <item m="1" x="1633"/>
        <item m="1" x="3102"/>
        <item m="1" x="1001"/>
        <item m="1" x="1276"/>
        <item m="1" x="2051"/>
        <item m="1" x="4415"/>
        <item m="1" x="6096"/>
        <item m="1" x="5201"/>
        <item m="1" x="5603"/>
        <item m="1" x="272"/>
        <item m="1" x="2478"/>
        <item m="1" x="1078"/>
        <item m="1" x="6260"/>
        <item m="1" x="3286"/>
        <item m="1" x="7144"/>
        <item m="1" x="2365"/>
        <item m="1" x="4805"/>
        <item m="1" x="5998"/>
        <item m="1" x="5394"/>
        <item m="1" x="3236"/>
        <item m="1" x="5919"/>
        <item m="1" x="732"/>
        <item m="1" x="3815"/>
        <item m="1" x="1131"/>
        <item m="1" x="1718"/>
        <item m="1" x="1002"/>
        <item m="1" x="1598"/>
        <item m="1" x="856"/>
        <item m="1" x="2563"/>
        <item m="1" x="6259"/>
        <item m="1" x="2013"/>
        <item m="1" x="3260"/>
        <item m="1" x="3494"/>
        <item m="1" x="5692"/>
        <item m="1" x="2247"/>
        <item m="1" x="1829"/>
        <item m="1" x="6543"/>
        <item m="1" x="3725"/>
        <item m="1" x="5812"/>
        <item m="1" x="5699"/>
        <item m="1" x="3160"/>
        <item m="1" x="3302"/>
        <item m="1" x="918"/>
        <item m="1" x="5292"/>
        <item m="1" x="7264"/>
        <item m="1" x="7054"/>
        <item m="1" x="330"/>
        <item m="1" x="1191"/>
        <item m="1" x="1199"/>
        <item m="1" x="1488"/>
        <item m="1" x="4962"/>
        <item m="1" x="3609"/>
        <item m="1" x="1184"/>
        <item m="1" x="7692"/>
        <item m="1" x="5750"/>
        <item m="1" x="76"/>
        <item m="1" x="5118"/>
        <item m="1" x="3462"/>
        <item m="1" x="6804"/>
        <item m="1" x="1694"/>
        <item m="1" x="7573"/>
        <item m="1" x="1997"/>
        <item m="1" x="3575"/>
        <item m="1" x="3821"/>
        <item m="1" x="1726"/>
        <item m="1" x="1373"/>
        <item m="1" x="630"/>
        <item m="1" x="2372"/>
        <item m="1" x="1528"/>
        <item m="1" x="5432"/>
        <item m="1" x="7707"/>
        <item m="1" x="7265"/>
        <item m="1" x="1286"/>
        <item m="1" x="838"/>
        <item m="1" x="6560"/>
        <item m="1" x="4449"/>
        <item m="1" x="6634"/>
        <item m="1" x="3658"/>
        <item m="1" x="612"/>
        <item m="1" x="6890"/>
        <item m="1" x="4683"/>
        <item m="1" x="7252"/>
        <item m="1" x="154"/>
        <item m="1" x="7884"/>
        <item m="1" x="2483"/>
        <item m="1" x="7525"/>
        <item m="1" x="3822"/>
        <item m="1" x="7363"/>
        <item m="1" x="643"/>
        <item m="1" x="4632"/>
        <item m="1" x="6665"/>
        <item m="1" x="6282"/>
        <item m="1" x="4985"/>
        <item m="1" x="6944"/>
        <item m="1" x="2033"/>
        <item m="1" x="1970"/>
        <item m="1" x="2410"/>
        <item m="1" x="6069"/>
        <item m="1" x="707"/>
        <item m="1" x="2484"/>
        <item m="1" x="621"/>
        <item m="1" x="4969"/>
        <item m="1" x="2613"/>
        <item m="1" x="3838"/>
        <item m="1" x="6297"/>
        <item m="1" x="5138"/>
        <item m="1" x="1578"/>
        <item m="1" x="3080"/>
        <item m="1" x="4226"/>
        <item m="1" x="5806"/>
        <item m="1" x="4884"/>
        <item m="1" x="2502"/>
        <item m="1" x="3484"/>
        <item m="1" x="3552"/>
        <item m="1" x="6607"/>
        <item m="1" x="1465"/>
        <item m="1" x="6534"/>
        <item m="1" x="855"/>
        <item m="1" x="6727"/>
        <item m="1" x="6034"/>
        <item m="1" x="776"/>
        <item m="1" x="7235"/>
        <item m="1" x="1298"/>
        <item m="1" x="834"/>
        <item m="1" x="6805"/>
        <item m="1" x="1641"/>
        <item m="1" x="2287"/>
        <item m="1" x="3356"/>
        <item m="1" x="5174"/>
        <item m="1" x="7490"/>
        <item m="1" x="2373"/>
        <item m="1" x="2995"/>
        <item m="1" x="6610"/>
        <item m="1" x="3463"/>
        <item m="1" x="4376"/>
        <item m="1" x="7750"/>
        <item m="1" x="391"/>
        <item m="1" x="2388"/>
        <item m="1" x="7935"/>
        <item m="1" x="5884"/>
        <item m="1" x="6270"/>
        <item m="1" x="4833"/>
        <item m="1" x="2585"/>
        <item m="1" x="4364"/>
        <item m="1" x="742"/>
        <item m="1" x="7150"/>
        <item m="1" x="2866"/>
        <item m="1" x="3097"/>
        <item m="1" x="1359"/>
        <item m="1" x="6991"/>
        <item m="1" x="7767"/>
        <item m="1" x="1262"/>
        <item m="1" x="5232"/>
        <item m="1" x="5628"/>
        <item m="1" x="1601"/>
        <item m="1" x="6113"/>
        <item m="1" x="6926"/>
        <item m="1" x="6992"/>
        <item m="1" x="3062"/>
        <item m="1" x="1331"/>
        <item m="1" x="2754"/>
        <item m="1" x="5987"/>
        <item m="1" x="1625"/>
        <item m="1" x="6255"/>
        <item m="1" x="7238"/>
        <item m="1" x="5219"/>
        <item m="1" x="5481"/>
        <item m="1" x="2555"/>
        <item m="1" x="2452"/>
        <item m="1" x="3932"/>
        <item m="1" x="2790"/>
        <item m="1" x="7564"/>
        <item m="1" x="2157"/>
        <item m="1" x="6166"/>
        <item m="1" x="7018"/>
        <item m="1" x="1842"/>
        <item m="1" x="7580"/>
        <item m="1" x="584"/>
        <item m="1" x="613"/>
        <item m="1" x="93"/>
        <item m="1" x="6789"/>
        <item m="1" x="1843"/>
        <item m="1" x="5634"/>
        <item m="1" x="5953"/>
        <item m="1" x="2940"/>
        <item m="1" x="5177"/>
        <item m="1" x="6200"/>
        <item m="1" x="6201"/>
        <item m="1" x="221"/>
        <item m="1" x="6160"/>
        <item m="1" x="2578"/>
        <item m="1" x="2485"/>
        <item m="1" x="7472"/>
        <item m="1" x="3471"/>
        <item m="1" x="5999"/>
        <item m="1" x="4459"/>
        <item m="1" x="4460"/>
        <item m="1" x="2528"/>
        <item m="1" x="4876"/>
        <item m="1" x="1925"/>
        <item m="1" x="1439"/>
        <item m="1" x="2286"/>
        <item m="1" x="6178"/>
        <item m="1" x="2762"/>
        <item m="1" x="2581"/>
        <item m="1" x="4988"/>
        <item m="1" x="6371"/>
        <item m="1" x="6000"/>
        <item m="1" x="7722"/>
        <item m="1" x="2017"/>
        <item m="1" x="1499"/>
        <item m="1" x="420"/>
        <item m="1" x="5220"/>
        <item m="1" x="6777"/>
        <item m="1" x="1846"/>
        <item m="1" x="2236"/>
        <item m="1" x="7359"/>
        <item m="1" x="7037"/>
        <item m="1" x="7605"/>
        <item m="1" x="2758"/>
        <item m="1" x="6621"/>
        <item m="1" x="7494"/>
        <item m="1" x="2966"/>
        <item m="1" x="6289"/>
        <item m="1" x="1959"/>
        <item m="1" x="2430"/>
        <item m="1" x="4299"/>
        <item m="1" x="5223"/>
        <item m="1" x="4662"/>
        <item m="1" x="7896"/>
        <item m="1" x="7579"/>
        <item m="1" x="5525"/>
        <item m="1" x="6577"/>
        <item m="1" x="6970"/>
        <item m="1" x="6683"/>
        <item m="1" x="4053"/>
        <item m="1" x="7081"/>
        <item m="1" x="647"/>
        <item m="1" x="5073"/>
        <item m="1" x="7805"/>
        <item m="1" x="1778"/>
        <item m="1" x="1165"/>
        <item m="1" x="4462"/>
        <item m="1" x="7204"/>
        <item m="1" x="7149"/>
        <item m="1" x="3732"/>
        <item m="1" x="6720"/>
        <item m="1" x="4448"/>
        <item m="1" x="2232"/>
        <item m="1" x="2805"/>
        <item m="1" x="4696"/>
        <item m="1" x="3680"/>
        <item m="1" x="3222"/>
        <item m="1" x="5002"/>
        <item m="1" x="2032"/>
        <item m="1" x="5480"/>
        <item m="1" x="3392"/>
        <item m="1" x="7422"/>
        <item m="1" x="950"/>
        <item m="1" x="3001"/>
        <item m="1" x="5237"/>
        <item m="1" x="2215"/>
        <item m="1" x="3531"/>
        <item m="1" x="485"/>
        <item m="1" x="5837"/>
        <item m="1" x="695"/>
        <item m="1" x="2009"/>
        <item m="1" x="4709"/>
        <item m="1" x="5736"/>
        <item m="1" x="6886"/>
        <item m="1" x="3467"/>
        <item m="1" x="6177"/>
        <item m="1" x="3961"/>
        <item m="1" x="4365"/>
        <item m="1" x="5247"/>
        <item m="1" x="4255"/>
        <item m="1" x="777"/>
        <item m="1" x="4335"/>
        <item m="1" x="7642"/>
        <item m="1" x="7439"/>
        <item m="1" x="509"/>
        <item m="1" x="3481"/>
        <item m="1" x="2068"/>
        <item m="1" x="2132"/>
        <item m="1" x="7678"/>
        <item m="1" x="502"/>
        <item m="1" x="5293"/>
        <item m="1" x="7704"/>
        <item m="1" x="135"/>
        <item m="1" x="7815"/>
        <item m="1" x="1273"/>
        <item m="1" x="2961"/>
        <item m="1" x="6173"/>
        <item m="1" x="1215"/>
        <item m="1" x="3931"/>
        <item m="1" x="7022"/>
        <item m="1" x="6077"/>
        <item m="1" x="5537"/>
        <item m="1" x="92"/>
        <item m="1" x="4839"/>
        <item m="1" x="2319"/>
        <item m="1" x="2085"/>
        <item m="1" x="758"/>
        <item m="1" x="6997"/>
        <item m="1" x="4074"/>
        <item x="9"/>
        <item m="1" x="7724"/>
        <item m="1" x="3294"/>
        <item m="1" x="4068"/>
        <item m="1" x="1812"/>
        <item m="1" x="4216"/>
        <item m="1" x="1526"/>
        <item m="1" x="743"/>
        <item m="1" x="4941"/>
        <item m="1" x="4768"/>
        <item m="1" x="124"/>
        <item m="1" x="2044"/>
        <item m="1" x="4029"/>
        <item m="1" x="1044"/>
        <item m="1" x="7479"/>
        <item m="1" x="7522"/>
        <item m="1" x="1888"/>
        <item m="1" x="1140"/>
        <item m="1" x="6238"/>
        <item m="1" x="5839"/>
        <item m="1" x="7475"/>
        <item m="1" x="5407"/>
        <item m="1" x="7440"/>
        <item m="1" x="4441"/>
        <item m="1" x="7822"/>
        <item m="1" x="978"/>
        <item m="1" x="4853"/>
        <item m="1" x="5551"/>
        <item m="1" x="341"/>
        <item m="1" x="2240"/>
        <item m="1" x="5111"/>
        <item m="1" x="2393"/>
        <item m="1" x="4101"/>
        <item m="1" x="6409"/>
        <item m="1" x="1509"/>
        <item m="1" x="5759"/>
        <item m="1" x="2857"/>
        <item m="1" x="1969"/>
        <item m="1" x="1868"/>
        <item m="1" x="6263"/>
        <item m="1" x="980"/>
        <item m="1" x="6010"/>
        <item m="1" x="2615"/>
        <item m="1" x="4106"/>
        <item m="1" x="1293"/>
        <item m="1" x="1951"/>
        <item m="1" x="2911"/>
        <item m="1" x="7493"/>
        <item m="1" x="5931"/>
        <item m="1" x="2394"/>
        <item m="1" x="2544"/>
        <item m="1" x="5175"/>
        <item m="1" x="193"/>
        <item m="1" x="7480"/>
        <item m="1" x="1491"/>
        <item m="1" x="2356"/>
        <item m="1" x="6102"/>
        <item m="1" x="2990"/>
        <item m="1" x="756"/>
        <item m="1" x="2071"/>
        <item m="1" x="1689"/>
        <item m="1" x="1905"/>
        <item m="1" x="71"/>
        <item m="1" x="5829"/>
        <item m="1" x="4324"/>
        <item m="1" x="1680"/>
        <item m="1" x="4293"/>
        <item m="1" x="1379"/>
        <item m="1" x="1380"/>
        <item m="1" x="7380"/>
        <item m="1" x="4171"/>
        <item m="1" x="5442"/>
        <item m="1" x="6001"/>
        <item m="1" x="3283"/>
        <item m="1" x="7357"/>
        <item m="1" x="6154"/>
        <item m="1" x="7215"/>
        <item m="1" x="5435"/>
        <item m="1" x="2570"/>
        <item m="1" x="4435"/>
        <item m="1" x="4915"/>
        <item m="1" x="6247"/>
        <item m="1" x="1636"/>
        <item m="1" x="1725"/>
        <item m="1" x="5665"/>
        <item m="1" x="125"/>
        <item m="1" x="6194"/>
        <item m="1" x="919"/>
        <item m="1" x="6728"/>
        <item m="1" x="1239"/>
        <item m="1" x="3974"/>
        <item m="1" x="7531"/>
        <item m="1" x="5305"/>
        <item m="1" x="3145"/>
        <item m="1" x="6006"/>
        <item m="1" x="7643"/>
        <item m="1" x="4718"/>
        <item m="1" x="5061"/>
        <item m="1" x="6714"/>
        <item m="1" x="7940"/>
        <item m="1" x="7804"/>
        <item m="1" x="6180"/>
        <item m="1" x="5351"/>
        <item m="1" x="1412"/>
        <item m="1" x="6838"/>
        <item m="1" x="157"/>
        <item m="1" x="924"/>
        <item m="1" x="6556"/>
        <item m="1" x="5899"/>
        <item m="1" x="7917"/>
        <item m="1" x="4903"/>
        <item m="1" x="3843"/>
        <item m="1" x="2496"/>
        <item m="1" x="2023"/>
        <item m="1" x="6682"/>
        <item m="1" x="1881"/>
        <item m="1" x="3364"/>
        <item m="1" x="1575"/>
        <item m="1" x="753"/>
        <item m="1" x="5473"/>
        <item m="1" x="2151"/>
        <item m="1" x="5031"/>
        <item m="1" x="3045"/>
        <item m="1" x="6212"/>
        <item m="1" x="3146"/>
        <item m="1" x="658"/>
        <item m="1" x="6045"/>
        <item m="1" x="5702"/>
        <item m="1" x="4163"/>
        <item m="1" x="5045"/>
        <item m="1" x="6002"/>
        <item m="1" x="486"/>
        <item m="1" x="5139"/>
        <item m="1" x="867"/>
        <item m="1" x="6018"/>
        <item m="1" x="4125"/>
        <item m="1" x="4487"/>
        <item m="1" x="6104"/>
        <item m="1" x="5234"/>
        <item m="1" x="6304"/>
        <item m="1" x="2445"/>
        <item m="1" x="3464"/>
        <item m="1" x="3910"/>
        <item m="1" x="4186"/>
        <item m="1" x="4497"/>
        <item m="1" x="5357"/>
        <item m="1" x="5879"/>
        <item m="1" x="5880"/>
        <item m="1" x="5881"/>
        <item m="1" x="5883"/>
        <item m="1" x="3911"/>
        <item m="1" x="4188"/>
        <item m="1" x="4189"/>
        <item m="1" x="6063"/>
        <item m="1" x="4190"/>
        <item m="1" x="4194"/>
        <item m="1" x="4498"/>
        <item m="1" x="4499"/>
        <item m="1" x="4500"/>
        <item m="1" x="4501"/>
        <item m="1" x="4502"/>
        <item m="1" x="4503"/>
        <item m="1" x="4506"/>
        <item m="1" x="4508"/>
        <item m="1" x="4509"/>
        <item m="1" x="4510"/>
        <item m="1" x="4511"/>
        <item m="1" x="6659"/>
        <item m="1" x="2413"/>
        <item m="1" x="1221"/>
        <item m="1" x="4398"/>
        <item m="1" x="6231"/>
        <item m="1" x="4711"/>
        <item m="1" x="4240"/>
        <item m="1" x="587"/>
        <item m="1" x="5817"/>
        <item m="1" x="4563"/>
        <item m="1" x="4840"/>
        <item m="1" x="3002"/>
        <item m="1" x="2456"/>
        <item m="1" x="1315"/>
        <item m="1" x="5755"/>
        <item m="1" x="1713"/>
        <item m="1" x="2695"/>
        <item m="1" x="738"/>
        <item m="1" x="1441"/>
        <item m="1" x="2404"/>
        <item m="1" x="2239"/>
        <item m="1" x="2070"/>
        <item m="1" x="749"/>
        <item m="1" x="7987"/>
        <item m="1" x="4913"/>
        <item m="1" x="5260"/>
        <item m="1" x="3823"/>
        <item m="1" x="4366"/>
        <item m="1" x="4925"/>
        <item m="1" x="248"/>
        <item m="1" x="7876"/>
        <item m="1" x="6218"/>
        <item m="1" x="3150"/>
        <item m="1" x="2470"/>
        <item m="1" x="3106"/>
        <item m="1" x="3488"/>
        <item m="1" x="5594"/>
        <item m="1" x="7033"/>
        <item m="1" x="6349"/>
        <item m="1" x="1171"/>
        <item m="1" x="2182"/>
        <item m="1" x="4862"/>
        <item m="1" x="7096"/>
        <item m="1" x="4558"/>
        <item m="1" x="560"/>
        <item m="1" x="5431"/>
        <item m="1" x="5037"/>
        <item m="1" x="1523"/>
        <item m="1" x="3172"/>
        <item m="1" x="2949"/>
        <item m="1" x="589"/>
        <item m="1" x="464"/>
        <item m="1" x="2403"/>
        <item m="1" x="5396"/>
        <item m="1" x="7886"/>
        <item m="1" x="6567"/>
        <item m="1" x="7757"/>
        <item m="1" x="2097"/>
        <item m="1" x="2952"/>
        <item m="1" x="2845"/>
        <item m="1" x="1990"/>
        <item m="1" x="5228"/>
        <item m="1" x="5826"/>
        <item m="1" x="188"/>
        <item m="1" x="5856"/>
        <item m="1" x="1839"/>
        <item m="1" x="492"/>
        <item m="1" x="2433"/>
        <item m="1" x="7705"/>
        <item m="1" x="7535"/>
        <item m="1" x="2471"/>
        <item m="1" x="1098"/>
        <item m="1" x="1401"/>
        <item m="1" x="2177"/>
        <item m="1" x="2450"/>
        <item m="1" x="7191"/>
        <item m="1" x="1127"/>
        <item m="1" x="6831"/>
        <item m="1" x="522"/>
        <item m="1" x="1901"/>
        <item m="1" x="692"/>
        <item m="1" x="4479"/>
        <item m="1" x="4356"/>
        <item m="1" x="5911"/>
        <item m="1" x="6798"/>
        <item m="1" x="4066"/>
        <item m="1" x="1266"/>
        <item m="1" x="5898"/>
        <item m="1" x="1034"/>
        <item m="1" x="6839"/>
        <item m="1" x="4874"/>
        <item m="1" x="4543"/>
        <item m="1" x="5163"/>
        <item m="1" x="1166"/>
        <item m="1" x="2715"/>
        <item m="1" x="4602"/>
        <item m="1" x="100"/>
        <item m="1" x="877"/>
        <item m="1" x="3989"/>
        <item m="1" x="1919"/>
        <item m="1" x="3210"/>
        <item m="1" x="7597"/>
        <item m="1" x="4018"/>
        <item m="1" x="3153"/>
        <item m="1" x="349"/>
        <item m="1" x="1826"/>
        <item m="1" x="967"/>
        <item m="1" x="2850"/>
        <item m="1" x="2520"/>
        <item m="1" x="1831"/>
        <item m="1" x="7658"/>
        <item m="1" x="6360"/>
        <item m="1" x="6421"/>
        <item m="1" x="772"/>
        <item m="1" x="6479"/>
        <item m="1" x="7075"/>
        <item m="1" x="114"/>
        <item m="1" x="4759"/>
        <item m="1" x="2568"/>
        <item m="1" x="2447"/>
        <item m="1" x="2349"/>
        <item m="1" x="2145"/>
        <item m="1" x="5452"/>
        <item m="1" x="3250"/>
        <item m="1" x="1132"/>
        <item m="1" x="7027"/>
        <item m="1" x="690"/>
        <item m="1" x="4912"/>
        <item m="1" x="3341"/>
        <item m="1" x="7028"/>
        <item m="1" x="6535"/>
        <item m="1" x="175"/>
        <item m="1" x="5590"/>
        <item m="1" x="4454"/>
        <item m="1" x="2453"/>
        <item m="1" x="138"/>
        <item m="1" x="7321"/>
        <item m="1" x="2206"/>
        <item m="1" x="2486"/>
        <item m="1" x="7064"/>
        <item m="1" x="297"/>
        <item m="1" x="4343"/>
        <item m="1" x="7186"/>
        <item m="1" x="6597"/>
        <item m="1" x="2249"/>
        <item m="1" x="1955"/>
        <item m="1" x="1336"/>
        <item m="1" x="3342"/>
        <item m="1" x="5712"/>
        <item m="1" x="2616"/>
        <item m="1" x="6276"/>
        <item m="1" x="3781"/>
        <item m="1" x="1896"/>
        <item m="1" x="2950"/>
        <item m="1" x="3107"/>
        <item m="1" x="294"/>
        <item m="1" x="2670"/>
        <item m="1" x="640"/>
        <item m="1" x="503"/>
        <item m="1" x="7976"/>
        <item m="1" x="4959"/>
        <item m="1" x="5251"/>
        <item m="1" x="382"/>
        <item m="1" x="4534"/>
        <item m="1" x="1615"/>
        <item m="1" x="7409"/>
        <item m="1" x="2508"/>
        <item m="1" x="2579"/>
        <item m="1" x="7628"/>
        <item m="1" x="4281"/>
        <item m="1" x="4428"/>
        <item m="1" x="4304"/>
        <item m="1" x="2592"/>
        <item m="1" x="979"/>
        <item m="1" x="3221"/>
        <item m="1" x="3806"/>
        <item m="1" x="151"/>
        <item m="1" x="1458"/>
        <item m="1" x="7608"/>
        <item m="1" x="2675"/>
        <item m="1" x="7011"/>
        <item m="1" x="868"/>
        <item m="1" x="7279"/>
        <item m="1" x="3855"/>
        <item m="1" x="5510"/>
        <item m="1" x="648"/>
        <item m="1" x="1119"/>
        <item m="1" x="1547"/>
        <item m="1" x="845"/>
        <item m="1" x="2315"/>
        <item m="1" x="3898"/>
        <item m="1" x="1327"/>
        <item m="1" x="2711"/>
        <item m="1" x="5672"/>
        <item m="1" x="2469"/>
        <item m="1" x="901"/>
        <item m="1" x="594"/>
        <item m="1" x="2325"/>
        <item m="1" x="665"/>
        <item m="1" x="3476"/>
        <item m="1" x="1120"/>
        <item m="1" x="4001"/>
        <item m="1" x="6144"/>
        <item m="1" x="7933"/>
        <item m="1" x="869"/>
        <item m="1" x="6703"/>
        <item m="1" x="590"/>
        <item m="1" x="3319"/>
        <item m="1" x="1988"/>
        <item m="1" x="1492"/>
        <item m="1" x="3365"/>
        <item m="1" x="1568"/>
        <item m="1" x="606"/>
        <item m="1" x="3293"/>
        <item m="1" x="5756"/>
        <item m="1" x="2297"/>
        <item m="1" x="298"/>
        <item m="1" x="7541"/>
        <item m="1" x="7857"/>
        <item m="1" x="1587"/>
        <item m="1" x="3943"/>
        <item m="1" x="2396"/>
        <item m="1" x="5300"/>
        <item m="1" x="373"/>
        <item m="1" x="3276"/>
        <item m="1" x="923"/>
        <item m="1" x="6540"/>
        <item m="1" x="2679"/>
        <item m="1" x="1420"/>
        <item m="1" x="4900"/>
        <item m="1" x="7126"/>
        <item m="1" x="4386"/>
        <item m="1" x="4014"/>
        <item m="1" x="1527"/>
        <item m="1" x="3379"/>
        <item m="1" x="1178"/>
        <item m="1" x="1187"/>
        <item m="1" x="3839"/>
        <item m="1" x="2662"/>
        <item m="1" x="1662"/>
        <item m="1" x="2042"/>
        <item m="1" x="5740"/>
        <item m="1" x="1008"/>
        <item m="1" x="1414"/>
        <item m="1" x="1549"/>
        <item m="1" x="907"/>
        <item m="1" x="2823"/>
        <item m="1" x="2725"/>
        <item m="1" x="2467"/>
        <item x="19"/>
        <item m="1" x="3557"/>
        <item m="1" x="3942"/>
        <item m="1" x="2278"/>
        <item m="1" x="1823"/>
        <item m="1" x="2392"/>
        <item m="1" x="7143"/>
        <item m="1" x="3397"/>
        <item m="1" x="2945"/>
        <item m="1" x="3850"/>
        <item m="1" x="3851"/>
        <item m="1" x="277"/>
        <item m="1" x="6894"/>
        <item m="1" x="6895"/>
        <item m="1" x="7050"/>
        <item m="1" x="7230"/>
        <item m="1" x="5566"/>
        <item m="1" x="7736"/>
        <item m="1" x="6331"/>
        <item m="1" x="156"/>
        <item m="1" x="983"/>
        <item m="1" x="1258"/>
        <item m="1" x="5026"/>
        <item m="1" x="1268"/>
        <item m="1" x="1222"/>
        <item m="1" x="3347"/>
        <item m="1" x="5666"/>
        <item m="1" x="472"/>
        <item m="1" x="4830"/>
        <item m="1" x="3689"/>
        <item m="1" x="4724"/>
        <item m="1" x="7606"/>
        <item m="1" x="2574"/>
        <item m="1" x="623"/>
        <item m="1" x="1624"/>
        <item m="1" x="4416"/>
        <item m="1" x="2849"/>
        <item m="1" x="2183"/>
        <item m="1" x="5845"/>
        <item m="1" x="5433"/>
        <item m="1" x="1415"/>
        <item m="1" x="3287"/>
        <item m="1" x="4597"/>
        <item m="1" x="2991"/>
        <item m="1" x="2366"/>
        <item m="1" x="2320"/>
        <item m="1" x="3011"/>
        <item m="1" x="2885"/>
        <item m="1" x="2006"/>
        <item m="1" x="4361"/>
        <item m="1" x="4090"/>
        <item m="1" x="1240"/>
        <item m="1" x="5152"/>
        <item m="1" x="7568"/>
        <item m="1" x="3243"/>
        <item m="1" x="6234"/>
        <item m="1" x="5427"/>
        <item m="1" x="2635"/>
        <item m="1" x="7756"/>
        <item m="1" x="4685"/>
        <item m="1" x="6052"/>
        <item m="1" x="236"/>
        <item m="1" x="4618"/>
        <item m="1" x="7463"/>
        <item m="1" x="862"/>
        <item m="1" x="5874"/>
        <item m="1" x="246"/>
        <item m="1" x="4541"/>
        <item m="1" x="1051"/>
        <item m="1" x="1421"/>
        <item m="1" x="2112"/>
        <item m="1" x="2567"/>
        <item m="1" x="5379"/>
        <item m="1" x="5983"/>
        <item m="1" x="1241"/>
        <item m="1" x="3201"/>
        <item m="1" x="3431"/>
        <item m="1" x="4120"/>
        <item m="1" x="2900"/>
        <item m="1" x="2281"/>
        <item m="1" x="3748"/>
        <item m="1" x="5546"/>
        <item m="1" x="3914"/>
        <item m="1" x="7286"/>
        <item m="1" x="5198"/>
        <item m="1" x="7584"/>
        <item m="1" x="7759"/>
        <item m="1" x="7296"/>
        <item m="1" x="2209"/>
        <item m="1" x="5128"/>
        <item m="1" x="4643"/>
        <item m="1" x="5639"/>
        <item m="1" x="1952"/>
        <item m="1" x="7813"/>
        <item m="1" x="5016"/>
        <item m="1" x="6141"/>
        <item m="1" x="1330"/>
        <item m="1" x="7618"/>
        <item m="1" x="4779"/>
        <item m="1" x="5685"/>
        <item m="1" x="6874"/>
        <item m="1" x="1887"/>
        <item m="1" x="2275"/>
        <item m="1" x="3584"/>
        <item m="1" x="229"/>
        <item m="1" x="3007"/>
        <item m="1" x="1785"/>
        <item m="1" x="1360"/>
        <item m="1" x="2481"/>
        <item m="1" x="4015"/>
        <item m="1" x="5835"/>
        <item m="1" x="141"/>
        <item m="1" x="7992"/>
        <item m="1" x="4064"/>
        <item m="1" x="5282"/>
        <item m="1" x="4961"/>
        <item m="1" x="958"/>
        <item m="1" x="508"/>
        <item m="1" x="6652"/>
        <item m="1" x="1155"/>
        <item m="1" x="5227"/>
        <item m="1" x="109"/>
        <item m="1" x="4996"/>
        <item m="1" x="3595"/>
        <item m="1" x="1738"/>
        <item m="1" x="1882"/>
        <item m="1" x="452"/>
        <item m="1" x="3539"/>
        <item m="1" x="4315"/>
        <item m="1" x="6565"/>
        <item m="1" x="6049"/>
        <item m="1" x="4720"/>
        <item m="1" x="5095"/>
        <item m="1" x="3906"/>
        <item m="1" x="7826"/>
        <item m="1" x="5456"/>
        <item m="1" x="1698"/>
        <item m="1" x="2479"/>
        <item m="1" x="4849"/>
        <item m="1" x="1219"/>
        <item m="1" x="4442"/>
        <item m="1" x="7464"/>
        <item m="1" x="2556"/>
        <item m="1" x="2975"/>
        <item m="1" x="1357"/>
        <item m="1" x="5215"/>
        <item m="1" x="1213"/>
        <item m="1" x="2002"/>
        <item m="1" x="6571"/>
        <item m="1" x="4816"/>
        <item m="1" x="1367"/>
        <item m="1" x="6863"/>
        <item m="1" x="5536"/>
        <item m="1" x="7986"/>
        <item m="1" x="4728"/>
        <item m="1" x="7966"/>
        <item m="1" x="3512"/>
        <item m="1" x="3204"/>
        <item m="1" x="4097"/>
        <item m="1" x="6438"/>
        <item m="1" x="3546"/>
        <item m="1" x="3014"/>
        <item m="1" x="1208"/>
        <item m="1" x="139"/>
        <item m="1" x="3477"/>
        <item m="1" x="5950"/>
        <item m="1" x="744"/>
        <item m="1" x="908"/>
        <item m="1" x="3482"/>
        <item m="1" x="412"/>
        <item m="1" x="3227"/>
        <item m="1" x="1569"/>
        <item m="1" x="1190"/>
        <item m="1" x="2726"/>
        <item m="1" x="5202"/>
        <item m="1" x="6678"/>
        <item m="1" x="2279"/>
        <item m="1" x="4754"/>
        <item m="1" x="462"/>
        <item m="1" x="3404"/>
        <item m="1" x="3367"/>
        <item m="1" x="6420"/>
        <item m="1" x="3676"/>
        <item m="1" x="1626"/>
        <item m="1" x="745"/>
        <item m="1" x="1275"/>
        <item m="1" x="5583"/>
        <item m="1" x="1483"/>
        <item m="1" x="2661"/>
        <item m="1" x="7087"/>
        <item m="1" x="5827"/>
        <item m="1" x="3317"/>
        <item x="29"/>
        <item m="1" x="1534"/>
        <item m="1" x="4233"/>
        <item m="1" x="4607"/>
        <item m="1" x="2298"/>
        <item m="1" x="6521"/>
        <item m="1" x="4263"/>
        <item m="1" x="807"/>
        <item m="1" x="1758"/>
        <item m="1" x="4951"/>
        <item m="1" x="7350"/>
        <item m="1" x="2559"/>
        <item m="1" x="672"/>
        <item m="1" x="6750"/>
        <item m="1" x="5975"/>
        <item m="1" x="6611"/>
        <item m="1" x="7231"/>
        <item m="1" x="5271"/>
        <item m="1" x="7420"/>
        <item m="1" x="2564"/>
        <item m="1" x="5483"/>
        <item m="1" x="7145"/>
        <item m="1" x="6303"/>
        <item m="1" x="6953"/>
        <item m="1" x="2316"/>
        <item m="1" x="7433"/>
        <item m="1" x="4526"/>
        <item m="1" x="1154"/>
        <item m="1" x="6491"/>
        <item m="1" x="4598"/>
        <item m="1" x="6372"/>
        <item m="1" x="6230"/>
        <item m="1" x="4122"/>
        <item m="1" x="1825"/>
        <item m="1" x="1092"/>
        <item m="1" x="4382"/>
        <item m="1" x="7384"/>
        <item m="1" x="7491"/>
        <item m="1" x="1656"/>
        <item m="1" x="451"/>
        <item m="1" x="7936"/>
        <item m="1" x="4975"/>
        <item m="1" x="6474"/>
        <item m="1" x="6599"/>
        <item m="1" x="2810"/>
        <item m="1" x="1449"/>
        <item m="1" x="5538"/>
        <item m="1" x="679"/>
        <item m="1" x="3416"/>
        <item m="1" x="2546"/>
        <item m="1" x="4686"/>
        <item m="1" x="5070"/>
        <item m="1" x="1088"/>
        <item m="1" x="5543"/>
        <item m="1" x="5992"/>
        <item m="1" x="7907"/>
        <item m="1" x="7848"/>
        <item m="1" x="2362"/>
        <item m="1" x="3895"/>
        <item m="1" x="5438"/>
        <item m="1" x="3696"/>
        <item m="1" x="3885"/>
        <item m="1" x="5687"/>
        <item m="1" x="4540"/>
        <item m="1" x="7799"/>
        <item m="1" x="1256"/>
        <item m="1" x="2828"/>
        <item m="1" x="7921"/>
        <item m="1" x="5453"/>
        <item m="1" x="2261"/>
        <item m="1" x="5168"/>
        <item m="1" x="631"/>
        <item m="1" x="7533"/>
        <item m="1" x="5997"/>
        <item m="1" x="4070"/>
        <item m="1" x="1316"/>
        <item m="1" x="4404"/>
        <item m="1" x="4418"/>
        <item m="1" x="6307"/>
        <item m="1" x="6853"/>
        <item m="1" x="5270"/>
        <item m="1" x="2149"/>
        <item m="1" x="6748"/>
        <item m="1" x="6574"/>
        <item m="1" x="181"/>
        <item m="1" x="1427"/>
        <item m="1" x="2301"/>
        <item m="1" x="7696"/>
        <item m="1" x="171"/>
        <item m="1" x="2347"/>
        <item m="1" x="1642"/>
        <item m="1" x="1894"/>
        <item m="1" x="4456"/>
        <item m="1" x="5248"/>
        <item m="1" x="7104"/>
        <item m="1" x="152"/>
        <item m="1" x="3151"/>
        <item m="1" x="167"/>
        <item m="1" x="951"/>
        <item m="1" x="933"/>
        <item m="1" x="1058"/>
        <item m="1" x="733"/>
        <item m="1" x="6954"/>
        <item m="1" x="4964"/>
        <item m="1" x="7266"/>
        <item m="1" x="5067"/>
        <item m="1" x="192"/>
        <item m="1" x="253"/>
        <item m="1" x="350"/>
        <item m="1" x="7503"/>
        <item m="1" x="2106"/>
        <item m="1" x="429"/>
        <item m="1" x="6291"/>
        <item m="1" x="2623"/>
        <item m="1" x="5055"/>
        <item m="1" x="5056"/>
        <item m="1" x="7700"/>
        <item m="1" x="7924"/>
        <item m="1" x="4048"/>
        <item m="1" x="1300"/>
        <item m="1" x="4792"/>
        <item m="1" x="4385"/>
        <item m="1" x="3414"/>
        <item m="1" x="1515"/>
        <item m="1" x="4850"/>
        <item m="1" x="5048"/>
        <item m="1" x="6455"/>
        <item m="1" x="3999"/>
        <item m="1" x="1570"/>
        <item m="1" x="3768"/>
        <item m="1" x="3876"/>
        <item m="1" x="3919"/>
        <item m="1" x="3984"/>
        <item m="1" x="4009"/>
        <item m="1" x="3553"/>
        <item m="1" x="3710"/>
        <item m="1" x="2169"/>
        <item m="1" x="2246"/>
        <item m="1" x="3998"/>
        <item m="1" x="5833"/>
        <item m="1" x="3907"/>
        <item m="1" x="4680"/>
        <item m="1" x="4054"/>
        <item m="1" x="1974"/>
        <item m="1" x="4548"/>
        <item m="1" x="219"/>
        <item m="1" x="7269"/>
        <item m="1" x="4316"/>
        <item m="1" x="5388"/>
        <item m="1" x="372"/>
        <item m="1" x="2125"/>
        <item m="1" x="7954"/>
        <item m="1" x="7536"/>
        <item m="1" x="2026"/>
        <item m="1" x="7967"/>
        <item m="1" x="1652"/>
        <item m="1" x="3103"/>
        <item m="1" x="4529"/>
        <item m="1" x="2326"/>
        <item m="1" x="735"/>
        <item m="1" x="878"/>
        <item m="1" x="3602"/>
        <item m="1" x="2497"/>
        <item m="1" x="6072"/>
        <item m="1" x="6029"/>
        <item m="1" x="2036"/>
        <item m="1" x="2397"/>
        <item m="1" x="6754"/>
        <item m="1" x="2184"/>
        <item m="1" x="2649"/>
        <item m="1" x="4235"/>
        <item m="1" x="1324"/>
        <item m="1" x="6008"/>
        <item m="1" x="2207"/>
        <item m="1" x="3137"/>
        <item m="1" x="6163"/>
        <item m="1" x="5221"/>
        <item m="1" x="2897"/>
        <item m="1" x="1671"/>
        <item m="1" x="7257"/>
        <item m="1" x="2676"/>
        <item m="1" x="7099"/>
        <item m="1" x="1977"/>
        <item m="1" x="1076"/>
        <item m="1" x="7882"/>
        <item m="1" x="6139"/>
        <item m="1" x="2956"/>
        <item m="1" x="1768"/>
        <item m="1" x="7100"/>
        <item m="1" x="575"/>
        <item m="1" x="5741"/>
        <item m="1" x="158"/>
        <item m="1" x="2274"/>
        <item m="1" x="3254"/>
        <item m="1" x="4989"/>
        <item m="1" x="1834"/>
        <item m="1" x="4605"/>
        <item m="1" x="3339"/>
        <item m="1" x="4493"/>
        <item m="1" x="3877"/>
        <item m="1" x="5904"/>
        <item m="1" x="7271"/>
        <item m="1" x="5296"/>
        <item m="1" x="1849"/>
        <item m="1" x="6152"/>
        <item m="1" x="6294"/>
        <item m="1" x="4860"/>
        <item m="1" x="937"/>
        <item m="1" x="6570"/>
        <item m="1" x="3345"/>
        <item m="1" x="2705"/>
        <item m="1" x="5233"/>
        <item m="1" x="4740"/>
        <item m="1" x="4668"/>
        <item m="1" x="7895"/>
        <item m="1" x="1037"/>
        <item m="1" x="6820"/>
        <item m="1" x="5744"/>
        <item m="1" x="7120"/>
        <item m="1" x="6925"/>
        <item m="1" x="3004"/>
        <item m="1" x="3251"/>
        <item m="1" x="1423"/>
        <item m="1" x="4200"/>
        <item m="1" x="405"/>
        <item m="1" x="4976"/>
        <item m="1" x="3915"/>
        <item m="1" x="4731"/>
        <item m="1" x="5129"/>
        <item m="1" x="3670"/>
        <item m="1" x="7314"/>
        <item m="1" x="7002"/>
        <item m="1" x="1516"/>
        <item m="1" x="974"/>
        <item m="1" x="7915"/>
        <item m="1" x="2251"/>
        <item m="1" x="2970"/>
        <item m="1" x="2273"/>
        <item m="1" x="7403"/>
        <item m="1" x="748"/>
        <item m="1" x="1751"/>
        <item m="1" x="318"/>
        <item m="1" x="7977"/>
        <item m="1" x="3147"/>
        <item m="1" x="557"/>
        <item m="1" x="4354"/>
        <item m="1" x="1703"/>
        <item m="1" x="344"/>
        <item m="1" x="4234"/>
        <item m="1" x="1050"/>
        <item m="1" x="3358"/>
        <item m="1" x="2339"/>
        <item m="1" x="1606"/>
        <item m="1" x="7375"/>
        <item m="1" x="3214"/>
        <item m="1" x="3127"/>
        <item m="1" x="7517"/>
        <item m="1" x="4034"/>
        <item m="1" x="518"/>
        <item m="1" x="622"/>
        <item m="1" x="7097"/>
        <item m="1" x="3067"/>
        <item m="1" x="2891"/>
        <item m="1" x="3896"/>
        <item m="1" x="2223"/>
        <item m="1" x="5461"/>
        <item m="1" x="7023"/>
        <item m="1" x="7141"/>
        <item m="1" x="6566"/>
        <item m="1" x="5627"/>
        <item m="1" x="6334"/>
        <item m="1" x="912"/>
        <item m="1" x="5178"/>
        <item m="1" x="5871"/>
        <item m="1" x="5304"/>
        <item m="1" x="4344"/>
        <item m="1" x="6224"/>
        <item m="1" x="4323"/>
        <item m="1" x="7058"/>
        <item m="1" x="4249"/>
        <item m="1" x="3216"/>
        <item m="1" x="1328"/>
        <item m="1" x="1285"/>
        <item m="1" x="4219"/>
        <item m="1" x="2062"/>
        <item m="1" x="2586"/>
        <item m="1" x="7768"/>
        <item m="1" x="7351"/>
        <item m="1" x="5682"/>
        <item m="1" x="3577"/>
        <item m="1" x="3705"/>
        <item m="1" x="7941"/>
        <item m="1" x="7574"/>
        <item m="1" x="6214"/>
        <item m="1" x="6635"/>
        <item m="1" x="284"/>
        <item m="1" x="3587"/>
        <item m="1" x="7465"/>
        <item m="1" x="1346"/>
        <item m="1" x="1897"/>
        <item m="1" x="938"/>
        <item m="1" x="3073"/>
        <item m="1" x="4973"/>
        <item m="1" x="2652"/>
        <item m="1" x="1795"/>
        <item m="1" x="6490"/>
        <item m="1" x="5532"/>
        <item m="1" x="5010"/>
        <item m="1" x="7931"/>
        <item m="1" x="2760"/>
        <item m="1" x="720"/>
        <item m="1" x="4942"/>
        <item m="1" x="6757"/>
        <item m="1" x="3104"/>
        <item m="1" x="1066"/>
        <item m="1" x="5183"/>
        <item m="1" x="3588"/>
        <item m="1" x="319"/>
        <item m="1" x="1936"/>
        <item m="1" x="2773"/>
        <item m="1" x="4638"/>
        <item m="1" x="519"/>
        <item m="1" x="7344"/>
        <item m="1" x="7012"/>
        <item m="1" x="6339"/>
        <item m="1" x="7780"/>
        <item m="1" x="2072"/>
        <item m="1" x="2864"/>
        <item m="1" x="1542"/>
        <item m="1" x="3561"/>
        <item m="1" x="2742"/>
        <item m="1" x="4875"/>
        <item m="1" x="3346"/>
        <item m="1" x="1440"/>
        <item m="1" x="4587"/>
        <item m="1" x="884"/>
        <item m="1" x="4823"/>
        <item m="1" x="5224"/>
        <item m="1" x="225"/>
        <item m="1" x="6782"/>
        <item m="1" x="6971"/>
        <item m="1" x="4982"/>
        <item m="1" x="7024"/>
        <item m="1" x="5920"/>
        <item m="1" x="1115"/>
        <item m="1" x="6377"/>
        <item m="1" x="3433"/>
        <item m="1" x="4659"/>
        <item m="1" x="3506"/>
        <item m="1" x="4729"/>
        <item m="1" x="2210"/>
        <item m="1" x="2211"/>
        <item m="1" x="6211"/>
        <item m="1" x="7612"/>
        <item m="1" x="7376"/>
        <item m="1" x="3021"/>
        <item m="1" x="5266"/>
        <item m="1" x="5423"/>
        <item m="1" x="2761"/>
        <item m="1" x="5043"/>
        <item m="1" x="6520"/>
        <item m="1" x="5484"/>
        <item m="1" x="6184"/>
        <item m="1" x="7267"/>
        <item m="1" x="2904"/>
        <item m="1" x="5395"/>
        <item m="1" x="5207"/>
        <item m="1" x="2189"/>
        <item m="1" x="3398"/>
        <item m="1" x="2727"/>
        <item m="1" x="5083"/>
        <item m="1" x="3237"/>
        <item m="1" x="3591"/>
        <item m="1" x="965"/>
        <item m="1" x="7926"/>
        <item m="1" x="5064"/>
        <item m="1" x="3706"/>
        <item m="1" x="6003"/>
        <item m="1" x="2648"/>
        <item m="1" x="7925"/>
        <item m="1" x="4383"/>
        <item m="1" x="1329"/>
        <item m="1" x="698"/>
        <item m="1" x="6996"/>
        <item m="1" x="4107"/>
        <item m="1" x="680"/>
        <item m="1" x="6584"/>
        <item m="1" x="4791"/>
        <item m="1" x="5655"/>
        <item m="1" x="5929"/>
        <item m="1" x="6380"/>
        <item m="1" x="1246"/>
        <item m="1" x="7659"/>
        <item m="1" x="4362"/>
        <item m="1" x="675"/>
        <item m="1" x="5491"/>
        <item m="1" x="3192"/>
        <item m="1" x="370"/>
        <item m="1" x="5523"/>
        <item m="1" x="2224"/>
        <item m="1" x="7958"/>
        <item m="1" x="314"/>
        <item m="1" x="3247"/>
        <item m="1" x="3716"/>
        <item m="1" x="303"/>
        <item m="1" x="2794"/>
        <item m="1" x="7483"/>
        <item m="1" x="5259"/>
        <item m="1" x="5346"/>
        <item m="1" x="6900"/>
        <item m="1" x="2641"/>
        <item m="1" x="1976"/>
        <item m="1" x="2257"/>
        <item m="1" x="7408"/>
        <item m="1" x="3308"/>
        <item m="1" x="7942"/>
        <item m="1" x="7867"/>
        <item m="1" x="6959"/>
        <item m="1" x="273"/>
        <item m="1" x="7492"/>
        <item m="1" x="421"/>
        <item m="1" x="7546"/>
        <item m="1" x="686"/>
        <item m="1" x="6078"/>
        <item m="1" x="2860"/>
        <item m="1" x="6182"/>
        <item m="1" x="1438"/>
        <item m="1" x="3540"/>
        <item m="1" x="7636"/>
        <item m="1" x="6896"/>
        <item m="1" x="367"/>
        <item m="1" x="1810"/>
        <item m="1" x="2759"/>
        <item m="1" x="7301"/>
        <item m="1" x="2233"/>
        <item m="1" x="691"/>
        <item m="1" x="313"/>
        <item m="1" x="6019"/>
        <item m="1" x="6020"/>
        <item m="1" x="7387"/>
        <item m="1" x="3375"/>
        <item m="1" x="7851"/>
        <item m="1" x="4243"/>
        <item x="18"/>
        <item m="1" x="577"/>
        <item m="1" x="1197"/>
        <item m="1" x="2944"/>
        <item m="1" x="1628"/>
        <item m="1" x="2176"/>
        <item m="1" x="1537"/>
        <item m="1" x="1920"/>
        <item m="1" x="5191"/>
        <item m="1" x="2708"/>
        <item m="1" x="1619"/>
        <item m="1" x="6718"/>
        <item m="1" x="7082"/>
        <item m="1" x="2439"/>
        <item m="1" x="5863"/>
        <item m="1" x="7315"/>
        <item m="1" x="3969"/>
        <item m="1" x="3654"/>
        <item m="1" x="7193"/>
        <item m="1" x="5787"/>
        <item m="1" x="3142"/>
        <item m="1" x="6568"/>
        <item m="1" x="1250"/>
        <item m="1" x="3957"/>
        <item m="1" x="7039"/>
        <item m="1" x="104"/>
        <item m="1" x="172"/>
        <item m="1" x="4030"/>
        <item m="1" x="7872"/>
        <item m="1" x="6817"/>
        <item m="1" x="561"/>
        <item m="1" x="5560"/>
        <item m="1" x="2843"/>
        <item m="1" x="3428"/>
        <item m="1" x="4059"/>
        <item m="1" x="4695"/>
        <item m="1" x="1100"/>
        <item m="1" x="6482"/>
        <item m="1" x="4591"/>
        <item m="1" x="5249"/>
        <item m="1" x="69"/>
        <item m="1" x="1091"/>
        <item m="1" x="4699"/>
        <item m="1" x="7615"/>
        <item m="1" x="95"/>
        <item m="1" x="5650"/>
        <item m="1" x="7355"/>
        <item m="1" x="440"/>
        <item m="1" x="2258"/>
        <item m="1" x="4373"/>
        <item m="1" x="4394"/>
        <item m="1" x="1075"/>
        <item m="1" x="6416"/>
        <item m="1" x="3372"/>
        <item m="1" x="1185"/>
        <item m="1" x="4987"/>
        <item m="1" x="2081"/>
        <item m="1" x="6454"/>
        <item m="1" x="107"/>
        <item m="1" x="4367"/>
        <item m="1" x="3280"/>
        <item m="1" x="4136"/>
        <item m="1" x="2087"/>
        <item m="1" x="1683"/>
        <item m="1" x="6326"/>
        <item m="1" x="1463"/>
        <item m="1" x="1144"/>
        <item m="1" x="806"/>
        <item m="1" x="3594"/>
        <item m="1" x="4723"/>
        <item m="1" x="5921"/>
        <item m="1" x="1874"/>
        <item m="1" x="6514"/>
        <item m="1" x="487"/>
        <item m="1" x="6290"/>
        <item m="1" x="2531"/>
        <item m="1" x="5136"/>
        <item m="1" x="4095"/>
        <item m="1" x="7013"/>
        <item m="1" x="7809"/>
        <item m="1" x="4244"/>
        <item m="1" x="4094"/>
        <item m="1" x="5363"/>
        <item m="1" x="3270"/>
        <item m="1" x="4330"/>
        <item m="1" x="853"/>
        <item m="1" x="4444"/>
        <item m="1" x="2876"/>
        <item m="1" x="2892"/>
        <item m="1" x="2765"/>
        <item m="1" x="5080"/>
        <item m="1" x="5364"/>
        <item m="1" x="5936"/>
        <item m="1" x="6707"/>
        <item m="1" x="2709"/>
        <item m="1" x="4000"/>
        <item m="1" x="7460"/>
        <item m="1" x="5406"/>
        <item m="1" x="5798"/>
        <item m="1" x="5779"/>
        <item m="1" x="4854"/>
        <item m="1" x="2317"/>
        <item m="1" x="5659"/>
        <item m="1" x="4151"/>
        <item m="1" x="6680"/>
        <item m="1" x="4402"/>
        <item m="1" x="3028"/>
        <item m="1" x="5013"/>
        <item m="1" x="2101"/>
        <item m="1" x="2808"/>
        <item m="1" x="1767"/>
        <item m="1" x="5633"/>
        <item m="1" x="5632"/>
        <item m="1" x="3065"/>
        <item m="1" x="2423"/>
        <item m="1" x="2921"/>
        <item m="1" x="3259"/>
        <item m="1" x="6448"/>
        <item m="1" x="4753"/>
        <item m="1" x="4953"/>
        <item m="1" x="6344"/>
        <item m="1" x="4767"/>
        <item m="1" x="3330"/>
        <item m="1" x="173"/>
        <item m="1" x="2839"/>
        <item m="1" x="4826"/>
        <item m="1" x="5007"/>
        <item m="1" x="4360"/>
        <item m="1" x="6859"/>
        <item m="1" x="3617"/>
        <item m="1" x="265"/>
        <item m="1" x="3090"/>
        <item m="1" x="1133"/>
        <item m="1" x="6787"/>
        <item m="1" x="4636"/>
        <item m="1" x="7412"/>
        <item m="1" x="5450"/>
        <item m="1" x="2935"/>
        <item m="1" x="1860"/>
        <item m="1" x="6028"/>
        <item m="1" x="5103"/>
        <item m="1" x="457"/>
        <item m="1" x="7076"/>
        <item m="1" x="1433"/>
        <item m="1" x="880"/>
        <item m="1" x="461"/>
        <item m="1" x="917"/>
        <item m="1" x="865"/>
        <item m="1" x="2387"/>
        <item m="1" x="7943"/>
        <item m="1" x="262"/>
        <item m="1" x="4714"/>
        <item m="1" x="689"/>
        <item m="1" x="2256"/>
        <item m="1" x="5306"/>
        <item m="1" x="3773"/>
        <item m="1" x="2614"/>
        <item m="1" x="5623"/>
        <item m="1" x="5155"/>
        <item m="1" x="1012"/>
        <item m="1" x="5713"/>
        <item m="1" x="2816"/>
        <item m="1" x="4617"/>
        <item m="1" x="2008"/>
        <item m="1" x="3726"/>
        <item m="1" x="1581"/>
        <item m="1" x="7095"/>
        <item m="1" x="4682"/>
        <item m="1" x="4336"/>
        <item m="1" x="3465"/>
        <item m="1" x="3198"/>
        <item m="1" x="3935"/>
        <item m="1" x="3423"/>
        <item m="1" x="7041"/>
        <item m="1" x="7716"/>
        <item m="1" x="5608"/>
        <item m="1" x="5494"/>
        <item m="1" x="4644"/>
        <item m="1" x="4861"/>
        <item m="1" x="5905"/>
        <item m="1" x="1020"/>
        <item m="1" x="4663"/>
        <item x="8"/>
        <item m="1" x="3518"/>
        <item m="1" x="1180"/>
        <item m="1" x="4893"/>
        <item m="1" x="757"/>
        <item m="1" x="6916"/>
        <item m="1" x="3327"/>
        <item m="1" x="3523"/>
        <item m="1" x="2162"/>
        <item m="1" x="1648"/>
        <item m="1" x="2152"/>
        <item m="1" x="4408"/>
        <item m="1" x="2202"/>
        <item m="1" x="3814"/>
        <item m="1" x="5718"/>
        <item m="1" x="1130"/>
        <item m="1" x="7335"/>
        <item m="1" x="4409"/>
        <item m="1" x="5968"/>
        <item m="1" x="3586"/>
        <item m="1" x="4349"/>
        <item m="1" x="4924"/>
        <item m="1" x="3757"/>
        <item m="1" x="6389"/>
        <item m="1" x="322"/>
        <item m="1" x="476"/>
        <item m="1" x="2575"/>
        <item m="1" x="541"/>
        <item m="1" x="7091"/>
        <item m="1" x="5316"/>
        <item m="1" x="7385"/>
        <item m="1" x="3076"/>
        <item m="1" x="1371"/>
        <item m="1" x="1296"/>
        <item m="1" x="1301"/>
        <item m="1" x="723"/>
        <item m="1" x="3623"/>
        <item m="1" x="4841"/>
        <item m="1" x="6646"/>
        <item m="1" x="3262"/>
        <item m="1" x="6604"/>
        <item m="1" x="7731"/>
        <item m="1" x="1142"/>
        <item m="1" x="5230"/>
        <item m="1" x="4983"/>
        <item m="1" x="7748"/>
        <item m="1" x="5218"/>
        <item m="1" x="3765"/>
        <item m="1" x="5610"/>
        <item m="1" x="1077"/>
        <item m="1" x="5323"/>
        <item m="1" x="3630"/>
        <item m="1" x="559"/>
        <item m="1" x="5808"/>
        <item m="1" x="3566"/>
        <item m="1" x="2862"/>
        <item m="1" x="2098"/>
        <item m="1" x="627"/>
        <item m="1" x="2573"/>
        <item m="1" x="5350"/>
        <item m="1" x="2020"/>
        <item m="1" x="7875"/>
        <item m="1" x="6828"/>
        <item m="1" x="4414"/>
        <item m="1" x="6004"/>
        <item m="1" x="5533"/>
        <item m="1" x="3637"/>
        <item m="1" x="2596"/>
        <item m="1" x="3191"/>
        <item m="1" x="7586"/>
        <item m="1" x="5020"/>
        <item m="1" x="7319"/>
        <item m="1" x="75"/>
        <item m="1" x="3420"/>
        <item m="1" x="5197"/>
        <item m="1" x="7755"/>
        <item m="1" x="1577"/>
        <item m="1" x="2266"/>
        <item m="1" x="3044"/>
        <item m="1" x="7881"/>
        <item m="1" x="6975"/>
        <item m="1" x="5474"/>
        <item m="1" x="2205"/>
        <item m="1" x="3395"/>
        <item m="1" x="2155"/>
        <item m="1" x="2078"/>
        <item m="1" x="4625"/>
        <item m="1" x="5534"/>
        <item m="1" x="3846"/>
        <item m="1" x="5242"/>
        <item m="1" x="659"/>
        <item m="1" x="456"/>
        <item m="1" x="6323"/>
        <item m="1" x="1623"/>
        <item m="1" x="3269"/>
        <item m="1" x="7761"/>
        <item m="1" x="4187"/>
        <item m="1" x="774"/>
        <item m="1" x="7751"/>
        <item m="1" x="5780"/>
        <item m="1" x="7740"/>
        <item m="1" x="2654"/>
        <item m="1" x="7502"/>
        <item m="1" x="6136"/>
        <item m="1" x="972"/>
        <item m="1" x="5399"/>
        <item m="1" x="6493"/>
        <item m="1" x="6138"/>
        <item m="1" x="6272"/>
        <item m="1" x="6199"/>
        <item m="1" x="7823"/>
        <item m="1" x="6628"/>
        <item m="1" x="3912"/>
        <item m="1" x="4192"/>
        <item m="1" x="3622"/>
        <item m="1" x="7697"/>
        <item m="1" x="1005"/>
        <item m="1" x="7836"/>
        <item m="1" x="2741"/>
        <item m="1" x="3495"/>
        <item m="1" x="1784"/>
        <item m="1" x="4044"/>
        <item m="1" x="5972"/>
        <item m="1" x="5273"/>
        <item m="1" x="6866"/>
        <item m="1" x="434"/>
        <item m="1" x="404"/>
        <item m="1" x="1422"/>
        <item m="1" x="4447"/>
        <item m="1" x="624"/>
        <item m="1" x="6988"/>
        <item m="1" x="7812"/>
        <item m="1" x="5278"/>
        <item m="1" x="6523"/>
        <item m="1" x="4762"/>
        <item m="1" x="7893"/>
        <item m="1" x="4505"/>
        <item m="1" x="353"/>
        <item m="1" x="5671"/>
        <item m="1" x="5801"/>
        <item m="1" x="6033"/>
        <item m="1" x="2716"/>
        <item m="1" x="6014"/>
        <item m="1" x="445"/>
        <item m="1" x="6995"/>
        <item m="1" x="581"/>
        <item m="1" x="4549"/>
        <item m="1" x="4392"/>
        <item m="1" x="6287"/>
        <item m="1" x="4579"/>
        <item m="1" x="6215"/>
        <item m="1" x="5069"/>
        <item m="1" x="773"/>
        <item m="1" x="6647"/>
        <item m="1" x="3949"/>
        <item m="1" x="2116"/>
        <item m="1" x="3579"/>
        <item m="1" x="180"/>
        <item m="1" x="5283"/>
        <item m="1" x="810"/>
        <item m="1" x="3235"/>
        <item m="1" x="3131"/>
        <item m="1" x="1585"/>
        <item m="1" x="7713"/>
        <item m="1" x="2554"/>
        <item m="1" x="3096"/>
        <item m="1" x="6871"/>
        <item m="1" x="4397"/>
        <item m="1" x="3608"/>
        <item m="1" x="7356"/>
        <item m="1" x="2821"/>
        <item m="1" x="2903"/>
        <item m="1" x="4209"/>
        <item m="1" x="7991"/>
        <item m="1" x="7785"/>
        <item m="1" x="2829"/>
        <item m="1" x="6810"/>
        <item m="1" x="3507"/>
        <item m="1" x="2803"/>
        <item m="1" x="324"/>
        <item m="1" x="4707"/>
        <item m="1" x="2651"/>
        <item m="1" x="85"/>
        <item m="1" x="1481"/>
        <item m="1" x="4745"/>
        <item m="1" x="2376"/>
        <item m="1" x="1618"/>
        <item m="1" x="3026"/>
        <item m="1" x="4721"/>
        <item m="1" x="7701"/>
        <item m="1" x="3749"/>
        <item m="1" x="2435"/>
        <item m="1" x="4981"/>
        <item m="1" x="1757"/>
        <item m="1" x="4100"/>
        <item m="1" x="3446"/>
        <item m="1" x="129"/>
        <item m="1" x="4980"/>
        <item m="1" x="3944"/>
        <item m="1" x="3758"/>
        <item m="1" x="7733"/>
        <item m="1" x="1462"/>
        <item m="1" x="7870"/>
        <item m="1" x="7764"/>
        <item m="1" x="2747"/>
        <item m="1" x="401"/>
        <item m="1" x="1302"/>
        <item m="1" x="752"/>
        <item m="1" x="3582"/>
        <item m="1" x="5413"/>
        <item m="1" x="1870"/>
        <item m="1" x="4815"/>
        <item m="1" x="5088"/>
        <item m="1" x="3660"/>
        <item m="1" x="7045"/>
        <item m="1" x="7288"/>
        <item m="1" x="4929"/>
        <item m="1" x="2896"/>
        <item m="1" x="3066"/>
        <item m="1" x="6123"/>
        <item m="1" x="846"/>
        <item m="1" x="7519"/>
        <item m="1" x="6846"/>
        <item m="1" x="2110"/>
        <item m="1" x="3054"/>
        <item m="1" x="4630"/>
        <item m="1" x="3960"/>
        <item m="1" x="7441"/>
        <item m="1" x="7157"/>
        <item m="1" x="465"/>
        <item m="1" x="2089"/>
        <item m="1" x="4193"/>
        <item m="1" x="5156"/>
        <item m="1" x="5108"/>
        <item m="1" x="1434"/>
        <item m="1" x="5310"/>
        <item m="1" x="6499"/>
        <item m="1" x="4407"/>
        <item m="1" x="5531"/>
        <item m="1" x="6709"/>
        <item m="1" x="6172"/>
        <item m="1" x="269"/>
        <item m="1" x="1789"/>
        <item m="1" x="4238"/>
        <item m="1" x="7466"/>
        <item m="1" x="7078"/>
        <item m="1" x="3983"/>
        <item m="1" x="326"/>
        <item m="1" x="2265"/>
        <item m="1" x="4032"/>
        <item m="1" x="3573"/>
        <item m="1" x="5378"/>
        <item m="1" x="7912"/>
        <item m="1" x="3188"/>
        <item m="1" x="5861"/>
        <item m="1" x="5200"/>
        <item m="1" x="3175"/>
        <item m="1" x="3263"/>
        <item m="1" x="5313"/>
        <item m="1" x="5314"/>
        <item m="1" x="3516"/>
        <item m="1" x="1590"/>
        <item m="1" x="765"/>
        <item m="1" x="6447"/>
        <item m="1" x="453"/>
        <item m="1" x="4341"/>
        <item m="1" x="2791"/>
        <item m="1" x="6203"/>
        <item m="1" x="5036"/>
        <item m="1" x="2625"/>
        <item m="1" x="6395"/>
        <item m="1" x="3954"/>
        <item m="1" x="7218"/>
        <item m="1" x="6062"/>
        <item m="1" x="3769"/>
        <item m="1" x="4780"/>
        <item m="1" x="5776"/>
        <item m="1" x="5781"/>
        <item m="1" x="5445"/>
        <item m="1" x="1720"/>
        <item m="1" x="1763"/>
        <item m="1" x="7362"/>
        <item m="1" x="586"/>
        <item m="1" x="2902"/>
        <item m="1" x="6114"/>
        <item m="1" x="4342"/>
        <item m="1" x="3962"/>
        <item m="1" x="5050"/>
        <item m="1" x="4455"/>
        <item m="1" x="2018"/>
        <item m="1" x="209"/>
        <item m="1" x="3924"/>
        <item m="1" x="2718"/>
        <item m="1" x="4670"/>
        <item m="1" x="1782"/>
        <item m="1" x="1344"/>
        <item m="1" x="4818"/>
        <item m="1" x="2428"/>
        <item m="1" x="5463"/>
        <item m="1" x="5647"/>
        <item m="1" x="7273"/>
        <item m="1" x="7130"/>
        <item m="1" x="3640"/>
        <item m="1" x="784"/>
        <item m="1" x="4848"/>
        <item m="1" x="7934"/>
        <item m="1" x="3223"/>
        <item m="1" x="1761"/>
        <item m="1" x="4556"/>
        <item m="1" x="4305"/>
        <item m="1" x="3060"/>
        <item m="1" x="3650"/>
        <item m="1" x="833"/>
        <item m="1" x="701"/>
        <item m="1" x="127"/>
        <item m="1" x="6670"/>
        <item m="1" x="6579"/>
        <item m="1" x="5065"/>
        <item m="1" x="5559"/>
        <item m="1" x="6960"/>
        <item m="1" x="3529"/>
        <item m="1" x="5882"/>
        <item m="1" x="1817"/>
        <item m="1" x="4196"/>
        <item m="1" x="5448"/>
        <item m="1" x="4991"/>
        <item m="1" x="1675"/>
        <item m="1" x="2290"/>
        <item m="1" x="6181"/>
        <item m="1" x="6927"/>
        <item m="1" x="2525"/>
        <item m="1" x="3776"/>
        <item m="1" x="6146"/>
        <item m="1" x="2985"/>
        <item m="1" x="6383"/>
        <item m="1" x="2863"/>
        <item m="1" x="3209"/>
        <item m="1" x="632"/>
        <item m="1" x="3549"/>
        <item m="1" x="4476"/>
        <item m="1" x="4369"/>
        <item m="1" x="4022"/>
        <item m="1" x="823"/>
        <item m="1" x="4576"/>
        <item m="1" x="2898"/>
        <item m="1" x="5821"/>
        <item m="1" x="4954"/>
        <item m="1" x="6525"/>
        <item m="1" x="3832"/>
        <item m="1" x="2980"/>
        <item m="1" x="536"/>
        <item m="1" x="6117"/>
        <item m="1" x="6280"/>
        <item m="1" x="3055"/>
        <item m="1" x="2077"/>
        <item m="1" x="3119"/>
        <item m="1" x="3284"/>
        <item m="1" x="1650"/>
        <item m="1" x="5814"/>
        <item m="1" x="4998"/>
        <item m="1" x="4599"/>
        <item m="1" x="5830"/>
        <item m="1" x="3006"/>
        <item m="1" x="2133"/>
        <item m="1" x="5889"/>
        <item m="1" x="3610"/>
        <item m="1" x="2529"/>
        <item m="1" x="3901"/>
        <item m="1" x="7944"/>
        <item m="1" x="7793"/>
        <item m="1" x="4337"/>
        <item m="1" x="1796"/>
        <item m="1" x="3491"/>
        <item m="1" x="3361"/>
        <item m="1" x="4124"/>
        <item m="1" x="2825"/>
        <item m="1" x="574"/>
        <item m="1" x="5052"/>
        <item m="1" x="717"/>
        <item m="1" x="2666"/>
        <item m="1" x="5689"/>
        <item m="1" x="7182"/>
        <item m="1" x="1376"/>
        <item m="1" x="4191"/>
        <item m="1" x="3692"/>
        <item m="1" x="1159"/>
        <item m="1" x="4781"/>
        <item m="1" x="1436"/>
        <item m="1" x="5726"/>
        <item m="1" x="134"/>
        <item m="1" x="5873"/>
        <item m="1" x="2230"/>
        <item m="1" x="1612"/>
        <item m="1" x="3141"/>
        <item m="1" x="1283"/>
        <item m="1" x="5722"/>
        <item m="1" x="5365"/>
        <item m="1" x="4088"/>
        <item m="1" x="6333"/>
        <item m="1" x="2889"/>
        <item m="1" x="7779"/>
        <item m="1" x="7725"/>
        <item m="1" x="2302"/>
        <item m="1" x="1801"/>
        <item m="1" x="3318"/>
        <item m="1" x="7116"/>
        <item m="1" x="2974"/>
        <item m="1" x="1803"/>
        <item m="1" x="5160"/>
        <item m="1" x="3985"/>
        <item m="1" x="7338"/>
        <item m="1" x="5907"/>
        <item m="1" x="1700"/>
        <item m="1" x="934"/>
        <item m="1" x="207"/>
        <item m="1" x="3425"/>
        <item m="1" x="2988"/>
        <item m="1" x="1249"/>
        <item m="1" x="6609"/>
        <item m="1" x="4166"/>
        <item m="1" x="4378"/>
        <item m="1" x="3547"/>
        <item m="1" x="450"/>
        <item m="1" x="241"/>
        <item m="1" x="3926"/>
        <item m="1" x="7443"/>
        <item m="1" x="7894"/>
        <item m="1" x="1490"/>
        <item m="1" x="2420"/>
        <item m="1" x="4155"/>
        <item m="1" x="5046"/>
        <item m="1" x="5425"/>
        <item m="1" x="553"/>
        <item m="1" x="4678"/>
        <item m="1" x="2130"/>
        <item m="1" x="7313"/>
        <item m="1" x="3135"/>
        <item m="1" x="7561"/>
        <item m="1" x="2040"/>
        <item m="1" x="403"/>
        <item m="1" x="3148"/>
        <item m="1" x="6125"/>
        <item m="1" x="3607"/>
        <item m="1" x="2521"/>
        <item m="1" x="782"/>
        <item m="1" x="3628"/>
        <item m="1" x="6739"/>
        <item m="1" x="5038"/>
        <item m="1" x="5317"/>
        <item m="1" x="328"/>
        <item m="1" x="3624"/>
        <item m="1" x="3830"/>
        <item m="1" x="6624"/>
        <item m="1" x="543"/>
        <item m="1" x="2371"/>
        <item m="1" x="7364"/>
        <item m="1" x="5051"/>
        <item m="1" x="6759"/>
        <item m="1" x="5878"/>
        <item m="1" x="2411"/>
        <item m="1" x="194"/>
        <item m="1" x="5657"/>
        <item m="1" x="1635"/>
        <item m="1" x="5451"/>
        <item m="1" x="4832"/>
        <item m="1" x="2111"/>
        <item m="1" x="5530"/>
        <item m="1" x="1261"/>
        <item m="1" x="1583"/>
        <item m="1" x="3324"/>
        <item m="1" x="504"/>
        <item m="1" x="1731"/>
        <item m="1" x="4583"/>
        <item m="1" x="117"/>
        <item m="1" x="7474"/>
        <item m="1" x="7280"/>
        <item m="1" x="6623"/>
        <item m="1" x="7147"/>
        <item m="1" x="2086"/>
        <item m="1" x="700"/>
        <item m="1" x="5952"/>
        <item m="1" x="4060"/>
        <item m="1" x="3355"/>
        <item m="1" x="7714"/>
        <item m="1" x="4577"/>
        <item m="1" x="2752"/>
        <item m="1" x="7955"/>
        <item m="1" x="1378"/>
        <item m="1" x="6542"/>
        <item m="1" x="2352"/>
        <item m="1" x="2360"/>
        <item m="1" x="2591"/>
        <item m="1" x="6860"/>
        <item m="1" x="547"/>
        <item m="1" x="7274"/>
        <item m="1" x="4504"/>
        <item m="1" x="160"/>
        <item m="1" x="199"/>
        <item m="1" x="1366"/>
        <item m="1" x="1616"/>
        <item m="1" x="302"/>
        <item m="1" x="7758"/>
        <item m="1" x="2818"/>
        <item m="1" x="571"/>
        <item m="1" x="7261"/>
        <item m="1" x="4468"/>
        <item m="1" x="1546"/>
        <item m="1" x="6137"/>
        <item m="1" x="276"/>
        <item m="1" x="6509"/>
        <item m="1" x="5528"/>
        <item m="1" x="1398"/>
        <item m="1" x="864"/>
        <item m="1" x="6410"/>
        <item m="1" x="6452"/>
        <item m="1" x="3762"/>
        <item m="1" x="7686"/>
        <item m="1" x="7739"/>
        <item m="1" x="1196"/>
        <item m="1" x="3563"/>
        <item m="1" x="2519"/>
        <item m="1" x="3000"/>
        <item m="1" x="2153"/>
        <item m="1" x="2035"/>
        <item m="1" x="6693"/>
        <item m="1" x="1278"/>
        <item m="1" x="6917"/>
        <item m="1" x="7393"/>
        <item m="1" x="132"/>
        <item m="1" x="4626"/>
        <item m="1" x="3320"/>
        <item m="1" x="2629"/>
        <item m="1" x="7617"/>
        <item m="1" x="4705"/>
        <item m="1" x="5154"/>
        <item m="1" x="6561"/>
        <item m="1" x="6047"/>
        <item m="1" x="5688"/>
        <item m="1" x="3976"/>
        <item m="1" x="6313"/>
        <item m="1" x="4633"/>
        <item m="1" x="1946"/>
        <item m="1" x="3032"/>
        <item m="1" x="6899"/>
        <item m="1" x="6920"/>
        <item m="1" x="4038"/>
        <item m="1" x="2499"/>
        <item m="1" x="854"/>
        <item m="1" x="2277"/>
        <item m="1" x="696"/>
        <item m="1" x="5529"/>
        <item m="1" x="7909"/>
        <item m="1" x="2793"/>
        <item m="1" x="1310"/>
        <item m="1" x="747"/>
        <item m="1" x="4793"/>
        <item m="1" x="1629"/>
        <item m="1" x="1361"/>
        <item m="1" x="5340"/>
        <item m="1" x="1193"/>
        <item m="1" x="7908"/>
        <item m="1" x="7752"/>
        <item m="1" x="3357"/>
        <item m="1" x="1673"/>
        <item m="1" x="4881"/>
        <item m="1" x="825"/>
        <item m="1" x="4687"/>
        <item m="1" x="3403"/>
        <item m="1" x="850"/>
        <item m="1" x="3651"/>
        <item m="1" x="7406"/>
        <item m="1" x="7336"/>
        <item m="1" x="685"/>
        <item m="1" x="812"/>
        <item m="1" x="3041"/>
        <item m="1" x="2237"/>
        <item m="1" x="3095"/>
        <item m="1" x="4958"/>
        <item m="1" x="4804"/>
        <item m="1" x="6807"/>
        <item m="1" x="1084"/>
        <item m="1" x="1390"/>
        <item m="1" x="1156"/>
        <item m="1" x="900"/>
        <item m="1" x="4992"/>
        <item m="1" x="3886"/>
        <item m="1" x="7052"/>
        <item m="1" x="4469"/>
        <item m="1" x="2293"/>
        <item m="1" x="7059"/>
        <item m="1" x="6942"/>
        <item m="1" x="2414"/>
        <item m="1" x="5897"/>
        <item m="1" x="2535"/>
        <item m="1" x="6833"/>
        <item m="1" x="2753"/>
        <item m="1" x="5027"/>
        <item m="1" x="489"/>
        <item m="1" x="1630"/>
        <item m="1" x="249"/>
        <item m="1" x="3515"/>
        <item m="1" x="4785"/>
        <item m="1" x="5124"/>
        <item m="1" x="6469"/>
        <item m="1" x="3842"/>
        <item m="1" x="3396"/>
        <item m="1" x="5325"/>
        <item m="1" x="6486"/>
        <item m="1" x="7698"/>
        <item m="1" x="7415"/>
        <item m="1" x="2875"/>
        <item m="1" x="6515"/>
        <item m="1" x="517"/>
        <item m="1" x="6283"/>
        <item m="1" x="930"/>
        <item m="1" x="7256"/>
        <item m="1" x="4145"/>
        <item m="1" x="1410"/>
        <item m="1" x="2195"/>
        <item m="1" x="7014"/>
        <item m="1" x="5285"/>
        <item m="1" x="2937"/>
        <item m="1" x="98"/>
        <item m="1" x="646"/>
        <item m="1" x="1188"/>
        <item m="1" x="4152"/>
        <item m="1" x="7814"/>
        <item m="1" x="5791"/>
        <item m="1" x="5239"/>
        <item m="1" x="4895"/>
        <item m="1" x="7729"/>
        <item m="1" x="6726"/>
        <item m="1" x="4288"/>
        <item m="1" x="2039"/>
        <item m="1" x="674"/>
        <item m="1" x="292"/>
        <item m="1" x="1445"/>
        <item m="1" x="2588"/>
        <item m="1" x="4303"/>
        <item m="1" x="3891"/>
        <item m="1" x="2809"/>
        <item m="1" x="3094"/>
        <item m="1" x="5307"/>
        <item m="1" x="5785"/>
        <item m="1" x="1484"/>
        <item m="1" x="3255"/>
        <item m="1" x="2199"/>
        <item m="1" x="6046"/>
        <item m="1" x="6502"/>
        <item m="1" x="3690"/>
        <item m="1" x="6219"/>
        <item m="1" x="6576"/>
        <item m="1" x="6242"/>
        <item m="1" x="598"/>
        <item m="1" x="3046"/>
        <item m="1" x="1502"/>
        <item m="1" x="5640"/>
        <item m="1" x="182"/>
        <item m="1" x="5294"/>
        <item m="1" x="2914"/>
        <item m="1" x="5011"/>
        <item m="1" x="6398"/>
        <item m="1" x="891"/>
        <item m="1" x="6042"/>
        <item m="1" x="1690"/>
        <item m="1" x="1009"/>
        <item m="1" x="1048"/>
        <item m="1" x="6183"/>
        <item m="1" x="5398"/>
        <item m="1" x="5081"/>
        <item m="1" x="1355"/>
        <item m="1" x="6192"/>
        <item m="1" x="5588"/>
        <item m="1" x="3195"/>
        <item m="1" x="2893"/>
        <item m="1" x="3681"/>
        <item m="1" x="5369"/>
        <item m="1" x="449"/>
        <item m="1" x="3605"/>
        <item m="1" x="4284"/>
        <item m="1" x="4575"/>
        <item m="1" x="6318"/>
        <item m="1" x="7988"/>
        <item m="1" x="3384"/>
        <item m="1" x="4620"/>
        <item m="1" x="3865"/>
        <item m="1" x="4737"/>
        <item m="1" x="1428"/>
        <item m="1" x="2878"/>
        <item m="1" x="2024"/>
        <item m="1" x="7523"/>
        <item m="1" x="3138"/>
        <item m="1" x="3296"/>
        <item m="1" x="176"/>
        <item m="1" x="7887"/>
        <item m="1" x="6658"/>
        <item m="1" x="789"/>
        <item m="1" x="6823"/>
        <item m="1" x="4254"/>
        <item m="1" x="4477"/>
        <item m="1" x="3797"/>
        <item m="1" x="2181"/>
        <item m="1" x="4140"/>
        <item m="1" x="1374"/>
        <item m="1" x="3717"/>
        <item m="1" x="3265"/>
        <item m="1" x="170"/>
        <item m="1" x="1793"/>
        <item m="1" x="1035"/>
        <item m="1" x="5449"/>
        <item m="1" x="2835"/>
        <item m="1" x="2947"/>
        <item m="1" x="4312"/>
        <item m="1" x="2334"/>
        <item m="1" x="1121"/>
        <item m="1" x="4604"/>
        <item m="1" x="4495"/>
        <item m="1" x="4329"/>
        <item m="1" x="4590"/>
        <item m="1" x="1046"/>
        <item m="1" x="3753"/>
        <item m="1" x="981"/>
        <item m="1" x="3620"/>
        <item m="1" x="6793"/>
        <item m="1" x="5280"/>
        <item m="1" x="5157"/>
        <item m="1" x="5204"/>
        <item x="47"/>
        <item m="1" x="5825"/>
        <item m="1" x="899"/>
        <item m="1" x="5066"/>
        <item m="1" x="5723"/>
        <item m="1" x="4700"/>
        <item m="1" x="3487"/>
        <item m="1" x="6929"/>
        <item m="1" x="1149"/>
        <item m="1" x="5161"/>
        <item m="1" x="366"/>
        <item m="1" x="3469"/>
        <item m="1" x="2047"/>
        <item m="1" x="2294"/>
        <item m="1" x="6319"/>
        <item m="1" x="3556"/>
        <item m="1" x="2545"/>
        <item m="1" x="128"/>
        <item m="1" x="4133"/>
        <item m="1" x="1821"/>
        <item m="1" x="5123"/>
        <item m="1" x="7486"/>
        <item m="1" x="3369"/>
        <item m="1" x="7544"/>
        <item m="1" x="7835"/>
        <item m="1" x="5288"/>
        <item m="1" x="6498"/>
        <item m="1" x="3798"/>
        <item m="1" x="5042"/>
        <item m="1" x="6655"/>
        <item m="1" x="3120"/>
        <item m="1" x="1017"/>
        <item m="1" x="500"/>
        <item m="1" x="7883"/>
        <item m="1" x="2693"/>
        <item m="1" x="3156"/>
        <item m="1" x="3667"/>
        <item m="1" x="5844"/>
        <item m="1" x="1270"/>
        <item m="1" x="4121"/>
        <item m="1" x="6250"/>
        <item m="1" x="177"/>
        <item m="1" x="4899"/>
        <item m="1" x="7587"/>
        <item m="1" x="1019"/>
        <item m="1" x="4242"/>
        <item m="1" x="3297"/>
        <item m="1" x="2409"/>
        <item m="1" x="2454"/>
        <item m="1" x="4319"/>
        <item m="1" x="1926"/>
        <item m="1" x="2264"/>
        <item m="1" x="4172"/>
        <item m="1" x="2105"/>
        <item m="1" x="4075"/>
        <item m="1" x="1517"/>
        <item m="1" x="6061"/>
        <item m="1" x="2313"/>
        <item m="1" x="6706"/>
        <item m="1" x="849"/>
        <item m="1" x="2254"/>
        <item m="1" x="1854"/>
        <item m="1" x="5705"/>
        <item m="1" x="7459"/>
        <item m="1" x="3497"/>
        <item m="1" x="3621"/>
        <item m="1" x="7583"/>
        <item m="1" x="2644"/>
        <item m="1" x="962"/>
        <item m="1" x="3303"/>
        <item m="1" x="5436"/>
        <item m="1" x="5711"/>
        <item m="1" x="1714"/>
        <item m="1" x="614"/>
        <item m="1" x="2807"/>
        <item m="1" x="3298"/>
        <item m="1" x="4612"/>
        <item m="1" x="7619"/>
        <item m="1" x="2495"/>
        <item m="1" x="4406"/>
        <item m="1" x="6036"/>
        <item m="1" x="1464"/>
        <item m="1" x="7532"/>
        <item m="1" x="7834"/>
        <item m="1" x="4363"/>
        <item m="1" x="5611"/>
        <item m="1" x="1791"/>
        <item m="1" x="7086"/>
        <item m="1" x="7431"/>
        <item m="1" x="7249"/>
        <item m="1" x="7332"/>
        <item m="1" x="847"/>
        <item m="1" x="722"/>
        <item m="1" x="909"/>
        <item m="1" x="2714"/>
        <item m="1" x="6462"/>
        <item m="1" x="6660"/>
        <item m="1" x="7792"/>
        <item m="1" x="7318"/>
        <item m="1" x="7084"/>
        <item m="1" x="3804"/>
        <item m="1" x="7593"/>
        <item m="1" x="6552"/>
        <item m="1" x="7038"/>
        <item m="1" x="482"/>
        <item m="1" x="5015"/>
        <item m="1" x="4551"/>
        <item m="1" x="6336"/>
        <item m="1" x="1816"/>
        <item m="1" x="7537"/>
        <item m="1" x="591"/>
        <item m="1" x="1999"/>
        <item m="1" x="6832"/>
        <item m="1" x="2657"/>
        <item m="1" x="7419"/>
        <item m="1" x="2798"/>
        <item m="1" x="3826"/>
        <item m="1" x="2941"/>
        <item m="1" x="2424"/>
        <item m="1" x="5932"/>
        <item m="1" x="6165"/>
        <item m="1" x="5803"/>
        <item m="1" x="4917"/>
        <item m="1" x="1715"/>
        <item m="1" x="6633"/>
        <item m="1" x="4222"/>
        <item m="1" x="3993"/>
        <item m="1" x="6460"/>
        <item m="1" x="3825"/>
        <item m="1" x="7514"/>
        <item m="1" x="7390"/>
        <item m="1" x="5153"/>
        <item m="1" x="3394"/>
        <item m="1" x="3036"/>
        <item m="1" x="1317"/>
        <item m="1" x="6636"/>
        <item m="1" x="2395"/>
        <item m="1" x="916"/>
        <item m="1" x="940"/>
        <item m="1" x="2694"/>
        <item m="1" x="359"/>
        <item m="1" x="3603"/>
        <item m="1" x="572"/>
        <item m="1" x="2739"/>
        <item m="1" x="5033"/>
        <item m="1" x="4051"/>
        <item m="1" x="6131"/>
        <item m="1" x="7166"/>
        <item m="1" x="5982"/>
        <item m="1" x="7368"/>
        <item m="1" x="3419"/>
        <item m="1" x="1435"/>
        <item m="1" x="2541"/>
        <item m="1" x="6755"/>
        <item m="1" x="1282"/>
        <item m="1" x="5917"/>
        <item m="1" x="3971"/>
        <item m="1" x="6724"/>
        <item m="1" x="1375"/>
        <item m="1" x="2082"/>
        <item m="1" x="1504"/>
        <item m="1" x="6428"/>
        <item m="1" x="2014"/>
        <item m="1" x="7281"/>
        <item m="1" x="5631"/>
        <item m="1" x="1107"/>
        <item m="1" x="3022"/>
        <item m="1" x="2074"/>
        <item m="1" x="5486"/>
        <item m="1" x="2498"/>
        <item m="1" x="7416"/>
        <item m="1" x="4093"/>
        <item m="1" x="1800"/>
        <item m="1" x="6800"/>
        <item m="1" x="1933"/>
        <item m="1" x="7325"/>
        <item m="1" x="4466"/>
        <item m="1" x="5622"/>
        <item m="1" x="1391"/>
        <item m="1" x="7797"/>
        <item m="1" x="874"/>
        <item m="1" x="5704"/>
        <item m="1" x="305"/>
        <item m="1" x="5041"/>
        <item m="1" x="5324"/>
        <item m="1" x="1402"/>
        <item m="1" x="250"/>
        <item m="1" x="5602"/>
        <item m="1" x="3381"/>
        <item m="1" x="2977"/>
        <item m="1" x="4372"/>
        <item m="1" x="6340"/>
        <item m="1" x="7239"/>
        <item m="1" x="6945"/>
        <item m="1" x="5319"/>
        <item m="1" x="4417"/>
        <item m="1" x="7397"/>
        <item m="1" x="4567"/>
        <item m="1" x="6351"/>
        <item m="1" x="6913"/>
        <item m="1" x="7635"/>
        <item m="1" x="4248"/>
        <item m="1" x="5125"/>
        <item m="1" x="3301"/>
        <item m="1" x="7094"/>
        <item m="1" x="3913"/>
        <item m="1" x="3043"/>
        <item m="1" x="2391"/>
        <item m="1" x="5794"/>
        <item m="1" x="245"/>
        <item m="1" x="3668"/>
        <item m="1" x="3661"/>
        <item m="1" x="5303"/>
        <item m="1" x="6217"/>
        <item m="1" x="1399"/>
        <item m="1" x="1437"/>
        <item m="1" x="5222"/>
        <item m="1" x="1041"/>
        <item m="1" x="1746"/>
        <item m="1" x="2052"/>
        <item m="1" x="4789"/>
        <item m="1" x="7786"/>
        <item m="1" x="1083"/>
        <item m="1" x="4542"/>
        <item m="1" x="2936"/>
        <item m="1" x="1446"/>
        <item m="1" x="4387"/>
        <item m="1" x="377"/>
        <item m="1" x="112"/>
        <item m="1" x="5860"/>
        <item m="1" x="702"/>
        <item m="1" x="714"/>
        <item m="1" x="6595"/>
        <item m="1" x="2602"/>
        <item m="1" x="5663"/>
        <item m="1" x="993"/>
        <item m="1" x="4523"/>
        <item m="1" x="6969"/>
        <item m="1" x="3948"/>
        <item m="1" x="7506"/>
        <item m="1" x="1442"/>
        <item m="1" x="7341"/>
        <item m="1" x="3025"/>
        <item m="1" x="4882"/>
        <item m="1" x="2509"/>
        <item m="1" x="7270"/>
        <item m="1" x="6982"/>
        <item m="1" x="811"/>
        <item m="1" x="1535"/>
        <item m="1" x="3653"/>
        <item m="1" x="6909"/>
        <item m="1" x="7781"/>
        <item m="1" x="4089"/>
        <item m="1" x="4220"/>
        <item m="1" x="3109"/>
        <item m="1" x="2402"/>
        <item m="1" x="7337"/>
        <item m="1" x="6506"/>
        <item m="1" x="5455"/>
        <item m="1" x="6464"/>
        <item m="1" x="4098"/>
        <item m="1" x="200"/>
        <item m="1" x="7599"/>
        <item m="1" x="570"/>
        <item m="1" x="4282"/>
        <item m="1" x="2719"/>
        <item m="1" x="6962"/>
        <item m="1" x="6459"/>
        <item m="1" x="4287"/>
        <item m="1" x="422"/>
        <item m="1" x="2477"/>
        <item m="1" x="3306"/>
        <item m="1" x="585"/>
        <item m="1" x="6129"/>
        <item m="1" x="5012"/>
        <item m="1" x="6505"/>
        <item m="1" x="4507"/>
        <item m="1" x="4380"/>
        <item m="1" x="1337"/>
        <item m="1" x="111"/>
        <item m="1" x="1157"/>
        <item m="1" x="7258"/>
        <item m="1" x="725"/>
        <item m="1" x="1201"/>
        <item m="1" x="6694"/>
        <item m="1" x="5397"/>
        <item m="1" x="2681"/>
        <item m="1" x="2192"/>
        <item m="1" x="7061"/>
        <item m="1" x="5885"/>
        <item m="1" x="6079"/>
        <item m="1" x="1948"/>
        <item m="1" x="1851"/>
        <item m="1" x="3155"/>
        <item m="1" x="5547"/>
        <item m="1" x="6414"/>
        <item m="1" x="1322"/>
        <item m="1" x="5466"/>
        <item x="12"/>
        <item m="1" x="4114"/>
        <item x="17"/>
        <item m="1" x="6841"/>
        <item m="1" x="2323"/>
        <item m="1" x="5327"/>
        <item m="1" x="4756"/>
        <item m="1" x="3513"/>
        <item m="1" x="7089"/>
        <item m="1" x="7511"/>
        <item x="43"/>
        <item m="1" x="2738"/>
        <item m="1" x="7787"/>
        <item m="1" x="7477"/>
        <item m="1" x="3835"/>
        <item m="1" x="1383"/>
        <item m="1" x="6583"/>
        <item m="1" x="2698"/>
        <item m="1" x="4169"/>
        <item m="1" x="1828"/>
        <item m="1" x="3502"/>
        <item m="1" x="1004"/>
        <item m="1" x="4751"/>
        <item m="1" x="4047"/>
        <item m="1" x="3977"/>
        <item m="1" x="3558"/>
        <item m="1" x="2665"/>
        <item m="1" x="1333"/>
        <item m="1" x="1060"/>
        <item m="1" x="380"/>
        <item m="1" x="4314"/>
        <item m="1" x="5807"/>
        <item m="1" x="2507"/>
        <item m="1" x="986"/>
        <item m="1" x="7088"/>
        <item m="1" x="5149"/>
        <item m="1" x="4396"/>
        <item m="1" x="7905"/>
        <item m="1" x="3231"/>
        <item m="1" x="1023"/>
        <item m="1" x="1893"/>
        <item m="1" x="1198"/>
        <item m="1" x="5338"/>
        <item m="1" x="7730"/>
        <item m="1" x="7495"/>
        <item m="1" x="3928"/>
        <item m="1" x="1063"/>
        <item m="1" x="2069"/>
        <item m="1" x="312"/>
        <item m="1" x="2538"/>
        <item m="1" x="7200"/>
        <item m="1" x="4584"/>
        <item x="38"/>
        <item x="42"/>
        <item m="1" x="6557"/>
        <item m="1" x="5978"/>
        <item m="1" x="7749"/>
        <item m="1" x="1087"/>
        <item m="1" x="4289"/>
        <item m="1" x="3849"/>
        <item m="1" x="6308"/>
        <item m="1" x="4990"/>
        <item m="1" x="5134"/>
        <item m="1" x="2713"/>
        <item m="1" x="995"/>
        <item m="1" x="2015"/>
        <item m="1" x="6829"/>
        <item m="1" x="4921"/>
        <item m="1" x="824"/>
        <item m="1" x="6268"/>
        <item m="1" x="5489"/>
        <item m="1" x="4937"/>
        <item m="1" x="3291"/>
        <item m="1" x="7044"/>
        <item m="1" x="6563"/>
        <item m="1" x="260"/>
        <item m="1" x="7789"/>
        <item m="1" x="118"/>
        <item m="1" x="6743"/>
        <item m="1" x="1104"/>
        <item m="1" x="7699"/>
        <item m="1" x="7417"/>
        <item m="1" x="5568"/>
        <item m="1" x="1637"/>
        <item m="1" x="7622"/>
        <item m="1" x="7830"/>
        <item m="1" x="402"/>
        <item m="1" x="3840"/>
        <item m="1" x="7210"/>
        <item m="1" x="6844"/>
        <item m="1" x="5238"/>
        <item m="1" x="4901"/>
        <item m="1" x="6121"/>
        <item m="1" x="2480"/>
        <item x="0"/>
        <item x="1"/>
        <item x="2"/>
        <item x="3"/>
        <item x="5"/>
        <item x="10"/>
        <item x="14"/>
        <item x="16"/>
        <item x="20"/>
        <item x="21"/>
        <item x="22"/>
        <item x="23"/>
        <item x="24"/>
        <item x="25"/>
        <item x="26"/>
        <item x="27"/>
        <item x="28"/>
        <item x="30"/>
        <item x="31"/>
        <item x="32"/>
        <item x="33"/>
        <item x="34"/>
        <item x="35"/>
        <item x="36"/>
        <item x="37"/>
        <item x="39"/>
        <item x="45"/>
        <item x="46"/>
        <item x="48"/>
        <item x="49"/>
        <item x="50"/>
        <item x="51"/>
        <item x="52"/>
        <item x="53"/>
        <item x="55"/>
        <item x="56"/>
        <item x="57"/>
        <item x="58"/>
        <item x="60"/>
        <item x="61"/>
        <item x="62"/>
        <item x="63"/>
        <item x="64"/>
        <item x="65"/>
        <item x="6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0"/>
        <item x="3"/>
        <item m="1" x="67"/>
        <item m="1" x="84"/>
        <item m="1" x="88"/>
        <item m="1" x="25"/>
        <item m="1" x="44"/>
        <item m="1" x="82"/>
        <item x="1"/>
        <item m="1" x="50"/>
        <item x="17"/>
        <item x="15"/>
        <item x="14"/>
        <item m="1" x="64"/>
        <item m="1" x="39"/>
        <item x="13"/>
        <item m="1" x="47"/>
        <item m="1" x="90"/>
        <item m="1" x="52"/>
        <item m="1" x="72"/>
        <item m="1" x="41"/>
        <item m="1" x="80"/>
        <item x="0"/>
        <item m="1" x="61"/>
        <item m="1" x="63"/>
        <item m="1" x="66"/>
        <item m="1" x="76"/>
        <item m="1" x="81"/>
        <item m="1" x="85"/>
        <item x="18"/>
        <item x="9"/>
        <item x="6"/>
        <item x="5"/>
        <item x="4"/>
        <item m="1" x="79"/>
        <item m="1" x="32"/>
        <item m="1" x="43"/>
        <item x="16"/>
        <item m="1" x="77"/>
        <item m="1" x="36"/>
        <item x="2"/>
        <item m="1" x="69"/>
        <item m="1" x="30"/>
        <item x="7"/>
        <item m="1" x="56"/>
        <item m="1" x="37"/>
        <item m="1" x="75"/>
        <item m="1" x="74"/>
        <item m="1" x="22"/>
        <item m="1" x="23"/>
        <item m="1" x="45"/>
        <item m="1" x="35"/>
        <item x="11"/>
        <item m="1" x="58"/>
        <item m="1" x="55"/>
        <item m="1" x="31"/>
        <item m="1" x="40"/>
        <item m="1" x="27"/>
        <item m="1" x="24"/>
        <item m="1" x="28"/>
        <item m="1" x="65"/>
        <item m="1" x="70"/>
        <item m="1" x="42"/>
        <item m="1" x="21"/>
        <item m="1" x="73"/>
        <item m="1" x="51"/>
        <item m="1" x="89"/>
        <item m="1" x="57"/>
        <item m="1" x="38"/>
        <item x="12"/>
        <item m="1" x="19"/>
        <item m="1" x="26"/>
        <item m="1" x="34"/>
        <item m="1" x="29"/>
        <item m="1" x="53"/>
        <item m="1" x="62"/>
        <item m="1" x="33"/>
        <item m="1" x="87"/>
        <item m="1" x="54"/>
        <item m="1" x="60"/>
        <item x="8"/>
        <item m="1" x="68"/>
        <item m="1" x="71"/>
        <item m="1" x="48"/>
        <item m="1" x="86"/>
        <item m="1" x="59"/>
        <item m="1" x="83"/>
        <item m="1" x="49"/>
        <item m="1" x="46"/>
        <item m="1" x="20"/>
        <item m="1" x="78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24"/>
        <item x="23"/>
        <item x="17"/>
        <item x="16"/>
        <item x="6"/>
        <item x="21"/>
        <item x="15"/>
        <item x="22"/>
        <item x="13"/>
        <item m="1" x="56"/>
        <item x="8"/>
        <item m="1" x="62"/>
        <item x="18"/>
        <item m="1" x="29"/>
        <item x="19"/>
        <item m="1" x="35"/>
        <item x="14"/>
        <item x="3"/>
        <item m="1" x="39"/>
        <item x="1"/>
        <item m="1" x="42"/>
        <item m="1" x="44"/>
        <item m="1" x="47"/>
        <item m="1" x="50"/>
        <item m="1" x="53"/>
        <item x="4"/>
        <item x="12"/>
        <item x="10"/>
        <item x="9"/>
        <item x="11"/>
        <item m="1" x="61"/>
        <item m="1" x="64"/>
        <item x="5"/>
        <item x="2"/>
        <item x="7"/>
        <item x="20"/>
        <item m="1" x="46"/>
        <item m="1" x="28"/>
        <item m="1" x="49"/>
        <item m="1" x="31"/>
        <item m="1" x="52"/>
        <item m="1" x="32"/>
        <item m="1" x="54"/>
        <item m="1" x="33"/>
        <item m="1" x="55"/>
        <item m="1" x="34"/>
        <item m="1" x="57"/>
        <item m="1" x="36"/>
        <item m="1" x="58"/>
        <item m="1" x="37"/>
        <item m="1" x="59"/>
        <item m="1" x="38"/>
        <item m="1" x="60"/>
        <item m="1" x="40"/>
        <item m="1" x="63"/>
        <item m="1" x="41"/>
        <item m="1" x="25"/>
        <item m="1" x="43"/>
        <item m="1" x="26"/>
        <item m="1" x="45"/>
        <item m="1" x="27"/>
        <item m="1" x="48"/>
        <item m="1" x="30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119"/>
        <item m="1" x="108"/>
        <item m="1" x="93"/>
        <item m="1" x="81"/>
        <item x="9"/>
        <item m="1" x="60"/>
        <item m="1" x="47"/>
        <item m="1" x="36"/>
        <item m="1" x="26"/>
        <item m="1" x="134"/>
        <item m="1" x="122"/>
        <item m="1" x="110"/>
        <item m="1" x="97"/>
        <item m="1" x="85"/>
        <item m="1" x="74"/>
        <item m="1" x="64"/>
        <item m="1" x="51"/>
        <item m="1" x="40"/>
        <item m="1" x="29"/>
        <item m="1" x="139"/>
        <item m="1" x="125"/>
        <item m="1" x="114"/>
        <item m="1" x="101"/>
        <item m="1" x="88"/>
        <item m="1" x="68"/>
        <item m="1" x="55"/>
        <item m="1" x="42"/>
        <item m="1" x="144"/>
        <item m="1" x="118"/>
        <item m="1" x="106"/>
        <item m="1" x="91"/>
        <item x="19"/>
        <item x="14"/>
        <item x="21"/>
        <item x="20"/>
        <item x="23"/>
        <item x="22"/>
        <item m="1" x="98"/>
        <item x="0"/>
        <item x="7"/>
        <item m="1" x="65"/>
        <item x="2"/>
        <item x="6"/>
        <item m="1" x="30"/>
        <item x="3"/>
        <item m="1" x="126"/>
        <item m="1" x="115"/>
        <item m="1" x="102"/>
        <item m="1" x="89"/>
        <item x="1"/>
        <item m="1" x="70"/>
        <item m="1" x="57"/>
        <item m="1" x="33"/>
        <item m="1" x="145"/>
        <item m="1" x="107"/>
        <item m="1" x="149"/>
        <item x="12"/>
        <item m="1" x="76"/>
        <item x="5"/>
        <item m="1" x="52"/>
        <item m="1" x="41"/>
        <item m="1" x="31"/>
        <item m="1" x="140"/>
        <item x="8"/>
        <item m="1" x="116"/>
        <item m="1" x="103"/>
        <item x="11"/>
        <item m="1" x="78"/>
        <item x="17"/>
        <item x="4"/>
        <item m="1" x="45"/>
        <item m="1" x="34"/>
        <item m="1" x="146"/>
        <item m="1" x="130"/>
        <item m="1" x="120"/>
        <item m="1" x="109"/>
        <item m="1" x="94"/>
        <item m="1" x="82"/>
        <item m="1" x="72"/>
        <item m="1" x="61"/>
        <item m="1" x="37"/>
        <item m="1" x="150"/>
        <item m="1" x="135"/>
        <item m="1" x="123"/>
        <item m="1" x="75"/>
        <item m="1" x="104"/>
        <item m="1" x="79"/>
        <item m="1" x="58"/>
        <item x="24"/>
        <item m="1" x="131"/>
        <item m="1" x="95"/>
        <item m="1" x="83"/>
        <item m="1" x="73"/>
        <item m="1" x="62"/>
        <item m="1" x="48"/>
        <item m="1" x="38"/>
        <item m="1" x="27"/>
        <item m="1" x="136"/>
        <item m="1" x="124"/>
        <item m="1" x="111"/>
        <item m="1" x="99"/>
        <item m="1" x="86"/>
        <item m="1" x="66"/>
        <item m="1" x="53"/>
        <item m="1" x="127"/>
        <item x="15"/>
        <item x="25"/>
        <item m="1" x="147"/>
        <item m="1" x="132"/>
        <item x="10"/>
        <item m="1" x="84"/>
        <item x="18"/>
        <item m="1" x="63"/>
        <item m="1" x="49"/>
        <item x="13"/>
        <item m="1" x="137"/>
        <item m="1" x="112"/>
        <item m="1" x="100"/>
        <item m="1" x="87"/>
        <item m="1" x="67"/>
        <item m="1" x="54"/>
        <item m="1" x="141"/>
        <item m="1" x="128"/>
        <item x="16"/>
        <item m="1" x="138"/>
        <item m="1" x="113"/>
        <item m="1" x="43"/>
        <item m="1" x="142"/>
        <item m="1" x="28"/>
        <item m="1" x="90"/>
        <item m="1" x="77"/>
        <item m="1" x="69"/>
        <item m="1" x="56"/>
        <item m="1" x="44"/>
        <item m="1" x="32"/>
        <item m="1" x="143"/>
        <item m="1" x="129"/>
        <item m="1" x="117"/>
        <item m="1" x="105"/>
        <item m="1" x="92"/>
        <item m="1" x="80"/>
        <item m="1" x="71"/>
        <item m="1" x="59"/>
        <item m="1" x="46"/>
        <item m="1" x="35"/>
        <item m="1" x="148"/>
        <item m="1" x="133"/>
        <item m="1" x="121"/>
        <item m="1" x="96"/>
        <item m="1" x="50"/>
        <item m="1" x="3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3">
    <i>
      <x/>
      <x v="14"/>
      <x v="11"/>
      <x v="32"/>
      <x/>
      <x v="114"/>
      <x v="7962"/>
      <x v="1"/>
      <x v="2"/>
      <x v="1"/>
      <x v="7948"/>
    </i>
    <i t="default" r="2">
      <x v="11"/>
    </i>
    <i r="2">
      <x v="27"/>
      <x v="43"/>
      <x/>
      <x v="114"/>
      <x v="7967"/>
      <x v="1"/>
      <x/>
      <x/>
      <x v="7956"/>
    </i>
    <i t="default" r="2">
      <x v="27"/>
    </i>
    <i>
      <x v="2"/>
      <x v="7"/>
      <x/>
      <x v="33"/>
      <x/>
      <x v="111"/>
      <x v="2162"/>
      <x v="1"/>
      <x v="7433"/>
      <x v="2"/>
      <x v="7986"/>
    </i>
    <i t="default" r="2">
      <x/>
    </i>
    <i r="2">
      <x v="1"/>
      <x v="32"/>
      <x/>
      <x v="111"/>
      <x v="7999"/>
      <x v="1"/>
      <x v="7998"/>
      <x v="1"/>
      <x v="7998"/>
    </i>
    <i t="default" r="2">
      <x v="1"/>
    </i>
    <i r="2">
      <x v="2"/>
      <x v="32"/>
      <x/>
      <x v="63"/>
      <x v="7994"/>
      <x v="1"/>
      <x v="7993"/>
      <x v="1"/>
      <x v="7993"/>
    </i>
    <i r="5">
      <x v="109"/>
      <x v="7992"/>
      <x v="1"/>
      <x v="7990"/>
      <x v="1"/>
      <x v="7990"/>
    </i>
    <i t="default" r="2">
      <x v="2"/>
    </i>
    <i r="2">
      <x v="3"/>
      <x v="32"/>
      <x/>
      <x v="114"/>
      <x v="7989"/>
      <x v="1"/>
      <x v="7987"/>
      <x v="1"/>
      <x v="7987"/>
    </i>
    <i t="default" r="2">
      <x v="3"/>
    </i>
    <i r="2">
      <x v="4"/>
      <x v="32"/>
      <x/>
      <x v="106"/>
      <x v="7997"/>
      <x v="1"/>
      <x v="7996"/>
      <x v="1"/>
      <x v="7996"/>
    </i>
    <i r="5">
      <x v="109"/>
      <x v="7995"/>
      <x v="1"/>
      <x v="7994"/>
      <x v="1"/>
      <x v="7994"/>
    </i>
    <i t="default" r="2">
      <x v="4"/>
    </i>
    <i r="2">
      <x v="5"/>
      <x v="32"/>
      <x/>
      <x v="114"/>
      <x v="7996"/>
      <x v="1"/>
      <x v="7995"/>
      <x v="1"/>
      <x v="7995"/>
    </i>
    <i t="default" r="2">
      <x v="5"/>
    </i>
    <i r="2">
      <x v="6"/>
      <x v="32"/>
      <x/>
      <x v="39"/>
      <x v="7993"/>
      <x v="1"/>
      <x v="7992"/>
      <x v="1"/>
      <x v="7992"/>
    </i>
    <i r="5">
      <x v="42"/>
      <x v="7990"/>
      <x v="1"/>
      <x v="7988"/>
      <x v="1"/>
      <x v="7988"/>
    </i>
    <i r="5">
      <x v="66"/>
      <x v="4035"/>
      <x v="1"/>
      <x v="7991"/>
      <x v="1"/>
      <x v="7991"/>
    </i>
    <i t="default" r="2">
      <x v="6"/>
    </i>
    <i r="2">
      <x v="7"/>
      <x v="32"/>
      <x/>
      <x v="114"/>
      <x v="7998"/>
      <x v="1"/>
      <x v="7997"/>
      <x v="1"/>
      <x v="7997"/>
    </i>
    <i t="default" r="2">
      <x v="7"/>
    </i>
    <i r="2">
      <x v="8"/>
      <x v="32"/>
      <x/>
      <x v="88"/>
      <x v="7991"/>
      <x v="1"/>
      <x v="7989"/>
      <x v="1"/>
      <x v="7989"/>
    </i>
    <i r="5">
      <x v="109"/>
      <x v="4465"/>
      <x v="1"/>
      <x v="7999"/>
      <x v="1"/>
      <x v="7999"/>
    </i>
    <i t="default" r="2">
      <x v="8"/>
    </i>
    <i r="1">
      <x v="12"/>
      <x/>
      <x v="29"/>
      <x/>
      <x v="35"/>
      <x v="7986"/>
      <x v="1"/>
      <x/>
      <x/>
      <x v="7983"/>
    </i>
    <i r="5">
      <x v="39"/>
      <x v="7984"/>
      <x v="1"/>
      <x/>
      <x/>
      <x v="7981"/>
    </i>
    <i r="6">
      <x v="7985"/>
      <x/>
      <x/>
      <x/>
      <x v="7982"/>
    </i>
    <i r="6">
      <x v="7987"/>
      <x v="1"/>
      <x/>
      <x/>
      <x v="7984"/>
    </i>
    <i r="5">
      <x v="63"/>
      <x v="7988"/>
      <x v="1"/>
      <x/>
      <x/>
      <x v="7985"/>
    </i>
    <i t="default" r="2">
      <x/>
    </i>
    <i r="1">
      <x v="13"/>
      <x/>
      <x v="10"/>
      <x/>
      <x v="32"/>
      <x v="4687"/>
      <x/>
      <x/>
      <x/>
      <x v="7976"/>
    </i>
    <i r="5">
      <x v="33"/>
      <x v="7981"/>
      <x/>
      <x/>
      <x/>
      <x v="7977"/>
    </i>
    <i r="6">
      <x v="7982"/>
      <x/>
      <x/>
      <x/>
      <x v="7978"/>
    </i>
    <i r="6">
      <x v="7983"/>
      <x/>
      <x/>
      <x/>
      <x v="7980"/>
    </i>
    <i r="5">
      <x v="36"/>
      <x v="7563"/>
      <x/>
      <x/>
      <x/>
      <x v="7979"/>
    </i>
    <i r="3">
      <x v="11"/>
      <x/>
      <x v="33"/>
      <x v="7914"/>
      <x/>
      <x v="7986"/>
      <x v="1"/>
      <x v="7974"/>
    </i>
    <i r="3">
      <x v="12"/>
      <x/>
      <x v="31"/>
      <x v="4901"/>
      <x/>
      <x/>
      <x/>
      <x v="7973"/>
    </i>
    <i r="3">
      <x v="15"/>
      <x/>
      <x v="34"/>
      <x v="2630"/>
      <x/>
      <x/>
      <x/>
      <x v="7972"/>
    </i>
    <i r="6">
      <x v="7980"/>
      <x v="1"/>
      <x/>
      <x/>
      <x v="7971"/>
    </i>
    <i r="3">
      <x v="37"/>
      <x/>
      <x v="32"/>
      <x v="7871"/>
      <x/>
      <x/>
      <x/>
      <x v="7975"/>
    </i>
    <i r="3">
      <x v="69"/>
      <x/>
      <x v="31"/>
      <x v="7913"/>
      <x/>
      <x/>
      <x/>
      <x v="7970"/>
    </i>
    <i t="default" r="2">
      <x/>
    </i>
    <i r="1">
      <x v="14"/>
      <x/>
      <x v="31"/>
      <x/>
      <x v="32"/>
      <x v="7863"/>
      <x v="1"/>
      <x v="7973"/>
      <x v="1"/>
      <x v="7949"/>
    </i>
    <i t="default" r="2">
      <x/>
    </i>
    <i r="2">
      <x v="3"/>
      <x/>
      <x/>
      <x v="123"/>
      <x v="7972"/>
      <x v="1"/>
      <x v="7982"/>
      <x v="2"/>
      <x v="7962"/>
    </i>
    <i t="default" r="2">
      <x v="3"/>
    </i>
    <i r="2">
      <x v="4"/>
      <x v="30"/>
      <x/>
      <x v="32"/>
      <x v="6211"/>
      <x/>
      <x/>
      <x/>
      <x v="7961"/>
    </i>
    <i t="default" r="2">
      <x v="4"/>
    </i>
    <i r="2">
      <x v="5"/>
      <x/>
      <x/>
      <x v="39"/>
      <x v="7975"/>
      <x/>
      <x/>
      <x/>
      <x v="7965"/>
    </i>
    <i r="3">
      <x v="33"/>
      <x/>
      <x v="66"/>
      <x v="7961"/>
      <x/>
      <x/>
      <x/>
      <x v="7946"/>
    </i>
    <i t="default" r="2">
      <x v="5"/>
    </i>
    <i r="2">
      <x v="7"/>
      <x v="80"/>
      <x v="1"/>
      <x v="123"/>
      <x v="7971"/>
      <x v="1"/>
      <x v="2"/>
      <x v="1"/>
      <x v="7960"/>
    </i>
    <i t="default" r="2">
      <x v="7"/>
    </i>
    <i r="2">
      <x v="9"/>
      <x v="43"/>
      <x/>
      <x v="123"/>
      <x v="7968"/>
      <x v="1"/>
      <x v="7980"/>
      <x v="2"/>
      <x v="7957"/>
    </i>
    <i t="default" r="2">
      <x v="9"/>
    </i>
    <i r="2">
      <x v="11"/>
      <x/>
      <x/>
      <x v="114"/>
      <x v="7977"/>
      <x v="1"/>
      <x v="7985"/>
      <x v="1"/>
      <x v="7967"/>
    </i>
    <i t="default" r="2">
      <x v="11"/>
    </i>
    <i r="2">
      <x v="13"/>
      <x/>
      <x/>
      <x v="68"/>
      <x v="7973"/>
      <x/>
      <x v="2"/>
      <x v="1"/>
      <x v="7963"/>
    </i>
    <i t="default" r="2">
      <x v="13"/>
    </i>
    <i r="2">
      <x v="15"/>
      <x/>
      <x/>
      <x v="123"/>
      <x v="7974"/>
      <x v="1"/>
      <x v="7983"/>
      <x v="2"/>
      <x v="7964"/>
    </i>
    <i t="default" r="2">
      <x v="15"/>
    </i>
    <i r="2">
      <x v="17"/>
      <x/>
      <x v="1"/>
      <x v="111"/>
      <x v="7976"/>
      <x v="1"/>
      <x v="7984"/>
      <x v="1"/>
      <x v="7966"/>
    </i>
    <i r="3">
      <x v="43"/>
      <x/>
      <x v="109"/>
      <x v="7969"/>
      <x v="1"/>
      <x v="7981"/>
      <x v="1"/>
      <x v="7958"/>
    </i>
    <i r="6">
      <x v="7970"/>
      <x v="1"/>
      <x v="2966"/>
      <x/>
      <x v="7959"/>
    </i>
    <i t="default" r="2">
      <x v="17"/>
    </i>
    <i r="2">
      <x v="18"/>
      <x v="33"/>
      <x/>
      <x v="63"/>
      <x v="3894"/>
      <x v="1"/>
      <x v="7625"/>
      <x v="2"/>
      <x v="7943"/>
    </i>
    <i t="default" r="2">
      <x v="18"/>
    </i>
    <i r="2">
      <x v="20"/>
      <x v="33"/>
      <x/>
      <x v="42"/>
      <x v="5603"/>
      <x v="1"/>
      <x v="2995"/>
      <x v="2"/>
      <x v="7941"/>
    </i>
    <i t="default" r="2">
      <x v="20"/>
    </i>
    <i r="2">
      <x v="26"/>
      <x v="33"/>
      <x/>
      <x v="4"/>
      <x v="7861"/>
      <x v="1"/>
      <x/>
      <x/>
      <x v="7944"/>
    </i>
    <i t="default" r="2">
      <x v="26"/>
    </i>
    <i r="2">
      <x v="28"/>
      <x v="43"/>
      <x/>
      <x v="42"/>
      <x v="7965"/>
      <x v="1"/>
      <x v="7978"/>
      <x v="2"/>
      <x v="7954"/>
    </i>
    <i r="5">
      <x v="63"/>
      <x v="7964"/>
      <x v="1"/>
      <x v="7977"/>
      <x v="1"/>
      <x v="7953"/>
    </i>
    <i t="default" r="2">
      <x v="28"/>
    </i>
    <i r="2">
      <x v="29"/>
      <x v="43"/>
      <x/>
      <x v="114"/>
      <x v="7963"/>
      <x v="1"/>
      <x v="7976"/>
      <x v="2"/>
      <x v="7952"/>
    </i>
    <i t="default" r="2">
      <x v="29"/>
    </i>
    <i r="2">
      <x v="30"/>
      <x v="43"/>
      <x/>
      <x v="114"/>
      <x v="7966"/>
      <x v="1"/>
      <x v="7979"/>
      <x v="1"/>
      <x v="7955"/>
    </i>
    <i t="default" r="2">
      <x v="30"/>
    </i>
    <i r="2">
      <x v="33"/>
      <x v="33"/>
      <x/>
      <x v="109"/>
      <x v="4030"/>
      <x/>
      <x v="7971"/>
      <x v="1"/>
      <x v="7945"/>
    </i>
    <i t="default" r="2">
      <x v="33"/>
    </i>
    <i r="2">
      <x v="34"/>
      <x v="33"/>
      <x/>
      <x v="39"/>
      <x v="7960"/>
      <x v="1"/>
      <x v="7970"/>
      <x v="2"/>
      <x v="7942"/>
    </i>
    <i t="default" r="2">
      <x v="34"/>
    </i>
    <i r="2">
      <x v="35"/>
      <x v="31"/>
      <x/>
      <x v="105"/>
      <x v="6019"/>
      <x v="1"/>
      <x v="7975"/>
      <x v="1"/>
      <x v="7951"/>
    </i>
    <i r="6">
      <x v="6654"/>
      <x v="1"/>
      <x v="7974"/>
      <x v="1"/>
      <x v="7950"/>
    </i>
    <i r="3">
      <x v="32"/>
      <x/>
      <x v="56"/>
      <x v="4788"/>
      <x v="1"/>
      <x v="7972"/>
      <x v="1"/>
      <x v="7947"/>
    </i>
    <i t="default" r="2">
      <x v="35"/>
    </i>
    <i r="2">
      <x v="36"/>
      <x v="52"/>
      <x v="1"/>
      <x v="114"/>
      <x v="7978"/>
      <x v="1"/>
      <x v="2"/>
      <x v="1"/>
      <x v="7968"/>
    </i>
    <i r="6">
      <x v="7979"/>
      <x v="1"/>
      <x v="2"/>
      <x v="1"/>
      <x v="7969"/>
    </i>
    <i t="default" r="2">
      <x v="36"/>
    </i>
    <i r="1">
      <x v="15"/>
      <x/>
      <x v="1"/>
      <x/>
      <x v="58"/>
      <x v="2778"/>
      <x/>
      <x/>
      <x/>
      <x v="7939"/>
    </i>
    <i r="6">
      <x v="6836"/>
      <x/>
      <x/>
      <x/>
      <x v="7940"/>
    </i>
    <i r="3">
      <x v="8"/>
      <x/>
      <x v="41"/>
      <x v="3181"/>
      <x/>
      <x/>
      <x/>
      <x v="7920"/>
    </i>
    <i r="10">
      <x v="7921"/>
    </i>
    <i r="6">
      <x v="7957"/>
      <x/>
      <x/>
      <x/>
      <x v="7918"/>
    </i>
    <i r="5">
      <x v="44"/>
      <x v="7958"/>
      <x/>
      <x v="7966"/>
      <x v="1"/>
      <x v="7919"/>
    </i>
    <i r="5">
      <x v="49"/>
      <x v="7956"/>
      <x/>
      <x v="7965"/>
      <x v="1"/>
      <x v="7917"/>
    </i>
    <i r="3">
      <x v="22"/>
      <x/>
      <x v="38"/>
      <x v="7955"/>
      <x/>
      <x/>
      <x/>
      <x v="7890"/>
    </i>
    <i r="3">
      <x v="40"/>
      <x/>
      <x v="44"/>
      <x v="7959"/>
      <x/>
      <x/>
      <x/>
      <x v="7931"/>
    </i>
    <i r="5">
      <x v="69"/>
      <x v="2289"/>
      <x/>
      <x/>
      <x/>
      <x v="7932"/>
    </i>
    <i t="default" r="2">
      <x/>
    </i>
  </rowItems>
  <colItems count="1">
    <i/>
  </colItems>
  <dataFields count="1">
    <dataField name="#" fld="1" subtotal="count" baseField="11" baseItem="3"/>
  </dataFields>
  <formats count="13331">
    <format dxfId="13341">
      <pivotArea outline="0" collapsedLevelsAreSubtotals="1" fieldPosition="0"/>
    </format>
    <format dxfId="13340">
      <pivotArea dataOnly="0" labelOnly="1" outline="0" axis="axisValues" fieldPosition="0"/>
    </format>
    <format dxfId="13339">
      <pivotArea dataOnly="0" outline="0" fieldPosition="0">
        <references count="1">
          <reference field="12" count="0" defaultSubtotal="1"/>
        </references>
      </pivotArea>
    </format>
    <format dxfId="13338">
      <pivotArea dataOnly="0" outline="0" fieldPosition="0">
        <references count="1">
          <reference field="12" count="0" defaultSubtotal="1"/>
        </references>
      </pivotArea>
    </format>
    <format dxfId="13337">
      <pivotArea outline="0" collapsedLevelsAreSubtotals="1" fieldPosition="0"/>
    </format>
    <format dxfId="13336">
      <pivotArea dataOnly="0" labelOnly="1" outline="0" axis="axisValues" fieldPosition="0"/>
    </format>
    <format dxfId="13335">
      <pivotArea outline="0" collapsedLevelsAreSubtotals="1" fieldPosition="0"/>
    </format>
    <format dxfId="13334">
      <pivotArea dataOnly="0" labelOnly="1" outline="0" axis="axisValues" fieldPosition="0"/>
    </format>
    <format dxfId="13333">
      <pivotArea outline="0" collapsedLevelsAreSubtotals="1" fieldPosition="0"/>
    </format>
    <format dxfId="13332">
      <pivotArea dataOnly="0" labelOnly="1" outline="0" axis="axisValues" fieldPosition="0"/>
    </format>
    <format dxfId="13331">
      <pivotArea dataOnly="0" labelOnly="1" outline="0" axis="axisValues" fieldPosition="0"/>
    </format>
    <format dxfId="13330">
      <pivotArea outline="0" collapsedLevelsAreSubtotals="1" fieldPosition="0"/>
    </format>
    <format dxfId="13329">
      <pivotArea field="12" type="button" dataOnly="0" labelOnly="1" outline="0" axis="axisRow" fieldPosition="2"/>
    </format>
    <format dxfId="13328">
      <pivotArea field="10" type="button" dataOnly="0" labelOnly="1" outline="0" axis="axisRow" fieldPosition="3"/>
    </format>
    <format dxfId="13327">
      <pivotArea field="16" type="button" dataOnly="0" labelOnly="1" outline="0" axis="axisRow" fieldPosition="4"/>
    </format>
    <format dxfId="13326">
      <pivotArea field="18" type="button" dataOnly="0" labelOnly="1" outline="0" axis="axisRow" fieldPosition="5"/>
    </format>
    <format dxfId="13325">
      <pivotArea field="5" type="button" dataOnly="0" labelOnly="1" outline="0" axis="axisRow" fieldPosition="6"/>
    </format>
    <format dxfId="13324">
      <pivotArea field="9" type="button" dataOnly="0" labelOnly="1" outline="0" axis="axisRow" fieldPosition="7"/>
    </format>
    <format dxfId="13323">
      <pivotArea field="3" type="button" dataOnly="0" labelOnly="1" outline="0" axis="axisRow" fieldPosition="8"/>
    </format>
    <format dxfId="13322">
      <pivotArea field="7" type="button" dataOnly="0" labelOnly="1" outline="0" axis="axisRow" fieldPosition="9"/>
    </format>
    <format dxfId="13321">
      <pivotArea field="1" type="button" dataOnly="0" labelOnly="1" outline="0" axis="axisRow" fieldPosition="10"/>
    </format>
    <format dxfId="13320">
      <pivotArea dataOnly="0" labelOnly="1" outline="0" axis="axisValues" fieldPosition="0"/>
    </format>
    <format dxfId="1331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3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3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3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31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331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331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31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31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31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3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0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30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3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30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2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2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2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2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2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2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8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2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2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26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2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3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3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2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32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2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2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2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3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3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3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32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2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2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3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2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2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32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32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32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3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3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3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1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3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186">
      <pivotArea dataOnly="0" labelOnly="1" outline="0" fieldPosition="0">
        <references count="7">
          <reference field="0" count="1" selected="0">
            <x v="7"/>
          </reference>
          <reference field="5" count="1">
            <x v="75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185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18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183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182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18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180">
      <pivotArea dataOnly="0" labelOnly="1" outline="0" fieldPosition="0">
        <references count="7">
          <reference field="0" count="1" selected="0">
            <x v="14"/>
          </reference>
          <reference field="5" count="1">
            <x v="601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179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78">
      <pivotArea dataOnly="0" labelOnly="1" outline="0" fieldPosition="0">
        <references count="7">
          <reference field="0" count="1" selected="0">
            <x v="7"/>
          </reference>
          <reference field="5" count="1">
            <x v="75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77">
      <pivotArea dataOnly="0" labelOnly="1" outline="0" fieldPosition="0">
        <references count="7">
          <reference field="0" count="1" selected="0">
            <x v="7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76">
      <pivotArea dataOnly="0" labelOnly="1" outline="0" fieldPosition="0">
        <references count="7">
          <reference field="0" count="1" selected="0">
            <x v="7"/>
          </reference>
          <reference field="5" count="1">
            <x v="75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75">
      <pivotArea dataOnly="0" labelOnly="1" outline="0" fieldPosition="0">
        <references count="7">
          <reference field="0" count="1" selected="0">
            <x v="7"/>
          </reference>
          <reference field="5" count="1">
            <x v="75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74">
      <pivotArea dataOnly="0" labelOnly="1" outline="0" fieldPosition="0">
        <references count="7">
          <reference field="0" count="1" selected="0">
            <x v="7"/>
          </reference>
          <reference field="5" count="1">
            <x v="758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73">
      <pivotArea dataOnly="0" labelOnly="1" outline="0" fieldPosition="0">
        <references count="7">
          <reference field="0" count="1" selected="0">
            <x v="7"/>
          </reference>
          <reference field="5" count="1">
            <x v="758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72">
      <pivotArea dataOnly="0" labelOnly="1" outline="0" fieldPosition="0">
        <references count="7">
          <reference field="0" count="1" selected="0">
            <x v="7"/>
          </reference>
          <reference field="5" count="1">
            <x v="758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71">
      <pivotArea dataOnly="0" labelOnly="1" outline="0" fieldPosition="0">
        <references count="7">
          <reference field="0" count="1" selected="0">
            <x v="7"/>
          </reference>
          <reference field="5" count="1">
            <x v="759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70">
      <pivotArea dataOnly="0" labelOnly="1" outline="0" fieldPosition="0">
        <references count="7">
          <reference field="0" count="1" selected="0">
            <x v="11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69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68">
      <pivotArea dataOnly="0" labelOnly="1" outline="0" fieldPosition="0">
        <references count="7">
          <reference field="0" count="1" selected="0">
            <x v="11"/>
          </reference>
          <reference field="5" count="1">
            <x v="62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167">
      <pivotArea dataOnly="0" labelOnly="1" outline="0" fieldPosition="0">
        <references count="7">
          <reference field="0" count="1" selected="0">
            <x v="11"/>
          </reference>
          <reference field="5" count="2">
            <x v="5336"/>
            <x v="71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66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165">
      <pivotArea dataOnly="0" labelOnly="1" outline="0" fieldPosition="0">
        <references count="7">
          <reference field="0" count="1" selected="0">
            <x v="12"/>
          </reference>
          <reference field="5" count="1">
            <x v="60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164">
      <pivotArea dataOnly="0" labelOnly="1" outline="0" fieldPosition="0">
        <references count="7">
          <reference field="0" count="1" selected="0">
            <x v="12"/>
          </reference>
          <reference field="5" count="1">
            <x v="75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63">
      <pivotArea dataOnly="0" labelOnly="1" outline="0" fieldPosition="0">
        <references count="7">
          <reference field="0" count="1" selected="0">
            <x v="12"/>
          </reference>
          <reference field="5" count="1">
            <x v="75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62">
      <pivotArea dataOnly="0" labelOnly="1" outline="0" fieldPosition="0">
        <references count="7">
          <reference field="0" count="1" selected="0">
            <x v="12"/>
          </reference>
          <reference field="5" count="1">
            <x v="75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161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60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59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58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57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156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55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54">
      <pivotArea dataOnly="0" labelOnly="1" outline="0" fieldPosition="0">
        <references count="7">
          <reference field="0" count="1" selected="0">
            <x v="14"/>
          </reference>
          <reference field="5" count="1">
            <x v="622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53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52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51">
      <pivotArea dataOnly="0" labelOnly="1" outline="0" fieldPosition="0">
        <references count="7">
          <reference field="0" count="1" selected="0">
            <x v="14"/>
          </reference>
          <reference field="5" count="1"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15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149">
      <pivotArea dataOnly="0" labelOnly="1" outline="0" fieldPosition="0">
        <references count="7">
          <reference field="0" count="1" selected="0">
            <x v="15"/>
          </reference>
          <reference field="5" count="2">
            <x v="7560"/>
            <x v="7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48">
      <pivotArea dataOnly="0" labelOnly="1" outline="0" fieldPosition="0">
        <references count="7">
          <reference field="0" count="1" selected="0">
            <x v="15"/>
          </reference>
          <reference field="5" count="1">
            <x v="7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47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146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1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3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1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1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123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1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121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120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19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18">
      <pivotArea dataOnly="0" labelOnly="1" outline="0" fieldPosition="0">
        <references count="9">
          <reference field="0" count="1" selected="0">
            <x v="7"/>
          </reference>
          <reference field="3" count="1">
            <x v="7537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1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16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15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14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13">
      <pivotArea dataOnly="0" labelOnly="1" outline="0" fieldPosition="0">
        <references count="9">
          <reference field="0" count="1" selected="0">
            <x v="7"/>
          </reference>
          <reference field="3" count="1">
            <x v="7541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12">
      <pivotArea dataOnly="0" labelOnly="1" outline="0" fieldPosition="0">
        <references count="9">
          <reference field="0" count="1" selected="0">
            <x v="7"/>
          </reference>
          <reference field="3" count="1">
            <x v="2970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11">
      <pivotArea dataOnly="0" labelOnly="1" outline="0" fieldPosition="0">
        <references count="9">
          <reference field="0" count="1" selected="0">
            <x v="11"/>
          </reference>
          <reference field="3" count="1">
            <x v="7427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10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09">
      <pivotArea dataOnly="0" labelOnly="1" outline="0" fieldPosition="0">
        <references count="9">
          <reference field="0" count="1" selected="0">
            <x v="11"/>
          </reference>
          <reference field="3" count="1">
            <x v="7505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107">
      <pivotArea dataOnly="0" labelOnly="1" outline="0" fieldPosition="0">
        <references count="9">
          <reference field="0" count="1" selected="0">
            <x v="12"/>
          </reference>
          <reference field="3" count="1">
            <x v="7535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03">
      <pivotArea dataOnly="0" labelOnly="1" outline="0" fieldPosition="0">
        <references count="9">
          <reference field="0" count="1" selected="0">
            <x v="14"/>
          </reference>
          <reference field="3" count="1">
            <x v="74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102">
      <pivotArea dataOnly="0" labelOnly="1" outline="0" fieldPosition="0">
        <references count="9">
          <reference field="0" count="1" selected="0">
            <x v="14"/>
          </reference>
          <reference field="3" count="1">
            <x v="3878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99">
      <pivotArea dataOnly="0" labelOnly="1" outline="0" fieldPosition="0">
        <references count="9">
          <reference field="0" count="1" selected="0">
            <x v="14"/>
          </reference>
          <reference field="3" count="1">
            <x v="297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98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97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96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0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94">
      <pivotArea dataOnly="0" labelOnly="1" outline="0" fieldPosition="0">
        <references count="9">
          <reference field="0" count="1" selected="0">
            <x v="15"/>
          </reference>
          <reference field="3" count="1">
            <x v="7520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93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75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4"/>
          </reference>
          <reference field="5" count="1" selected="0">
            <x v="75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0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75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4"/>
          </reference>
          <reference field="5" count="1" selected="0">
            <x v="75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70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8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27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0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5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8"/>
          </reference>
          <reference field="5" count="1" selected="0">
            <x v="7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0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6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0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67">
      <pivotArea dataOnly="0" labelOnly="1" outline="0" fieldPosition="0">
        <references count="11">
          <reference field="0" count="1" selected="0">
            <x v="7"/>
          </reference>
          <reference field="1" count="1">
            <x v="7219"/>
          </reference>
          <reference field="3" count="1" selected="0">
            <x v="7544"/>
          </reference>
          <reference field="5" count="1" selected="0">
            <x v="75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066">
      <pivotArea dataOnly="0" labelOnly="1" outline="0" fieldPosition="0">
        <references count="11">
          <reference field="0" count="1" selected="0">
            <x v="7"/>
          </reference>
          <reference field="1" count="1">
            <x v="7217"/>
          </reference>
          <reference field="3" count="1" selected="0">
            <x v="7545"/>
          </reference>
          <reference field="5" count="1" selected="0">
            <x v="75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65">
      <pivotArea dataOnly="0" labelOnly="1" outline="0" fieldPosition="0">
        <references count="11">
          <reference field="0" count="1" selected="0">
            <x v="7"/>
          </reference>
          <reference field="1" count="1">
            <x v="7216"/>
          </reference>
          <reference field="3" count="1" selected="0">
            <x v="754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64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7535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63">
      <pivotArea dataOnly="0" labelOnly="1" outline="0" fieldPosition="0">
        <references count="11">
          <reference field="0" count="1" selected="0">
            <x v="14"/>
          </reference>
          <reference field="1" count="1">
            <x v="7105"/>
          </reference>
          <reference field="3" count="1" selected="0">
            <x v="0"/>
          </reference>
          <reference field="5" count="1" selected="0">
            <x v="62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62">
      <pivotArea dataOnly="0" labelOnly="1" outline="0" fieldPosition="0">
        <references count="11">
          <reference field="0" count="1" selected="0">
            <x v="15"/>
          </reference>
          <reference field="1" count="1">
            <x v="7193"/>
          </reference>
          <reference field="3" count="1" selected="0">
            <x v="7520"/>
          </reference>
          <reference field="5" count="1" selected="0">
            <x v="75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61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33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60">
      <pivotArea field="13" type="button" dataOnly="0" labelOnly="1" outline="0" axis="axisRow" fieldPosition="0"/>
    </format>
    <format dxfId="13059">
      <pivotArea field="0" type="button" dataOnly="0" labelOnly="1" outline="0" axis="axisRow" fieldPosition="1"/>
    </format>
    <format dxfId="13058">
      <pivotArea field="12" type="button" dataOnly="0" labelOnly="1" outline="0" axis="axisRow" fieldPosition="2"/>
    </format>
    <format dxfId="13057">
      <pivotArea field="10" type="button" dataOnly="0" labelOnly="1" outline="0" axis="axisRow" fieldPosition="3"/>
    </format>
    <format dxfId="13056">
      <pivotArea field="16" type="button" dataOnly="0" labelOnly="1" outline="0" axis="axisRow" fieldPosition="4"/>
    </format>
    <format dxfId="13055">
      <pivotArea field="18" type="button" dataOnly="0" labelOnly="1" outline="0" axis="axisRow" fieldPosition="5"/>
    </format>
    <format dxfId="13054">
      <pivotArea field="5" type="button" dataOnly="0" labelOnly="1" outline="0" axis="axisRow" fieldPosition="6"/>
    </format>
    <format dxfId="13053">
      <pivotArea field="9" type="button" dataOnly="0" labelOnly="1" outline="0" axis="axisRow" fieldPosition="7"/>
    </format>
    <format dxfId="13052">
      <pivotArea field="3" type="button" dataOnly="0" labelOnly="1" outline="0" axis="axisRow" fieldPosition="8"/>
    </format>
    <format dxfId="13051">
      <pivotArea field="7" type="button" dataOnly="0" labelOnly="1" outline="0" axis="axisRow" fieldPosition="9"/>
    </format>
    <format dxfId="13050">
      <pivotArea field="1" type="button" dataOnly="0" labelOnly="1" outline="0" axis="axisRow" fieldPosition="10"/>
    </format>
    <format dxfId="13049">
      <pivotArea dataOnly="0" labelOnly="1" outline="0" fieldPosition="0">
        <references count="1">
          <reference field="13" count="0"/>
        </references>
      </pivotArea>
    </format>
    <format dxfId="13048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3047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304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4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30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304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03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03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03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0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3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03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0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0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0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0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0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0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0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0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0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0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0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0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00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9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9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9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9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9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9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9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9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9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9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9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9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9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9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9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9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9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9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9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9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9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9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9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9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9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9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9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9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9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9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9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913">
      <pivotArea dataOnly="0" labelOnly="1" outline="0" fieldPosition="0">
        <references count="7">
          <reference field="0" count="1" selected="0">
            <x v="7"/>
          </reference>
          <reference field="5" count="1">
            <x v="75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912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91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910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909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90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907">
      <pivotArea dataOnly="0" labelOnly="1" outline="0" fieldPosition="0">
        <references count="7">
          <reference field="0" count="1" selected="0">
            <x v="14"/>
          </reference>
          <reference field="5" count="1">
            <x v="601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906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905">
      <pivotArea dataOnly="0" labelOnly="1" outline="0" fieldPosition="0">
        <references count="7">
          <reference field="0" count="1" selected="0">
            <x v="7"/>
          </reference>
          <reference field="5" count="1">
            <x v="75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04">
      <pivotArea dataOnly="0" labelOnly="1" outline="0" fieldPosition="0">
        <references count="7">
          <reference field="0" count="1" selected="0">
            <x v="7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03">
      <pivotArea dataOnly="0" labelOnly="1" outline="0" fieldPosition="0">
        <references count="7">
          <reference field="0" count="1" selected="0">
            <x v="7"/>
          </reference>
          <reference field="5" count="1">
            <x v="75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902">
      <pivotArea dataOnly="0" labelOnly="1" outline="0" fieldPosition="0">
        <references count="7">
          <reference field="0" count="1" selected="0">
            <x v="7"/>
          </reference>
          <reference field="5" count="1">
            <x v="75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901">
      <pivotArea dataOnly="0" labelOnly="1" outline="0" fieldPosition="0">
        <references count="7">
          <reference field="0" count="1" selected="0">
            <x v="7"/>
          </reference>
          <reference field="5" count="1">
            <x v="758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900">
      <pivotArea dataOnly="0" labelOnly="1" outline="0" fieldPosition="0">
        <references count="7">
          <reference field="0" count="1" selected="0">
            <x v="7"/>
          </reference>
          <reference field="5" count="1">
            <x v="758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99">
      <pivotArea dataOnly="0" labelOnly="1" outline="0" fieldPosition="0">
        <references count="7">
          <reference field="0" count="1" selected="0">
            <x v="7"/>
          </reference>
          <reference field="5" count="1">
            <x v="758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98">
      <pivotArea dataOnly="0" labelOnly="1" outline="0" fieldPosition="0">
        <references count="7">
          <reference field="0" count="1" selected="0">
            <x v="7"/>
          </reference>
          <reference field="5" count="1">
            <x v="759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97">
      <pivotArea dataOnly="0" labelOnly="1" outline="0" fieldPosition="0">
        <references count="7">
          <reference field="0" count="1" selected="0">
            <x v="11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96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95">
      <pivotArea dataOnly="0" labelOnly="1" outline="0" fieldPosition="0">
        <references count="7">
          <reference field="0" count="1" selected="0">
            <x v="11"/>
          </reference>
          <reference field="5" count="1">
            <x v="62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894">
      <pivotArea dataOnly="0" labelOnly="1" outline="0" fieldPosition="0">
        <references count="7">
          <reference field="0" count="1" selected="0">
            <x v="11"/>
          </reference>
          <reference field="5" count="2">
            <x v="5336"/>
            <x v="71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93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892">
      <pivotArea dataOnly="0" labelOnly="1" outline="0" fieldPosition="0">
        <references count="7">
          <reference field="0" count="1" selected="0">
            <x v="12"/>
          </reference>
          <reference field="5" count="1">
            <x v="60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891">
      <pivotArea dataOnly="0" labelOnly="1" outline="0" fieldPosition="0">
        <references count="7">
          <reference field="0" count="1" selected="0">
            <x v="12"/>
          </reference>
          <reference field="5" count="1">
            <x v="75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90">
      <pivotArea dataOnly="0" labelOnly="1" outline="0" fieldPosition="0">
        <references count="7">
          <reference field="0" count="1" selected="0">
            <x v="12"/>
          </reference>
          <reference field="5" count="1">
            <x v="75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89">
      <pivotArea dataOnly="0" labelOnly="1" outline="0" fieldPosition="0">
        <references count="7">
          <reference field="0" count="1" selected="0">
            <x v="12"/>
          </reference>
          <reference field="5" count="1">
            <x v="75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888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87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86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85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84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883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82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81">
      <pivotArea dataOnly="0" labelOnly="1" outline="0" fieldPosition="0">
        <references count="7">
          <reference field="0" count="1" selected="0">
            <x v="14"/>
          </reference>
          <reference field="5" count="1">
            <x v="622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80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79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78">
      <pivotArea dataOnly="0" labelOnly="1" outline="0" fieldPosition="0">
        <references count="7">
          <reference field="0" count="1" selected="0">
            <x v="14"/>
          </reference>
          <reference field="5" count="1"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7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876">
      <pivotArea dataOnly="0" labelOnly="1" outline="0" fieldPosition="0">
        <references count="7">
          <reference field="0" count="1" selected="0">
            <x v="15"/>
          </reference>
          <reference field="5" count="2">
            <x v="7560"/>
            <x v="7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75">
      <pivotArea dataOnly="0" labelOnly="1" outline="0" fieldPosition="0">
        <references count="7">
          <reference field="0" count="1" selected="0">
            <x v="15"/>
          </reference>
          <reference field="5" count="1">
            <x v="7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74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873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8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6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8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850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8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48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847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46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45">
      <pivotArea dataOnly="0" labelOnly="1" outline="0" fieldPosition="0">
        <references count="9">
          <reference field="0" count="1" selected="0">
            <x v="7"/>
          </reference>
          <reference field="3" count="1">
            <x v="7537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4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43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42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41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40">
      <pivotArea dataOnly="0" labelOnly="1" outline="0" fieldPosition="0">
        <references count="9">
          <reference field="0" count="1" selected="0">
            <x v="7"/>
          </reference>
          <reference field="3" count="1">
            <x v="7541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39">
      <pivotArea dataOnly="0" labelOnly="1" outline="0" fieldPosition="0">
        <references count="9">
          <reference field="0" count="1" selected="0">
            <x v="7"/>
          </reference>
          <reference field="3" count="1">
            <x v="2970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38">
      <pivotArea dataOnly="0" labelOnly="1" outline="0" fieldPosition="0">
        <references count="9">
          <reference field="0" count="1" selected="0">
            <x v="11"/>
          </reference>
          <reference field="3" count="1">
            <x v="7427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37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36">
      <pivotArea dataOnly="0" labelOnly="1" outline="0" fieldPosition="0">
        <references count="9">
          <reference field="0" count="1" selected="0">
            <x v="11"/>
          </reference>
          <reference field="3" count="1">
            <x v="7505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834">
      <pivotArea dataOnly="0" labelOnly="1" outline="0" fieldPosition="0">
        <references count="9">
          <reference field="0" count="1" selected="0">
            <x v="12"/>
          </reference>
          <reference field="3" count="1">
            <x v="7535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30">
      <pivotArea dataOnly="0" labelOnly="1" outline="0" fieldPosition="0">
        <references count="9">
          <reference field="0" count="1" selected="0">
            <x v="14"/>
          </reference>
          <reference field="3" count="1">
            <x v="74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829">
      <pivotArea dataOnly="0" labelOnly="1" outline="0" fieldPosition="0">
        <references count="9">
          <reference field="0" count="1" selected="0">
            <x v="14"/>
          </reference>
          <reference field="3" count="1">
            <x v="3878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26">
      <pivotArea dataOnly="0" labelOnly="1" outline="0" fieldPosition="0">
        <references count="9">
          <reference field="0" count="1" selected="0">
            <x v="14"/>
          </reference>
          <reference field="3" count="1">
            <x v="297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25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24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23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8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21">
      <pivotArea dataOnly="0" labelOnly="1" outline="0" fieldPosition="0">
        <references count="9">
          <reference field="0" count="1" selected="0">
            <x v="15"/>
          </reference>
          <reference field="3" count="1">
            <x v="7520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20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75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4"/>
          </reference>
          <reference field="5" count="1" selected="0">
            <x v="75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8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75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4"/>
          </reference>
          <reference field="5" count="1" selected="0">
            <x v="75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70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0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27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8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5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8"/>
          </reference>
          <reference field="5" count="1" selected="0">
            <x v="7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0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6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0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94">
      <pivotArea dataOnly="0" labelOnly="1" outline="0" fieldPosition="0">
        <references count="11">
          <reference field="0" count="1" selected="0">
            <x v="7"/>
          </reference>
          <reference field="1" count="1">
            <x v="7219"/>
          </reference>
          <reference field="3" count="1" selected="0">
            <x v="7544"/>
          </reference>
          <reference field="5" count="1" selected="0">
            <x v="75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793">
      <pivotArea dataOnly="0" labelOnly="1" outline="0" fieldPosition="0">
        <references count="11">
          <reference field="0" count="1" selected="0">
            <x v="7"/>
          </reference>
          <reference field="1" count="1">
            <x v="7217"/>
          </reference>
          <reference field="3" count="1" selected="0">
            <x v="7545"/>
          </reference>
          <reference field="5" count="1" selected="0">
            <x v="75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92">
      <pivotArea dataOnly="0" labelOnly="1" outline="0" fieldPosition="0">
        <references count="11">
          <reference field="0" count="1" selected="0">
            <x v="7"/>
          </reference>
          <reference field="1" count="1">
            <x v="7216"/>
          </reference>
          <reference field="3" count="1" selected="0">
            <x v="754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91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7535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90">
      <pivotArea dataOnly="0" labelOnly="1" outline="0" fieldPosition="0">
        <references count="11">
          <reference field="0" count="1" selected="0">
            <x v="14"/>
          </reference>
          <reference field="1" count="1">
            <x v="7105"/>
          </reference>
          <reference field="3" count="1" selected="0">
            <x v="0"/>
          </reference>
          <reference field="5" count="1" selected="0">
            <x v="62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89">
      <pivotArea dataOnly="0" labelOnly="1" outline="0" fieldPosition="0">
        <references count="11">
          <reference field="0" count="1" selected="0">
            <x v="15"/>
          </reference>
          <reference field="1" count="1">
            <x v="7193"/>
          </reference>
          <reference field="3" count="1" selected="0">
            <x v="7520"/>
          </reference>
          <reference field="5" count="1" selected="0">
            <x v="75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88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33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87">
      <pivotArea outline="0" collapsedLevelsAreSubtotals="1" fieldPosition="0"/>
    </format>
    <format dxfId="12786">
      <pivotArea dataOnly="0" labelOnly="1" outline="0" axis="axisValues" fieldPosition="0"/>
    </format>
    <format dxfId="12785">
      <pivotArea dataOnly="0" outline="0" fieldPosition="0">
        <references count="1">
          <reference field="12" count="0" defaultSubtotal="1"/>
        </references>
      </pivotArea>
    </format>
    <format dxfId="12784">
      <pivotArea outline="0" collapsedLevelsAreSubtotals="1" fieldPosition="0"/>
    </format>
    <format dxfId="12783">
      <pivotArea dataOnly="0" labelOnly="1" outline="0" axis="axisValues" fieldPosition="0"/>
    </format>
    <format dxfId="12782">
      <pivotArea outline="0" collapsedLevelsAreSubtotals="1" fieldPosition="0"/>
    </format>
    <format dxfId="12781">
      <pivotArea dataOnly="0" labelOnly="1" outline="0" axis="axisValues" fieldPosition="0"/>
    </format>
    <format dxfId="12780">
      <pivotArea dataOnly="0" labelOnly="1" outline="0" axis="axisValues" fieldPosition="0"/>
    </format>
    <format dxfId="12779">
      <pivotArea outline="0" collapsedLevelsAreSubtotals="1" fieldPosition="0"/>
    </format>
    <format dxfId="12778">
      <pivotArea field="12" type="button" dataOnly="0" labelOnly="1" outline="0" axis="axisRow" fieldPosition="2"/>
    </format>
    <format dxfId="12777">
      <pivotArea field="10" type="button" dataOnly="0" labelOnly="1" outline="0" axis="axisRow" fieldPosition="3"/>
    </format>
    <format dxfId="12776">
      <pivotArea field="16" type="button" dataOnly="0" labelOnly="1" outline="0" axis="axisRow" fieldPosition="4"/>
    </format>
    <format dxfId="12775">
      <pivotArea field="18" type="button" dataOnly="0" labelOnly="1" outline="0" axis="axisRow" fieldPosition="5"/>
    </format>
    <format dxfId="12774">
      <pivotArea field="5" type="button" dataOnly="0" labelOnly="1" outline="0" axis="axisRow" fieldPosition="6"/>
    </format>
    <format dxfId="12773">
      <pivotArea field="9" type="button" dataOnly="0" labelOnly="1" outline="0" axis="axisRow" fieldPosition="7"/>
    </format>
    <format dxfId="12772">
      <pivotArea field="3" type="button" dataOnly="0" labelOnly="1" outline="0" axis="axisRow" fieldPosition="8"/>
    </format>
    <format dxfId="12771">
      <pivotArea field="7" type="button" dataOnly="0" labelOnly="1" outline="0" axis="axisRow" fieldPosition="9"/>
    </format>
    <format dxfId="12770">
      <pivotArea field="1" type="button" dataOnly="0" labelOnly="1" outline="0" axis="axisRow" fieldPosition="10"/>
    </format>
    <format dxfId="12769">
      <pivotArea dataOnly="0" labelOnly="1" outline="0" axis="axisValues" fieldPosition="0"/>
    </format>
    <format dxfId="1276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7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7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7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76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7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76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76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76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5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75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7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7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7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7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7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7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7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2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7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7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71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7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7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7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7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7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7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7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6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6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6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6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6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6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6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6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6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6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6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6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6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6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6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635">
      <pivotArea dataOnly="0" labelOnly="1" outline="0" fieldPosition="0">
        <references count="7">
          <reference field="0" count="1" selected="0">
            <x v="7"/>
          </reference>
          <reference field="5" count="1">
            <x v="75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634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633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632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631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63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629">
      <pivotArea dataOnly="0" labelOnly="1" outline="0" fieldPosition="0">
        <references count="7">
          <reference field="0" count="1" selected="0">
            <x v="14"/>
          </reference>
          <reference field="5" count="1">
            <x v="601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628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627">
      <pivotArea dataOnly="0" labelOnly="1" outline="0" fieldPosition="0">
        <references count="7">
          <reference field="0" count="1" selected="0">
            <x v="7"/>
          </reference>
          <reference field="5" count="1">
            <x v="75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626">
      <pivotArea dataOnly="0" labelOnly="1" outline="0" fieldPosition="0">
        <references count="7">
          <reference field="0" count="1" selected="0">
            <x v="7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25">
      <pivotArea dataOnly="0" labelOnly="1" outline="0" fieldPosition="0">
        <references count="7">
          <reference field="0" count="1" selected="0">
            <x v="7"/>
          </reference>
          <reference field="5" count="1">
            <x v="75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24">
      <pivotArea dataOnly="0" labelOnly="1" outline="0" fieldPosition="0">
        <references count="7">
          <reference field="0" count="1" selected="0">
            <x v="7"/>
          </reference>
          <reference field="5" count="1">
            <x v="75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623">
      <pivotArea dataOnly="0" labelOnly="1" outline="0" fieldPosition="0">
        <references count="7">
          <reference field="0" count="1" selected="0">
            <x v="7"/>
          </reference>
          <reference field="5" count="1">
            <x v="758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622">
      <pivotArea dataOnly="0" labelOnly="1" outline="0" fieldPosition="0">
        <references count="7">
          <reference field="0" count="1" selected="0">
            <x v="7"/>
          </reference>
          <reference field="5" count="1">
            <x v="758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21">
      <pivotArea dataOnly="0" labelOnly="1" outline="0" fieldPosition="0">
        <references count="7">
          <reference field="0" count="1" selected="0">
            <x v="7"/>
          </reference>
          <reference field="5" count="1">
            <x v="758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20">
      <pivotArea dataOnly="0" labelOnly="1" outline="0" fieldPosition="0">
        <references count="7">
          <reference field="0" count="1" selected="0">
            <x v="7"/>
          </reference>
          <reference field="5" count="1">
            <x v="759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19">
      <pivotArea dataOnly="0" labelOnly="1" outline="0" fieldPosition="0">
        <references count="7">
          <reference field="0" count="1" selected="0">
            <x v="11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618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17">
      <pivotArea dataOnly="0" labelOnly="1" outline="0" fieldPosition="0">
        <references count="7">
          <reference field="0" count="1" selected="0">
            <x v="11"/>
          </reference>
          <reference field="5" count="1">
            <x v="62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616">
      <pivotArea dataOnly="0" labelOnly="1" outline="0" fieldPosition="0">
        <references count="7">
          <reference field="0" count="1" selected="0">
            <x v="11"/>
          </reference>
          <reference field="5" count="2">
            <x v="5336"/>
            <x v="71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15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614">
      <pivotArea dataOnly="0" labelOnly="1" outline="0" fieldPosition="0">
        <references count="7">
          <reference field="0" count="1" selected="0">
            <x v="12"/>
          </reference>
          <reference field="5" count="1">
            <x v="60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613">
      <pivotArea dataOnly="0" labelOnly="1" outline="0" fieldPosition="0">
        <references count="7">
          <reference field="0" count="1" selected="0">
            <x v="12"/>
          </reference>
          <reference field="5" count="1">
            <x v="75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612">
      <pivotArea dataOnly="0" labelOnly="1" outline="0" fieldPosition="0">
        <references count="7">
          <reference field="0" count="1" selected="0">
            <x v="12"/>
          </reference>
          <reference field="5" count="1">
            <x v="75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11">
      <pivotArea dataOnly="0" labelOnly="1" outline="0" fieldPosition="0">
        <references count="7">
          <reference field="0" count="1" selected="0">
            <x v="12"/>
          </reference>
          <reference field="5" count="1">
            <x v="75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610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609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608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607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606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605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04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03">
      <pivotArea dataOnly="0" labelOnly="1" outline="0" fieldPosition="0">
        <references count="7">
          <reference field="0" count="1" selected="0">
            <x v="14"/>
          </reference>
          <reference field="5" count="1">
            <x v="622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02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01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00">
      <pivotArea dataOnly="0" labelOnly="1" outline="0" fieldPosition="0">
        <references count="7">
          <reference field="0" count="1" selected="0">
            <x v="14"/>
          </reference>
          <reference field="5" count="1"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59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598">
      <pivotArea dataOnly="0" labelOnly="1" outline="0" fieldPosition="0">
        <references count="7">
          <reference field="0" count="1" selected="0">
            <x v="15"/>
          </reference>
          <reference field="5" count="2">
            <x v="7560"/>
            <x v="7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97">
      <pivotArea dataOnly="0" labelOnly="1" outline="0" fieldPosition="0">
        <references count="7">
          <reference field="0" count="1" selected="0">
            <x v="15"/>
          </reference>
          <reference field="5" count="1">
            <x v="7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96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595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5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8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5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572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5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70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569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68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67">
      <pivotArea dataOnly="0" labelOnly="1" outline="0" fieldPosition="0">
        <references count="9">
          <reference field="0" count="1" selected="0">
            <x v="7"/>
          </reference>
          <reference field="3" count="1">
            <x v="7537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6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65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64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63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62">
      <pivotArea dataOnly="0" labelOnly="1" outline="0" fieldPosition="0">
        <references count="9">
          <reference field="0" count="1" selected="0">
            <x v="7"/>
          </reference>
          <reference field="3" count="1">
            <x v="7541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61">
      <pivotArea dataOnly="0" labelOnly="1" outline="0" fieldPosition="0">
        <references count="9">
          <reference field="0" count="1" selected="0">
            <x v="7"/>
          </reference>
          <reference field="3" count="1">
            <x v="2970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60">
      <pivotArea dataOnly="0" labelOnly="1" outline="0" fieldPosition="0">
        <references count="9">
          <reference field="0" count="1" selected="0">
            <x v="11"/>
          </reference>
          <reference field="3" count="1">
            <x v="7427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59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58">
      <pivotArea dataOnly="0" labelOnly="1" outline="0" fieldPosition="0">
        <references count="9">
          <reference field="0" count="1" selected="0">
            <x v="11"/>
          </reference>
          <reference field="3" count="1">
            <x v="7505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56">
      <pivotArea dataOnly="0" labelOnly="1" outline="0" fieldPosition="0">
        <references count="9">
          <reference field="0" count="1" selected="0">
            <x v="12"/>
          </reference>
          <reference field="3" count="1">
            <x v="7535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52">
      <pivotArea dataOnly="0" labelOnly="1" outline="0" fieldPosition="0">
        <references count="9">
          <reference field="0" count="1" selected="0">
            <x v="14"/>
          </reference>
          <reference field="3" count="1">
            <x v="74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551">
      <pivotArea dataOnly="0" labelOnly="1" outline="0" fieldPosition="0">
        <references count="9">
          <reference field="0" count="1" selected="0">
            <x v="14"/>
          </reference>
          <reference field="3" count="1">
            <x v="3878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48">
      <pivotArea dataOnly="0" labelOnly="1" outline="0" fieldPosition="0">
        <references count="9">
          <reference field="0" count="1" selected="0">
            <x v="14"/>
          </reference>
          <reference field="3" count="1">
            <x v="297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47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46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545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5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43">
      <pivotArea dataOnly="0" labelOnly="1" outline="0" fieldPosition="0">
        <references count="9">
          <reference field="0" count="1" selected="0">
            <x v="15"/>
          </reference>
          <reference field="3" count="1">
            <x v="7520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42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75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4"/>
          </reference>
          <reference field="5" count="1" selected="0">
            <x v="75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5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75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4"/>
          </reference>
          <reference field="5" count="1" selected="0">
            <x v="75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70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3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27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5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8"/>
          </reference>
          <reference field="5" count="1" selected="0">
            <x v="7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0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6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5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0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16">
      <pivotArea dataOnly="0" labelOnly="1" outline="0" fieldPosition="0">
        <references count="11">
          <reference field="0" count="1" selected="0">
            <x v="7"/>
          </reference>
          <reference field="1" count="1">
            <x v="7219"/>
          </reference>
          <reference field="3" count="1" selected="0">
            <x v="7544"/>
          </reference>
          <reference field="5" count="1" selected="0">
            <x v="75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515">
      <pivotArea dataOnly="0" labelOnly="1" outline="0" fieldPosition="0">
        <references count="11">
          <reference field="0" count="1" selected="0">
            <x v="7"/>
          </reference>
          <reference field="1" count="1">
            <x v="7217"/>
          </reference>
          <reference field="3" count="1" selected="0">
            <x v="7545"/>
          </reference>
          <reference field="5" count="1" selected="0">
            <x v="75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14">
      <pivotArea dataOnly="0" labelOnly="1" outline="0" fieldPosition="0">
        <references count="11">
          <reference field="0" count="1" selected="0">
            <x v="7"/>
          </reference>
          <reference field="1" count="1">
            <x v="7216"/>
          </reference>
          <reference field="3" count="1" selected="0">
            <x v="754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13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7535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12">
      <pivotArea dataOnly="0" labelOnly="1" outline="0" fieldPosition="0">
        <references count="11">
          <reference field="0" count="1" selected="0">
            <x v="14"/>
          </reference>
          <reference field="1" count="1">
            <x v="7105"/>
          </reference>
          <reference field="3" count="1" selected="0">
            <x v="0"/>
          </reference>
          <reference field="5" count="1" selected="0">
            <x v="62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11">
      <pivotArea dataOnly="0" labelOnly="1" outline="0" fieldPosition="0">
        <references count="11">
          <reference field="0" count="1" selected="0">
            <x v="15"/>
          </reference>
          <reference field="1" count="1">
            <x v="7193"/>
          </reference>
          <reference field="3" count="1" selected="0">
            <x v="7520"/>
          </reference>
          <reference field="5" count="1" selected="0">
            <x v="75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10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33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09">
      <pivotArea outline="0" collapsedLevelsAreSubtotals="1" fieldPosition="0"/>
    </format>
    <format dxfId="12508">
      <pivotArea dataOnly="0" labelOnly="1" outline="0" axis="axisValues" fieldPosition="0"/>
    </format>
    <format dxfId="12507">
      <pivotArea dataOnly="0" outline="0" fieldPosition="0">
        <references count="1">
          <reference field="12" count="0" defaultSubtotal="1"/>
        </references>
      </pivotArea>
    </format>
    <format dxfId="12506">
      <pivotArea outline="0" collapsedLevelsAreSubtotals="1" fieldPosition="0"/>
    </format>
    <format dxfId="12505">
      <pivotArea dataOnly="0" labelOnly="1" outline="0" axis="axisValues" fieldPosition="0"/>
    </format>
    <format dxfId="12504">
      <pivotArea outline="0" collapsedLevelsAreSubtotals="1" fieldPosition="0"/>
    </format>
    <format dxfId="12503">
      <pivotArea dataOnly="0" labelOnly="1" outline="0" axis="axisValues" fieldPosition="0"/>
    </format>
    <format dxfId="12502">
      <pivotArea dataOnly="0" labelOnly="1" outline="0" axis="axisValues" fieldPosition="0"/>
    </format>
    <format dxfId="12501">
      <pivotArea outline="0" collapsedLevelsAreSubtotals="1" fieldPosition="0"/>
    </format>
    <format dxfId="12500">
      <pivotArea field="12" type="button" dataOnly="0" labelOnly="1" outline="0" axis="axisRow" fieldPosition="2"/>
    </format>
    <format dxfId="12499">
      <pivotArea field="10" type="button" dataOnly="0" labelOnly="1" outline="0" axis="axisRow" fieldPosition="3"/>
    </format>
    <format dxfId="12498">
      <pivotArea field="16" type="button" dataOnly="0" labelOnly="1" outline="0" axis="axisRow" fieldPosition="4"/>
    </format>
    <format dxfId="12497">
      <pivotArea field="18" type="button" dataOnly="0" labelOnly="1" outline="0" axis="axisRow" fieldPosition="5"/>
    </format>
    <format dxfId="12496">
      <pivotArea field="5" type="button" dataOnly="0" labelOnly="1" outline="0" axis="axisRow" fieldPosition="6"/>
    </format>
    <format dxfId="12495">
      <pivotArea field="9" type="button" dataOnly="0" labelOnly="1" outline="0" axis="axisRow" fieldPosition="7"/>
    </format>
    <format dxfId="12494">
      <pivotArea field="3" type="button" dataOnly="0" labelOnly="1" outline="0" axis="axisRow" fieldPosition="8"/>
    </format>
    <format dxfId="12493">
      <pivotArea field="7" type="button" dataOnly="0" labelOnly="1" outline="0" axis="axisRow" fieldPosition="9"/>
    </format>
    <format dxfId="12492">
      <pivotArea field="1" type="button" dataOnly="0" labelOnly="1" outline="0" axis="axisRow" fieldPosition="10"/>
    </format>
    <format dxfId="12491">
      <pivotArea dataOnly="0" labelOnly="1" outline="0" axis="axisValues" fieldPosition="0"/>
    </format>
    <format dxfId="1249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4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4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4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48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4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48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48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48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48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4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7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47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4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4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4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4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4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4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4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5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4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4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4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43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4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4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4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4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4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4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4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4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4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4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4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4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4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4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3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3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3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3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3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3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3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3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3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3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3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357">
      <pivotArea dataOnly="0" labelOnly="1" outline="0" fieldPosition="0">
        <references count="7">
          <reference field="0" count="1" selected="0">
            <x v="7"/>
          </reference>
          <reference field="5" count="1">
            <x v="75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356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355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354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353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35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51">
      <pivotArea dataOnly="0" labelOnly="1" outline="0" fieldPosition="0">
        <references count="7">
          <reference field="0" count="1" selected="0">
            <x v="14"/>
          </reference>
          <reference field="5" count="1">
            <x v="601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350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49">
      <pivotArea dataOnly="0" labelOnly="1" outline="0" fieldPosition="0">
        <references count="7">
          <reference field="0" count="1" selected="0">
            <x v="7"/>
          </reference>
          <reference field="5" count="1">
            <x v="75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48">
      <pivotArea dataOnly="0" labelOnly="1" outline="0" fieldPosition="0">
        <references count="7">
          <reference field="0" count="1" selected="0">
            <x v="7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47">
      <pivotArea dataOnly="0" labelOnly="1" outline="0" fieldPosition="0">
        <references count="7">
          <reference field="0" count="1" selected="0">
            <x v="7"/>
          </reference>
          <reference field="5" count="1">
            <x v="75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46">
      <pivotArea dataOnly="0" labelOnly="1" outline="0" fieldPosition="0">
        <references count="7">
          <reference field="0" count="1" selected="0">
            <x v="7"/>
          </reference>
          <reference field="5" count="1">
            <x v="75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45">
      <pivotArea dataOnly="0" labelOnly="1" outline="0" fieldPosition="0">
        <references count="7">
          <reference field="0" count="1" selected="0">
            <x v="7"/>
          </reference>
          <reference field="5" count="1">
            <x v="758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44">
      <pivotArea dataOnly="0" labelOnly="1" outline="0" fieldPosition="0">
        <references count="7">
          <reference field="0" count="1" selected="0">
            <x v="7"/>
          </reference>
          <reference field="5" count="1">
            <x v="758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43">
      <pivotArea dataOnly="0" labelOnly="1" outline="0" fieldPosition="0">
        <references count="7">
          <reference field="0" count="1" selected="0">
            <x v="7"/>
          </reference>
          <reference field="5" count="1">
            <x v="758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42">
      <pivotArea dataOnly="0" labelOnly="1" outline="0" fieldPosition="0">
        <references count="7">
          <reference field="0" count="1" selected="0">
            <x v="7"/>
          </reference>
          <reference field="5" count="1">
            <x v="759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41">
      <pivotArea dataOnly="0" labelOnly="1" outline="0" fieldPosition="0">
        <references count="7">
          <reference field="0" count="1" selected="0">
            <x v="11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40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39">
      <pivotArea dataOnly="0" labelOnly="1" outline="0" fieldPosition="0">
        <references count="7">
          <reference field="0" count="1" selected="0">
            <x v="11"/>
          </reference>
          <reference field="5" count="1">
            <x v="62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338">
      <pivotArea dataOnly="0" labelOnly="1" outline="0" fieldPosition="0">
        <references count="7">
          <reference field="0" count="1" selected="0">
            <x v="11"/>
          </reference>
          <reference field="5" count="2">
            <x v="5336"/>
            <x v="71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37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336">
      <pivotArea dataOnly="0" labelOnly="1" outline="0" fieldPosition="0">
        <references count="7">
          <reference field="0" count="1" selected="0">
            <x v="12"/>
          </reference>
          <reference field="5" count="1">
            <x v="60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335">
      <pivotArea dataOnly="0" labelOnly="1" outline="0" fieldPosition="0">
        <references count="7">
          <reference field="0" count="1" selected="0">
            <x v="12"/>
          </reference>
          <reference field="5" count="1">
            <x v="75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34">
      <pivotArea dataOnly="0" labelOnly="1" outline="0" fieldPosition="0">
        <references count="7">
          <reference field="0" count="1" selected="0">
            <x v="12"/>
          </reference>
          <reference field="5" count="1">
            <x v="75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33">
      <pivotArea dataOnly="0" labelOnly="1" outline="0" fieldPosition="0">
        <references count="7">
          <reference field="0" count="1" selected="0">
            <x v="12"/>
          </reference>
          <reference field="5" count="1">
            <x v="75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332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31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30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29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328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327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26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25">
      <pivotArea dataOnly="0" labelOnly="1" outline="0" fieldPosition="0">
        <references count="7">
          <reference field="0" count="1" selected="0">
            <x v="14"/>
          </reference>
          <reference field="5" count="1">
            <x v="622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24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23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22">
      <pivotArea dataOnly="0" labelOnly="1" outline="0" fieldPosition="0">
        <references count="7">
          <reference field="0" count="1" selected="0">
            <x v="14"/>
          </reference>
          <reference field="5" count="1"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2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320">
      <pivotArea dataOnly="0" labelOnly="1" outline="0" fieldPosition="0">
        <references count="7">
          <reference field="0" count="1" selected="0">
            <x v="15"/>
          </reference>
          <reference field="5" count="2">
            <x v="7560"/>
            <x v="7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19">
      <pivotArea dataOnly="0" labelOnly="1" outline="0" fieldPosition="0">
        <references count="7">
          <reference field="0" count="1" selected="0">
            <x v="15"/>
          </reference>
          <reference field="5" count="1">
            <x v="7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18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317">
      <pivotArea dataOnly="0" labelOnly="1" outline="0" fieldPosition="0">
        <references count="7">
          <reference field="0" count="1" selected="0">
            <x v="15"/>
          </reference>
          <reference field="5" count="1">
            <x v="75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3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0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3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294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2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92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291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90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89">
      <pivotArea dataOnly="0" labelOnly="1" outline="0" fieldPosition="0">
        <references count="9">
          <reference field="0" count="1" selected="0">
            <x v="7"/>
          </reference>
          <reference field="3" count="1">
            <x v="7537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8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87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86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85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84">
      <pivotArea dataOnly="0" labelOnly="1" outline="0" fieldPosition="0">
        <references count="9">
          <reference field="0" count="1" selected="0">
            <x v="7"/>
          </reference>
          <reference field="3" count="1">
            <x v="7541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83">
      <pivotArea dataOnly="0" labelOnly="1" outline="0" fieldPosition="0">
        <references count="9">
          <reference field="0" count="1" selected="0">
            <x v="7"/>
          </reference>
          <reference field="3" count="1">
            <x v="2970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82">
      <pivotArea dataOnly="0" labelOnly="1" outline="0" fieldPosition="0">
        <references count="9">
          <reference field="0" count="1" selected="0">
            <x v="11"/>
          </reference>
          <reference field="3" count="1">
            <x v="7427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81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80">
      <pivotArea dataOnly="0" labelOnly="1" outline="0" fieldPosition="0">
        <references count="9">
          <reference field="0" count="1" selected="0">
            <x v="11"/>
          </reference>
          <reference field="3" count="1">
            <x v="7505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278">
      <pivotArea dataOnly="0" labelOnly="1" outline="0" fieldPosition="0">
        <references count="9">
          <reference field="0" count="1" selected="0">
            <x v="12"/>
          </reference>
          <reference field="3" count="1">
            <x v="7535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74">
      <pivotArea dataOnly="0" labelOnly="1" outline="0" fieldPosition="0">
        <references count="9">
          <reference field="0" count="1" selected="0">
            <x v="14"/>
          </reference>
          <reference field="3" count="1">
            <x v="74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273">
      <pivotArea dataOnly="0" labelOnly="1" outline="0" fieldPosition="0">
        <references count="9">
          <reference field="0" count="1" selected="0">
            <x v="14"/>
          </reference>
          <reference field="3" count="1">
            <x v="3878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70">
      <pivotArea dataOnly="0" labelOnly="1" outline="0" fieldPosition="0">
        <references count="9">
          <reference field="0" count="1" selected="0">
            <x v="14"/>
          </reference>
          <reference field="3" count="1">
            <x v="297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69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68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67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2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65">
      <pivotArea dataOnly="0" labelOnly="1" outline="0" fieldPosition="0">
        <references count="9">
          <reference field="0" count="1" selected="0">
            <x v="15"/>
          </reference>
          <reference field="3" count="1">
            <x v="7520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64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75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4"/>
          </reference>
          <reference field="5" count="1" selected="0">
            <x v="75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2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75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4"/>
          </reference>
          <reference field="5" count="1" selected="0">
            <x v="75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70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5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27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2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5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8"/>
          </reference>
          <reference field="5" count="1" selected="0">
            <x v="7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0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6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0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38">
      <pivotArea dataOnly="0" labelOnly="1" outline="0" fieldPosition="0">
        <references count="11">
          <reference field="0" count="1" selected="0">
            <x v="7"/>
          </reference>
          <reference field="1" count="1">
            <x v="7219"/>
          </reference>
          <reference field="3" count="1" selected="0">
            <x v="7544"/>
          </reference>
          <reference field="5" count="1" selected="0">
            <x v="75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237">
      <pivotArea dataOnly="0" labelOnly="1" outline="0" fieldPosition="0">
        <references count="11">
          <reference field="0" count="1" selected="0">
            <x v="7"/>
          </reference>
          <reference field="1" count="1">
            <x v="7217"/>
          </reference>
          <reference field="3" count="1" selected="0">
            <x v="7545"/>
          </reference>
          <reference field="5" count="1" selected="0">
            <x v="75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36">
      <pivotArea dataOnly="0" labelOnly="1" outline="0" fieldPosition="0">
        <references count="11">
          <reference field="0" count="1" selected="0">
            <x v="7"/>
          </reference>
          <reference field="1" count="1">
            <x v="7216"/>
          </reference>
          <reference field="3" count="1" selected="0">
            <x v="754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35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7535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34">
      <pivotArea dataOnly="0" labelOnly="1" outline="0" fieldPosition="0">
        <references count="11">
          <reference field="0" count="1" selected="0">
            <x v="14"/>
          </reference>
          <reference field="1" count="1">
            <x v="7105"/>
          </reference>
          <reference field="3" count="1" selected="0">
            <x v="0"/>
          </reference>
          <reference field="5" count="1" selected="0">
            <x v="62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33">
      <pivotArea dataOnly="0" labelOnly="1" outline="0" fieldPosition="0">
        <references count="11">
          <reference field="0" count="1" selected="0">
            <x v="15"/>
          </reference>
          <reference field="1" count="1">
            <x v="7193"/>
          </reference>
          <reference field="3" count="1" selected="0">
            <x v="7520"/>
          </reference>
          <reference field="5" count="1" selected="0">
            <x v="75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32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33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31">
      <pivotArea outline="0" collapsedLevelsAreSubtotals="1" fieldPosition="0"/>
    </format>
    <format dxfId="12230">
      <pivotArea dataOnly="0" labelOnly="1" outline="0" axis="axisValues" fieldPosition="0"/>
    </format>
    <format dxfId="12229">
      <pivotArea dataOnly="0" outline="0" fieldPosition="0">
        <references count="1">
          <reference field="12" count="0" defaultSubtotal="1"/>
        </references>
      </pivotArea>
    </format>
    <format dxfId="12228">
      <pivotArea dataOnly="0" outline="0" fieldPosition="0">
        <references count="1">
          <reference field="12" count="1" defaultSubtotal="1">
            <x v="0"/>
          </reference>
        </references>
      </pivotArea>
    </format>
    <format dxfId="12227">
      <pivotArea outline="0" collapsedLevelsAreSubtotals="1" fieldPosition="0"/>
    </format>
    <format dxfId="12226">
      <pivotArea dataOnly="0" labelOnly="1" outline="0" axis="axisValues" fieldPosition="0"/>
    </format>
    <format dxfId="12225">
      <pivotArea dataOnly="0" outline="0" fieldPosition="0">
        <references count="1">
          <reference field="12" count="0" defaultSubtotal="1"/>
        </references>
      </pivotArea>
    </format>
    <format dxfId="12224">
      <pivotArea outline="0" collapsedLevelsAreSubtotals="1" fieldPosition="0"/>
    </format>
    <format dxfId="12223">
      <pivotArea dataOnly="0" labelOnly="1" outline="0" axis="axisValues" fieldPosition="0"/>
    </format>
    <format dxfId="12222">
      <pivotArea outline="0" collapsedLevelsAreSubtotals="1" fieldPosition="0"/>
    </format>
    <format dxfId="12221">
      <pivotArea dataOnly="0" labelOnly="1" outline="0" axis="axisValues" fieldPosition="0"/>
    </format>
    <format dxfId="12220">
      <pivotArea dataOnly="0" labelOnly="1" outline="0" axis="axisValues" fieldPosition="0"/>
    </format>
    <format dxfId="12219">
      <pivotArea outline="0" collapsedLevelsAreSubtotals="1" fieldPosition="0"/>
    </format>
    <format dxfId="12218">
      <pivotArea field="12" type="button" dataOnly="0" labelOnly="1" outline="0" axis="axisRow" fieldPosition="2"/>
    </format>
    <format dxfId="12217">
      <pivotArea field="10" type="button" dataOnly="0" labelOnly="1" outline="0" axis="axisRow" fieldPosition="3"/>
    </format>
    <format dxfId="12216">
      <pivotArea field="16" type="button" dataOnly="0" labelOnly="1" outline="0" axis="axisRow" fieldPosition="4"/>
    </format>
    <format dxfId="12215">
      <pivotArea field="18" type="button" dataOnly="0" labelOnly="1" outline="0" axis="axisRow" fieldPosition="5"/>
    </format>
    <format dxfId="12214">
      <pivotArea field="5" type="button" dataOnly="0" labelOnly="1" outline="0" axis="axisRow" fieldPosition="6"/>
    </format>
    <format dxfId="12213">
      <pivotArea field="9" type="button" dataOnly="0" labelOnly="1" outline="0" axis="axisRow" fieldPosition="7"/>
    </format>
    <format dxfId="12212">
      <pivotArea field="3" type="button" dataOnly="0" labelOnly="1" outline="0" axis="axisRow" fieldPosition="8"/>
    </format>
    <format dxfId="12211">
      <pivotArea field="7" type="button" dataOnly="0" labelOnly="1" outline="0" axis="axisRow" fieldPosition="9"/>
    </format>
    <format dxfId="12210">
      <pivotArea field="1" type="button" dataOnly="0" labelOnly="1" outline="0" axis="axisRow" fieldPosition="10"/>
    </format>
    <format dxfId="12209">
      <pivotArea dataOnly="0" labelOnly="1" outline="0" axis="axisValues" fieldPosition="0"/>
    </format>
    <format dxfId="122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2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206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22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220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2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2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9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19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1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1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21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8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1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1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1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1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1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1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1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17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1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2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1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21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2124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23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122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21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2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119">
      <pivotArea dataOnly="0" labelOnly="1" outline="0" fieldPosition="0">
        <references count="7">
          <reference field="0" count="1" selected="0">
            <x v="14"/>
          </reference>
          <reference field="5" count="1">
            <x v="601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18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17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16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15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14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13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12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11">
      <pivotArea dataOnly="0" labelOnly="1" outline="0" fieldPosition="0">
        <references count="7">
          <reference field="0" count="1" selected="0">
            <x v="14"/>
          </reference>
          <reference field="5" count="1">
            <x v="622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10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09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08">
      <pivotArea dataOnly="0" labelOnly="1" outline="0" fieldPosition="0">
        <references count="7">
          <reference field="0" count="1" selected="0">
            <x v="14"/>
          </reference>
          <reference field="5" count="1">
            <x v="445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07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106">
      <pivotArea dataOnly="0" labelOnly="1" outline="0" fieldPosition="0">
        <references count="7">
          <reference field="0" count="1" selected="0">
            <x v="14"/>
          </reference>
          <reference field="5" count="1"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0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104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03">
      <pivotArea dataOnly="0" labelOnly="1" outline="0" fieldPosition="0">
        <references count="7">
          <reference field="0" count="1" selected="0">
            <x v="15"/>
          </reference>
          <reference field="5" count="1">
            <x v="75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02">
      <pivotArea dataOnly="0" labelOnly="1" outline="0" fieldPosition="0">
        <references count="7">
          <reference field="0" count="1" selected="0">
            <x v="15"/>
          </reference>
          <reference field="5" count="1">
            <x v="7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01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100">
      <pivotArea dataOnly="0" labelOnly="1" outline="0" fieldPosition="0">
        <references count="7">
          <reference field="0" count="1" selected="0">
            <x v="15"/>
          </reference>
          <reference field="5" count="1">
            <x v="75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99">
      <pivotArea dataOnly="0" labelOnly="1" outline="0" fieldPosition="0">
        <references count="7">
          <reference field="0" count="1" selected="0">
            <x v="15"/>
          </reference>
          <reference field="5" count="1">
            <x v="23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098">
      <pivotArea dataOnly="0" labelOnly="1" outline="0" fieldPosition="0">
        <references count="7">
          <reference field="0" count="1" selected="0">
            <x v="15"/>
          </reference>
          <reference field="5" count="1">
            <x v="27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0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79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78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74">
      <pivotArea dataOnly="0" labelOnly="1" outline="0" fieldPosition="0">
        <references count="9">
          <reference field="0" count="1" selected="0">
            <x v="14"/>
          </reference>
          <reference field="3" count="1">
            <x v="7432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73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71">
      <pivotArea dataOnly="0" labelOnly="1" outline="0" fieldPosition="0">
        <references count="9">
          <reference field="0" count="1" selected="0">
            <x v="14"/>
          </reference>
          <reference field="3" count="1">
            <x v="3878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70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4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69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068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67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0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64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75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2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6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8"/>
          </reference>
          <reference field="5" count="1" selected="0">
            <x v="75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4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6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3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47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432"/>
          </reference>
          <reference field="5" count="1" selected="0">
            <x v="34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46">
      <pivotArea dataOnly="0" labelOnly="1" outline="0" fieldPosition="0">
        <references count="11">
          <reference field="0" count="1" selected="0">
            <x v="14"/>
          </reference>
          <reference field="1" count="1">
            <x v="7105"/>
          </reference>
          <reference field="3" count="1" selected="0">
            <x v="0"/>
          </reference>
          <reference field="5" count="1" selected="0">
            <x v="62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45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33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44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43">
      <pivotArea outline="0" collapsedLevelsAreSubtotals="1" fieldPosition="0"/>
    </format>
    <format dxfId="12042">
      <pivotArea dataOnly="0" labelOnly="1" outline="0" axis="axisValues" fieldPosition="0"/>
    </format>
    <format dxfId="12041">
      <pivotArea dataOnly="0" outline="0" fieldPosition="0">
        <references count="1">
          <reference field="12" count="0" defaultSubtotal="1"/>
        </references>
      </pivotArea>
    </format>
    <format dxfId="12040">
      <pivotArea outline="0" collapsedLevelsAreSubtotals="1" fieldPosition="0"/>
    </format>
    <format dxfId="12039">
      <pivotArea dataOnly="0" labelOnly="1" outline="0" axis="axisValues" fieldPosition="0"/>
    </format>
    <format dxfId="12038">
      <pivotArea dataOnly="0" outline="0" fieldPosition="0">
        <references count="1">
          <reference field="12" count="0" defaultSubtotal="1"/>
        </references>
      </pivotArea>
    </format>
    <format dxfId="12037">
      <pivotArea outline="0" collapsedLevelsAreSubtotals="1" fieldPosition="0"/>
    </format>
    <format dxfId="12036">
      <pivotArea dataOnly="0" labelOnly="1" outline="0" axis="axisValues" fieldPosition="0"/>
    </format>
    <format dxfId="12035">
      <pivotArea outline="0" collapsedLevelsAreSubtotals="1" fieldPosition="0"/>
    </format>
    <format dxfId="12034">
      <pivotArea dataOnly="0" labelOnly="1" outline="0" axis="axisValues" fieldPosition="0"/>
    </format>
    <format dxfId="12033">
      <pivotArea dataOnly="0" labelOnly="1" outline="0" axis="axisValues" fieldPosition="0"/>
    </format>
    <format dxfId="12032">
      <pivotArea outline="0" collapsedLevelsAreSubtotals="1" fieldPosition="0"/>
    </format>
    <format dxfId="12031">
      <pivotArea field="12" type="button" dataOnly="0" labelOnly="1" outline="0" axis="axisRow" fieldPosition="2"/>
    </format>
    <format dxfId="12030">
      <pivotArea field="10" type="button" dataOnly="0" labelOnly="1" outline="0" axis="axisRow" fieldPosition="3"/>
    </format>
    <format dxfId="12029">
      <pivotArea field="16" type="button" dataOnly="0" labelOnly="1" outline="0" axis="axisRow" fieldPosition="4"/>
    </format>
    <format dxfId="12028">
      <pivotArea field="18" type="button" dataOnly="0" labelOnly="1" outline="0" axis="axisRow" fieldPosition="5"/>
    </format>
    <format dxfId="12027">
      <pivotArea field="5" type="button" dataOnly="0" labelOnly="1" outline="0" axis="axisRow" fieldPosition="6"/>
    </format>
    <format dxfId="12026">
      <pivotArea field="9" type="button" dataOnly="0" labelOnly="1" outline="0" axis="axisRow" fieldPosition="7"/>
    </format>
    <format dxfId="12025">
      <pivotArea field="3" type="button" dataOnly="0" labelOnly="1" outline="0" axis="axisRow" fieldPosition="8"/>
    </format>
    <format dxfId="12024">
      <pivotArea field="7" type="button" dataOnly="0" labelOnly="1" outline="0" axis="axisRow" fieldPosition="9"/>
    </format>
    <format dxfId="12023">
      <pivotArea field="1" type="button" dataOnly="0" labelOnly="1" outline="0" axis="axisRow" fieldPosition="10"/>
    </format>
    <format dxfId="12022">
      <pivotArea dataOnly="0" labelOnly="1" outline="0" axis="axisValues" fieldPosition="0"/>
    </format>
    <format dxfId="1202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20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20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17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20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201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01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0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0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200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20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20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0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20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0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9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9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9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9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9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9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9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19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9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19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119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9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19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1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1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9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9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1922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21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2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19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18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1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916">
      <pivotArea dataOnly="0" labelOnly="1" outline="0" fieldPosition="0">
        <references count="7">
          <reference field="0" count="1" selected="0">
            <x v="14"/>
          </reference>
          <reference field="5" count="1">
            <x v="601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15">
      <pivotArea dataOnly="0" labelOnly="1" outline="0" fieldPosition="0">
        <references count="7">
          <reference field="0" count="1" selected="0">
            <x v="10"/>
          </reference>
          <reference field="5" count="1">
            <x v="198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14">
      <pivotArea dataOnly="0" labelOnly="1" outline="0" fieldPosition="0">
        <references count="7">
          <reference field="0" count="1" selected="0">
            <x v="10"/>
          </reference>
          <reference field="5" count="1">
            <x v="68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13">
      <pivotArea dataOnly="0" labelOnly="1" outline="0" fieldPosition="0">
        <references count="7">
          <reference field="0" count="1" selected="0">
            <x v="10"/>
          </reference>
          <reference field="5" count="1">
            <x v="469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12">
      <pivotArea dataOnly="0" labelOnly="1" outline="0" fieldPosition="0">
        <references count="7">
          <reference field="0" count="1" selected="0">
            <x v="10"/>
          </reference>
          <reference field="5" count="2">
            <x v="4579"/>
            <x v="50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11">
      <pivotArea dataOnly="0" labelOnly="1" outline="0" fieldPosition="0">
        <references count="7">
          <reference field="0" count="1" selected="0">
            <x v="10"/>
          </reference>
          <reference field="5" count="1">
            <x v="578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910">
      <pivotArea dataOnly="0" labelOnly="1" outline="0" fieldPosition="0">
        <references count="7">
          <reference field="0" count="1" selected="0">
            <x v="12"/>
          </reference>
          <reference field="5" count="3">
            <x v="7597"/>
            <x v="7598"/>
            <x v="75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09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08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07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06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905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04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903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02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01">
      <pivotArea dataOnly="0" labelOnly="1" outline="0" fieldPosition="0">
        <references count="7">
          <reference field="0" count="1" selected="0">
            <x v="14"/>
          </reference>
          <reference field="5" count="1"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0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99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98">
      <pivotArea dataOnly="0" labelOnly="1" outline="0" fieldPosition="0">
        <references count="7">
          <reference field="0" count="1" selected="0">
            <x v="15"/>
          </reference>
          <reference field="5" count="1">
            <x v="75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97">
      <pivotArea dataOnly="0" labelOnly="1" outline="0" fieldPosition="0">
        <references count="7">
          <reference field="0" count="1" selected="0">
            <x v="15"/>
          </reference>
          <reference field="5" count="1">
            <x v="7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96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95">
      <pivotArea dataOnly="0" labelOnly="1" outline="0" fieldPosition="0">
        <references count="7">
          <reference field="0" count="1" selected="0">
            <x v="15"/>
          </reference>
          <reference field="5" count="2">
            <x v="7594"/>
            <x v="75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94">
      <pivotArea dataOnly="0" labelOnly="1" outline="0" fieldPosition="0">
        <references count="7">
          <reference field="0" count="1" selected="0">
            <x v="15"/>
          </reference>
          <reference field="5" count="1">
            <x v="13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8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75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73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72">
      <pivotArea dataOnly="0" labelOnly="1" outline="0" fieldPosition="0">
        <references count="9">
          <reference field="0" count="1" selected="0">
            <x v="10"/>
          </reference>
          <reference field="3" count="1">
            <x v="7446"/>
          </reference>
          <reference field="5" count="1" selected="0">
            <x v="1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7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70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4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69">
      <pivotArea dataOnly="0" labelOnly="1" outline="0" fieldPosition="0">
        <references count="9">
          <reference field="0" count="1" selected="0">
            <x v="10"/>
          </reference>
          <reference field="3" count="1">
            <x v="7450"/>
          </reference>
          <reference field="5" count="1" selected="0">
            <x v="4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68">
      <pivotArea dataOnly="0" labelOnly="1" outline="0" fieldPosition="0">
        <references count="9">
          <reference field="0" count="1" selected="0">
            <x v="10"/>
          </reference>
          <reference field="3" count="1">
            <x v="7440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67">
      <pivotArea dataOnly="0" labelOnly="1" outline="0" fieldPosition="0">
        <references count="9">
          <reference field="0" count="1" selected="0">
            <x v="10"/>
          </reference>
          <reference field="3" count="1">
            <x v="7447"/>
          </reference>
          <reference field="5" count="1" selected="0">
            <x v="5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8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61">
      <pivotArea dataOnly="0" labelOnly="1" outline="0" fieldPosition="0">
        <references count="9">
          <reference field="0" count="1" selected="0">
            <x v="14"/>
          </reference>
          <reference field="3" count="1">
            <x v="7432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60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59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58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55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75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8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8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6"/>
          </reference>
          <reference field="5" count="1" selected="0">
            <x v="1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8"/>
          </reference>
          <reference field="5" count="1" selected="0">
            <x v="4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50"/>
          </reference>
          <reference field="5" count="1" selected="0">
            <x v="4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2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6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3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834">
      <pivotArea dataOnly="0" labelOnly="1" outline="0" fieldPosition="0">
        <references count="11">
          <reference field="0" count="1" selected="0">
            <x v="10"/>
          </reference>
          <reference field="1" count="1">
            <x v="7110"/>
          </reference>
          <reference field="3" count="1" selected="0">
            <x v="7448"/>
          </reference>
          <reference field="5" count="1" selected="0">
            <x v="4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33">
      <pivotArea dataOnly="0" labelOnly="1" outline="0" fieldPosition="0">
        <references count="11">
          <reference field="0" count="1" selected="0">
            <x v="12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5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32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33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31">
      <pivotArea dataOnly="0" labelOnly="1" outline="0" fieldPosition="0">
        <references count="11">
          <reference field="0" count="1" selected="0">
            <x v="15"/>
          </reference>
          <reference field="1" count="1">
            <x v="7227"/>
          </reference>
          <reference field="3" count="1" selected="0">
            <x v="0"/>
          </reference>
          <reference field="5" count="1" selected="0">
            <x v="75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30">
      <pivotArea dataOnly="0" outline="0" fieldPosition="0">
        <references count="1">
          <reference field="12" count="0" defaultSubtotal="1"/>
        </references>
      </pivotArea>
    </format>
    <format dxfId="11829">
      <pivotArea outline="0" collapsedLevelsAreSubtotals="1" fieldPosition="0"/>
    </format>
    <format dxfId="11828">
      <pivotArea dataOnly="0" labelOnly="1" outline="0" axis="axisValues" fieldPosition="0"/>
    </format>
    <format dxfId="11827">
      <pivotArea dataOnly="0" outline="0" fieldPosition="0">
        <references count="1">
          <reference field="12" count="0" defaultSubtotal="1"/>
        </references>
      </pivotArea>
    </format>
    <format dxfId="11826">
      <pivotArea outline="0" collapsedLevelsAreSubtotals="1" fieldPosition="0"/>
    </format>
    <format dxfId="11825">
      <pivotArea dataOnly="0" labelOnly="1" outline="0" axis="axisValues" fieldPosition="0"/>
    </format>
    <format dxfId="11824">
      <pivotArea outline="0" collapsedLevelsAreSubtotals="1" fieldPosition="0"/>
    </format>
    <format dxfId="11823">
      <pivotArea dataOnly="0" labelOnly="1" outline="0" axis="axisValues" fieldPosition="0"/>
    </format>
    <format dxfId="11822">
      <pivotArea dataOnly="0" labelOnly="1" outline="0" axis="axisValues" fieldPosition="0"/>
    </format>
    <format dxfId="11821">
      <pivotArea outline="0" collapsedLevelsAreSubtotals="1" fieldPosition="0"/>
    </format>
    <format dxfId="11820">
      <pivotArea field="12" type="button" dataOnly="0" labelOnly="1" outline="0" axis="axisRow" fieldPosition="2"/>
    </format>
    <format dxfId="11819">
      <pivotArea field="10" type="button" dataOnly="0" labelOnly="1" outline="0" axis="axisRow" fieldPosition="3"/>
    </format>
    <format dxfId="11818">
      <pivotArea field="16" type="button" dataOnly="0" labelOnly="1" outline="0" axis="axisRow" fieldPosition="4"/>
    </format>
    <format dxfId="11817">
      <pivotArea field="18" type="button" dataOnly="0" labelOnly="1" outline="0" axis="axisRow" fieldPosition="5"/>
    </format>
    <format dxfId="11816">
      <pivotArea field="5" type="button" dataOnly="0" labelOnly="1" outline="0" axis="axisRow" fieldPosition="6"/>
    </format>
    <format dxfId="11815">
      <pivotArea field="9" type="button" dataOnly="0" labelOnly="1" outline="0" axis="axisRow" fieldPosition="7"/>
    </format>
    <format dxfId="11814">
      <pivotArea field="3" type="button" dataOnly="0" labelOnly="1" outline="0" axis="axisRow" fieldPosition="8"/>
    </format>
    <format dxfId="11813">
      <pivotArea field="7" type="button" dataOnly="0" labelOnly="1" outline="0" axis="axisRow" fieldPosition="9"/>
    </format>
    <format dxfId="11812">
      <pivotArea field="1" type="button" dataOnly="0" labelOnly="1" outline="0" axis="axisRow" fieldPosition="10"/>
    </format>
    <format dxfId="11811">
      <pivotArea dataOnly="0" labelOnly="1" outline="0" axis="axisValues" fieldPosition="0"/>
    </format>
    <format dxfId="118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8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808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1807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1806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80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80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8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8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9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179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17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7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7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17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7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7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7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7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7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7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7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7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7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76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7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7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17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7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17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17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7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7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1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6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6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1689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8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687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86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8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84">
      <pivotArea dataOnly="0" labelOnly="1" outline="0" fieldPosition="0">
        <references count="7">
          <reference field="0" count="1" selected="0">
            <x v="14"/>
          </reference>
          <reference field="5" count="1">
            <x v="76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83">
      <pivotArea dataOnly="0" labelOnly="1" outline="0" fieldPosition="0">
        <references count="7">
          <reference field="0" count="1" selected="0">
            <x v="14"/>
          </reference>
          <reference field="5" count="1">
            <x v="601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82">
      <pivotArea dataOnly="0" labelOnly="1" outline="0" fieldPosition="0">
        <references count="7">
          <reference field="0" count="1" selected="0">
            <x v="2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81">
      <pivotArea dataOnly="0" labelOnly="1" outline="0" fieldPosition="0">
        <references count="7">
          <reference field="0" count="1" selected="0">
            <x v="2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680">
      <pivotArea dataOnly="0" labelOnly="1" outline="0" fieldPosition="0">
        <references count="7">
          <reference field="0" count="1" selected="0">
            <x v="2"/>
          </reference>
          <reference field="5" count="1">
            <x v="75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79">
      <pivotArea dataOnly="0" labelOnly="1" outline="0" fieldPosition="0">
        <references count="7">
          <reference field="0" count="1" selected="0">
            <x v="2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78">
      <pivotArea dataOnly="0" labelOnly="1" outline="0" fieldPosition="0">
        <references count="7">
          <reference field="0" count="1" selected="0">
            <x v="2"/>
          </reference>
          <reference field="5" count="1">
            <x v="43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677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76">
      <pivotArea dataOnly="0" labelOnly="1" outline="0" fieldPosition="0">
        <references count="7">
          <reference field="0" count="1" selected="0">
            <x v="12"/>
          </reference>
          <reference field="5" count="1">
            <x v="60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75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74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73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72">
      <pivotArea dataOnly="0" labelOnly="1" outline="0" fieldPosition="0">
        <references count="7">
          <reference field="0" count="1" selected="0">
            <x v="14"/>
          </reference>
          <reference field="5" count="1">
            <x v="428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71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70">
      <pivotArea dataOnly="0" labelOnly="1" outline="0" fieldPosition="0">
        <references count="7">
          <reference field="0" count="1" selected="0">
            <x v="14"/>
          </reference>
          <reference field="5" count="1">
            <x v="618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669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68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67">
      <pivotArea dataOnly="0" labelOnly="1" outline="0" fieldPosition="0">
        <references count="7">
          <reference field="0" count="1" selected="0">
            <x v="14"/>
          </reference>
          <reference field="5" count="1">
            <x v="409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666">
      <pivotArea dataOnly="0" labelOnly="1" outline="0" fieldPosition="0">
        <references count="7">
          <reference field="0" count="1" selected="0">
            <x v="14"/>
          </reference>
          <reference field="5" count="1"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6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664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63">
      <pivotArea dataOnly="0" labelOnly="1" outline="0" fieldPosition="0">
        <references count="7">
          <reference field="0" count="1" selected="0">
            <x v="15"/>
          </reference>
          <reference field="5" count="1">
            <x v="7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62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661">
      <pivotArea dataOnly="0" labelOnly="1" outline="0" fieldPosition="0">
        <references count="7">
          <reference field="0" count="1" selected="0">
            <x v="15"/>
          </reference>
          <reference field="5" count="1">
            <x v="75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60">
      <pivotArea dataOnly="0" labelOnly="1" outline="0" fieldPosition="0">
        <references count="7">
          <reference field="0" count="1" selected="0">
            <x v="15"/>
          </reference>
          <reference field="5" count="1">
            <x v="13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5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5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6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5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6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36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35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3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3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6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31">
      <pivotArea dataOnly="0" labelOnly="1" outline="0" fieldPosition="0">
        <references count="9">
          <reference field="0" count="1" selected="0">
            <x v="2"/>
          </reference>
          <reference field="3" count="1">
            <x v="7455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30">
      <pivotArea dataOnly="0" labelOnly="1" outline="0" fieldPosition="0">
        <references count="9">
          <reference field="0" count="1" selected="0">
            <x v="2"/>
          </reference>
          <reference field="3" count="1">
            <x v="7456"/>
          </reference>
          <reference field="5" count="1" selected="0">
            <x v="4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629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8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24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23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61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622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620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19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618">
      <pivotArea dataOnly="0" labelOnly="1" outline="0" fieldPosition="0">
        <references count="9">
          <reference field="0" count="1" selected="0">
            <x v="14"/>
          </reference>
          <reference field="3" count="1">
            <x v="7553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17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75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6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5"/>
          </reference>
          <reference field="5" count="1" selected="0">
            <x v="6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6"/>
          </reference>
          <reference field="5" count="1" selected="0">
            <x v="4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6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7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61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6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3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3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96">
      <pivotArea dataOnly="0" labelOnly="1" outline="0" fieldPosition="0">
        <references count="11">
          <reference field="0" count="1" selected="0">
            <x v="2"/>
          </reference>
          <reference field="1" count="1">
            <x v="7115"/>
          </reference>
          <reference field="3" count="1" selected="0">
            <x v="7455"/>
          </reference>
          <reference field="5" count="1" selected="0">
            <x v="60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95">
      <pivotArea dataOnly="0" labelOnly="1" outline="0" fieldPosition="0">
        <references count="11">
          <reference field="0" count="1" selected="0">
            <x v="14"/>
          </reference>
          <reference field="1" count="1">
            <x v="7234"/>
          </reference>
          <reference field="3" count="1" selected="0">
            <x v="2"/>
          </reference>
          <reference field="5" count="1" selected="0">
            <x v="40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594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33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93">
      <pivotArea outline="0" collapsedLevelsAreSubtotals="1" fieldPosition="0"/>
    </format>
    <format dxfId="11592">
      <pivotArea dataOnly="0" labelOnly="1" outline="0" axis="axisValues" fieldPosition="0"/>
    </format>
    <format dxfId="11591">
      <pivotArea dataOnly="0" outline="0" fieldPosition="0">
        <references count="1">
          <reference field="12" count="0" defaultSubtotal="1"/>
        </references>
      </pivotArea>
    </format>
    <format dxfId="11590">
      <pivotArea outline="0" collapsedLevelsAreSubtotals="1" fieldPosition="0"/>
    </format>
    <format dxfId="11589">
      <pivotArea dataOnly="0" labelOnly="1" outline="0" axis="axisValues" fieldPosition="0"/>
    </format>
    <format dxfId="11588">
      <pivotArea outline="0" collapsedLevelsAreSubtotals="1" fieldPosition="0"/>
    </format>
    <format dxfId="11587">
      <pivotArea dataOnly="0" labelOnly="1" outline="0" axis="axisValues" fieldPosition="0"/>
    </format>
    <format dxfId="11586">
      <pivotArea dataOnly="0" labelOnly="1" outline="0" axis="axisValues" fieldPosition="0"/>
    </format>
    <format dxfId="11585">
      <pivotArea outline="0" collapsedLevelsAreSubtotals="1" fieldPosition="0"/>
    </format>
    <format dxfId="11584">
      <pivotArea field="12" type="button" dataOnly="0" labelOnly="1" outline="0" axis="axisRow" fieldPosition="2"/>
    </format>
    <format dxfId="11583">
      <pivotArea field="10" type="button" dataOnly="0" labelOnly="1" outline="0" axis="axisRow" fieldPosition="3"/>
    </format>
    <format dxfId="11582">
      <pivotArea field="16" type="button" dataOnly="0" labelOnly="1" outline="0" axis="axisRow" fieldPosition="4"/>
    </format>
    <format dxfId="11581">
      <pivotArea field="18" type="button" dataOnly="0" labelOnly="1" outline="0" axis="axisRow" fieldPosition="5"/>
    </format>
    <format dxfId="11580">
      <pivotArea field="5" type="button" dataOnly="0" labelOnly="1" outline="0" axis="axisRow" fieldPosition="6"/>
    </format>
    <format dxfId="11579">
      <pivotArea field="9" type="button" dataOnly="0" labelOnly="1" outline="0" axis="axisRow" fieldPosition="7"/>
    </format>
    <format dxfId="11578">
      <pivotArea field="3" type="button" dataOnly="0" labelOnly="1" outline="0" axis="axisRow" fieldPosition="8"/>
    </format>
    <format dxfId="11577">
      <pivotArea field="7" type="button" dataOnly="0" labelOnly="1" outline="0" axis="axisRow" fieldPosition="9"/>
    </format>
    <format dxfId="11576">
      <pivotArea field="1" type="button" dataOnly="0" labelOnly="1" outline="0" axis="axisRow" fieldPosition="10"/>
    </format>
    <format dxfId="11575">
      <pivotArea dataOnly="0" labelOnly="1" outline="0" axis="axisValues" fieldPosition="0"/>
    </format>
    <format dxfId="1157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5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5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5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570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1569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156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56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56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6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155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15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54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1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5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15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55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54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4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5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5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5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53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2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2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1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50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15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1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5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1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4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14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483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8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481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80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79">
      <pivotArea dataOnly="0" labelOnly="1" outline="0" fieldPosition="0">
        <references count="7">
          <reference field="0" count="1" selected="0">
            <x v="14"/>
          </reference>
          <reference field="5" count="1">
            <x v="7487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47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477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76">
      <pivotArea dataOnly="0" labelOnly="1" outline="0" fieldPosition="0">
        <references count="7">
          <reference field="0" count="1" selected="0">
            <x v="14"/>
          </reference>
          <reference field="5" count="1">
            <x v="601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75">
      <pivotArea dataOnly="0" labelOnly="1" outline="0" fieldPosition="0">
        <references count="7">
          <reference field="0" count="1" selected="0">
            <x v="0"/>
          </reference>
          <reference field="5" count="1">
            <x v="20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74">
      <pivotArea dataOnly="0" labelOnly="1" outline="0" fieldPosition="0">
        <references count="7">
          <reference field="0" count="1" selected="0">
            <x v="0"/>
          </reference>
          <reference field="5" count="1">
            <x v="23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73">
      <pivotArea dataOnly="0" labelOnly="1" outline="0" fieldPosition="0">
        <references count="7">
          <reference field="0" count="1" selected="0">
            <x v="0"/>
          </reference>
          <reference field="5" count="1">
            <x v="57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72">
      <pivotArea dataOnly="0" labelOnly="1" outline="0" fieldPosition="0">
        <references count="7">
          <reference field="0" count="1" selected="0">
            <x v="0"/>
          </reference>
          <reference field="5" count="1">
            <x v="75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71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470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69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68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67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66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65">
      <pivotArea dataOnly="0" labelOnly="1" outline="0" fieldPosition="0">
        <references count="7">
          <reference field="0" count="1" selected="0">
            <x v="14"/>
          </reference>
          <reference field="5" count="1"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6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463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7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5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4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450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4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4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47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46">
      <pivotArea dataOnly="0" labelOnly="1" outline="0" fieldPosition="0">
        <references count="9">
          <reference field="0" count="1" selected="0">
            <x v="0"/>
          </reference>
          <reference field="3" count="1">
            <x v="7322"/>
          </reference>
          <reference field="5" count="1" selected="0">
            <x v="20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45">
      <pivotArea dataOnly="0" labelOnly="1" outline="0" fieldPosition="0">
        <references count="9">
          <reference field="0" count="1" selected="0">
            <x v="0"/>
          </reference>
          <reference field="3" count="1">
            <x v="7522"/>
          </reference>
          <reference field="5" count="1" selected="0">
            <x v="23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44">
      <pivotArea dataOnly="0" labelOnly="1" outline="0" fieldPosition="0">
        <references count="9">
          <reference field="0" count="1" selected="0">
            <x v="0"/>
          </reference>
          <reference field="3" count="1">
            <x v="7323"/>
          </reference>
          <reference field="5" count="1" selected="0">
            <x v="5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4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42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4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38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37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36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74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3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22"/>
          </reference>
          <reference field="5" count="1" selected="0">
            <x v="2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3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4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6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23">
      <pivotArea dataOnly="0" labelOnly="1" outline="0" fieldPosition="0">
        <references count="11">
          <reference field="0" count="1" selected="0">
            <x v="14"/>
          </reference>
          <reference field="1" count="1">
            <x v="7118"/>
          </reference>
          <reference field="3" count="1" selected="0">
            <x v="7461"/>
          </reference>
          <reference field="5" count="1" selected="0">
            <x v="74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422">
      <pivotArea dataOnly="0" labelOnly="1" outline="0" fieldPosition="0">
        <references count="11">
          <reference field="0" count="1" selected="0">
            <x v="0"/>
          </reference>
          <reference field="1" count="1">
            <x v="7246"/>
          </reference>
          <reference field="3" count="1" selected="0">
            <x v="7522"/>
          </reference>
          <reference field="5" count="1" selected="0">
            <x v="23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21">
      <pivotArea outline="0" collapsedLevelsAreSubtotals="1" fieldPosition="0"/>
    </format>
    <format dxfId="11420">
      <pivotArea dataOnly="0" labelOnly="1" outline="0" axis="axisValues" fieldPosition="0"/>
    </format>
    <format dxfId="11419">
      <pivotArea dataOnly="0" outline="0" fieldPosition="0">
        <references count="1">
          <reference field="12" count="0" defaultSubtotal="1"/>
        </references>
      </pivotArea>
    </format>
    <format dxfId="11418">
      <pivotArea outline="0" collapsedLevelsAreSubtotals="1" fieldPosition="0"/>
    </format>
    <format dxfId="11417">
      <pivotArea dataOnly="0" labelOnly="1" outline="0" axis="axisValues" fieldPosition="0"/>
    </format>
    <format dxfId="11416">
      <pivotArea outline="0" collapsedLevelsAreSubtotals="1" fieldPosition="0"/>
    </format>
    <format dxfId="11415">
      <pivotArea dataOnly="0" labelOnly="1" outline="0" axis="axisValues" fieldPosition="0"/>
    </format>
    <format dxfId="11414">
      <pivotArea dataOnly="0" labelOnly="1" outline="0" axis="axisValues" fieldPosition="0"/>
    </format>
    <format dxfId="11413">
      <pivotArea outline="0" collapsedLevelsAreSubtotals="1" fieldPosition="0"/>
    </format>
    <format dxfId="11412">
      <pivotArea field="12" type="button" dataOnly="0" labelOnly="1" outline="0" axis="axisRow" fieldPosition="2"/>
    </format>
    <format dxfId="11411">
      <pivotArea field="10" type="button" dataOnly="0" labelOnly="1" outline="0" axis="axisRow" fieldPosition="3"/>
    </format>
    <format dxfId="11410">
      <pivotArea field="16" type="button" dataOnly="0" labelOnly="1" outline="0" axis="axisRow" fieldPosition="4"/>
    </format>
    <format dxfId="11409">
      <pivotArea field="18" type="button" dataOnly="0" labelOnly="1" outline="0" axis="axisRow" fieldPosition="5"/>
    </format>
    <format dxfId="11408">
      <pivotArea field="5" type="button" dataOnly="0" labelOnly="1" outline="0" axis="axisRow" fieldPosition="6"/>
    </format>
    <format dxfId="11407">
      <pivotArea field="9" type="button" dataOnly="0" labelOnly="1" outline="0" axis="axisRow" fieldPosition="7"/>
    </format>
    <format dxfId="11406">
      <pivotArea field="3" type="button" dataOnly="0" labelOnly="1" outline="0" axis="axisRow" fieldPosition="8"/>
    </format>
    <format dxfId="11405">
      <pivotArea field="7" type="button" dataOnly="0" labelOnly="1" outline="0" axis="axisRow" fieldPosition="9"/>
    </format>
    <format dxfId="11404">
      <pivotArea field="1" type="button" dataOnly="0" labelOnly="1" outline="0" axis="axisRow" fieldPosition="10"/>
    </format>
    <format dxfId="11403">
      <pivotArea dataOnly="0" labelOnly="1" outline="0" axis="axisValues" fieldPosition="0"/>
    </format>
    <format dxfId="114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00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13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139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39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3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9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39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3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3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3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3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8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3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3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37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3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3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3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3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3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1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11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1309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0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307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06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0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04">
      <pivotArea dataOnly="0" labelOnly="1" outline="0" fieldPosition="0">
        <references count="7">
          <reference field="0" count="1" selected="0">
            <x v="14"/>
          </reference>
          <reference field="5" count="1">
            <x v="601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03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02">
      <pivotArea dataOnly="0" labelOnly="1" outline="0" fieldPosition="0">
        <references count="7">
          <reference field="0" count="1" selected="0">
            <x v="12"/>
          </reference>
          <reference field="5" count="1">
            <x v="76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01">
      <pivotArea dataOnly="0" labelOnly="1" outline="0" fieldPosition="0">
        <references count="7">
          <reference field="0" count="1" selected="0">
            <x v="12"/>
          </reference>
          <reference field="5" count="1">
            <x v="76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00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99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98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97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96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95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94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93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92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291">
      <pivotArea dataOnly="0" labelOnly="1" outline="0" fieldPosition="0">
        <references count="7">
          <reference field="0" count="1" selected="0">
            <x v="14"/>
          </reference>
          <reference field="5" count="1"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9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89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88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87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286">
      <pivotArea dataOnly="0" labelOnly="1" outline="0" fieldPosition="0">
        <references count="7">
          <reference field="0" count="1" selected="0">
            <x v="15"/>
          </reference>
          <reference field="5" count="1">
            <x v="112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1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6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12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68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67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62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61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60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59">
      <pivotArea dataOnly="0" labelOnly="1" outline="0" fieldPosition="0">
        <references count="9">
          <reference field="0" count="1" selected="0">
            <x v="14"/>
          </reference>
          <reference field="3" count="1">
            <x v="7432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58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257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56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55">
      <pivotArea dataOnly="0" labelOnly="1" outline="0" fieldPosition="0">
        <references count="9">
          <reference field="0" count="1" selected="0">
            <x v="14"/>
          </reference>
          <reference field="3" count="1">
            <x v="7560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5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253">
      <pivotArea dataOnly="0" labelOnly="1" outline="0" fieldPosition="0">
        <references count="9">
          <reference field="0" count="1" selected="0">
            <x v="15"/>
          </reference>
          <reference field="3" count="1">
            <x v="7558"/>
          </reference>
          <reference field="5" count="1" selected="0">
            <x v="112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1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6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75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2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6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0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237">
      <pivotArea dataOnly="0" labelOnly="1" outline="0" fieldPosition="0">
        <references count="11">
          <reference field="0" count="1" selected="0">
            <x v="12"/>
          </reference>
          <reference field="1" count="1">
            <x v="7251"/>
          </reference>
          <reference field="3" count="1" selected="0">
            <x v="0"/>
          </reference>
          <reference field="5" count="1" selected="0">
            <x v="76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36">
      <pivotArea dataOnly="0" labelOnly="1" outline="0" fieldPosition="0">
        <references count="11">
          <reference field="0" count="1" selected="0">
            <x v="15"/>
          </reference>
          <reference field="1" count="1">
            <x v="7250"/>
          </reference>
          <reference field="3" count="1" selected="0">
            <x v="2"/>
          </reference>
          <reference field="5" count="1" selected="0">
            <x v="38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235">
      <pivotArea outline="0" collapsedLevelsAreSubtotals="1" fieldPosition="0"/>
    </format>
    <format dxfId="11234">
      <pivotArea dataOnly="0" labelOnly="1" outline="0" axis="axisValues" fieldPosition="0"/>
    </format>
    <format dxfId="11233">
      <pivotArea dataOnly="0" outline="0" fieldPosition="0">
        <references count="1">
          <reference field="12" count="0" defaultSubtotal="1"/>
        </references>
      </pivotArea>
    </format>
    <format dxfId="11232">
      <pivotArea outline="0" collapsedLevelsAreSubtotals="1" fieldPosition="0"/>
    </format>
    <format dxfId="11231">
      <pivotArea dataOnly="0" labelOnly="1" outline="0" axis="axisValues" fieldPosition="0"/>
    </format>
    <format dxfId="11230">
      <pivotArea outline="0" collapsedLevelsAreSubtotals="1" fieldPosition="0"/>
    </format>
    <format dxfId="11229">
      <pivotArea dataOnly="0" labelOnly="1" outline="0" axis="axisValues" fieldPosition="0"/>
    </format>
    <format dxfId="11228">
      <pivotArea dataOnly="0" labelOnly="1" outline="0" axis="axisValues" fieldPosition="0"/>
    </format>
    <format dxfId="11227">
      <pivotArea outline="0" collapsedLevelsAreSubtotals="1" fieldPosition="0"/>
    </format>
    <format dxfId="11226">
      <pivotArea field="12" type="button" dataOnly="0" labelOnly="1" outline="0" axis="axisRow" fieldPosition="2"/>
    </format>
    <format dxfId="11225">
      <pivotArea field="10" type="button" dataOnly="0" labelOnly="1" outline="0" axis="axisRow" fieldPosition="3"/>
    </format>
    <format dxfId="11224">
      <pivotArea field="16" type="button" dataOnly="0" labelOnly="1" outline="0" axis="axisRow" fieldPosition="4"/>
    </format>
    <format dxfId="11223">
      <pivotArea field="18" type="button" dataOnly="0" labelOnly="1" outline="0" axis="axisRow" fieldPosition="5"/>
    </format>
    <format dxfId="11222">
      <pivotArea field="5" type="button" dataOnly="0" labelOnly="1" outline="0" axis="axisRow" fieldPosition="6"/>
    </format>
    <format dxfId="11221">
      <pivotArea field="9" type="button" dataOnly="0" labelOnly="1" outline="0" axis="axisRow" fieldPosition="7"/>
    </format>
    <format dxfId="11220">
      <pivotArea field="3" type="button" dataOnly="0" labelOnly="1" outline="0" axis="axisRow" fieldPosition="8"/>
    </format>
    <format dxfId="11219">
      <pivotArea field="7" type="button" dataOnly="0" labelOnly="1" outline="0" axis="axisRow" fieldPosition="9"/>
    </format>
    <format dxfId="11218">
      <pivotArea field="1" type="button" dataOnly="0" labelOnly="1" outline="0" axis="axisRow" fieldPosition="10"/>
    </format>
    <format dxfId="11217">
      <pivotArea dataOnly="0" labelOnly="1" outline="0" axis="axisValues" fieldPosition="0"/>
    </format>
    <format dxfId="1121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21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2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2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212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121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12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2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2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0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120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12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0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1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1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1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1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1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1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1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1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1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1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1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7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1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1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115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1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13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12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1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10">
      <pivotArea dataOnly="0" labelOnly="1" outline="0" fieldPosition="0">
        <references count="7">
          <reference field="0" count="1" selected="0">
            <x v="14"/>
          </reference>
          <reference field="5" count="1">
            <x v="601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09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08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07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06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05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04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03">
      <pivotArea dataOnly="0" labelOnly="1" outline="0" fieldPosition="0">
        <references count="7">
          <reference field="0" count="1" selected="0">
            <x v="14"/>
          </reference>
          <reference field="5" count="1">
            <x v="760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02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01">
      <pivotArea dataOnly="0" labelOnly="1" outline="0" fieldPosition="0">
        <references count="7">
          <reference field="0" count="1" selected="0">
            <x v="14"/>
          </reference>
          <reference field="5" count="1">
            <x v="457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00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99">
      <pivotArea dataOnly="0" labelOnly="1" outline="0" fieldPosition="0">
        <references count="7">
          <reference field="0" count="1" selected="0">
            <x v="14"/>
          </reference>
          <reference field="5" count="1">
            <x v="112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98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97">
      <pivotArea dataOnly="0" labelOnly="1" outline="0" fieldPosition="0">
        <references count="7">
          <reference field="0" count="1" selected="0">
            <x v="14"/>
          </reference>
          <reference field="5" count="1">
            <x v="744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96">
      <pivotArea dataOnly="0" labelOnly="1" outline="0" fieldPosition="0">
        <references count="7">
          <reference field="0" count="1" selected="0">
            <x v="14"/>
          </reference>
          <reference field="5" count="1"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9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094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93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92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73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72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68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66">
      <pivotArea dataOnly="0" labelOnly="1" outline="0" fieldPosition="0">
        <references count="9">
          <reference field="0" count="1" selected="0">
            <x v="14"/>
          </reference>
          <reference field="3" count="1">
            <x v="7432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65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4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64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63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11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62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61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60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0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6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2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4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76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11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6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43">
      <pivotArea dataOnly="0" labelOnly="1" outline="0" fieldPosition="0">
        <references count="11">
          <reference field="0" count="1" selected="0">
            <x v="14"/>
          </reference>
          <reference field="1" count="1">
            <x v="7253"/>
          </reference>
          <reference field="3" count="1" selected="0">
            <x v="7432"/>
          </reference>
          <reference field="5" count="1" selected="0">
            <x v="34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42">
      <pivotArea dataOnly="0" labelOnly="1" outline="0" fieldPosition="0">
        <references count="11">
          <reference field="0" count="1" selected="0">
            <x v="14"/>
          </reference>
          <reference field="1" count="1">
            <x v="7252"/>
          </reference>
          <reference field="3" count="1" selected="0">
            <x v="7416"/>
          </reference>
          <reference field="5" count="1" selected="0">
            <x v="4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41">
      <pivotArea outline="0" collapsedLevelsAreSubtotals="1" fieldPosition="0"/>
    </format>
    <format dxfId="11040">
      <pivotArea dataOnly="0" labelOnly="1" outline="0" axis="axisValues" fieldPosition="0"/>
    </format>
    <format dxfId="11039">
      <pivotArea dataOnly="0" outline="0" fieldPosition="0">
        <references count="1">
          <reference field="12" count="0" defaultSubtotal="1"/>
        </references>
      </pivotArea>
    </format>
    <format dxfId="11038">
      <pivotArea outline="0" collapsedLevelsAreSubtotals="1" fieldPosition="0"/>
    </format>
    <format dxfId="11037">
      <pivotArea dataOnly="0" labelOnly="1" outline="0" axis="axisValues" fieldPosition="0"/>
    </format>
    <format dxfId="11036">
      <pivotArea outline="0" collapsedLevelsAreSubtotals="1" fieldPosition="0"/>
    </format>
    <format dxfId="11035">
      <pivotArea dataOnly="0" labelOnly="1" outline="0" axis="axisValues" fieldPosition="0"/>
    </format>
    <format dxfId="11034">
      <pivotArea dataOnly="0" labelOnly="1" outline="0" axis="axisValues" fieldPosition="0"/>
    </format>
    <format dxfId="11033">
      <pivotArea outline="0" collapsedLevelsAreSubtotals="1" fieldPosition="0"/>
    </format>
    <format dxfId="11032">
      <pivotArea field="12" type="button" dataOnly="0" labelOnly="1" outline="0" axis="axisRow" fieldPosition="2"/>
    </format>
    <format dxfId="11031">
      <pivotArea field="10" type="button" dataOnly="0" labelOnly="1" outline="0" axis="axisRow" fieldPosition="3"/>
    </format>
    <format dxfId="11030">
      <pivotArea field="16" type="button" dataOnly="0" labelOnly="1" outline="0" axis="axisRow" fieldPosition="4"/>
    </format>
    <format dxfId="11029">
      <pivotArea field="18" type="button" dataOnly="0" labelOnly="1" outline="0" axis="axisRow" fieldPosition="5"/>
    </format>
    <format dxfId="11028">
      <pivotArea field="5" type="button" dataOnly="0" labelOnly="1" outline="0" axis="axisRow" fieldPosition="6"/>
    </format>
    <format dxfId="11027">
      <pivotArea field="9" type="button" dataOnly="0" labelOnly="1" outline="0" axis="axisRow" fieldPosition="7"/>
    </format>
    <format dxfId="11026">
      <pivotArea field="3" type="button" dataOnly="0" labelOnly="1" outline="0" axis="axisRow" fieldPosition="8"/>
    </format>
    <format dxfId="11025">
      <pivotArea field="7" type="button" dataOnly="0" labelOnly="1" outline="0" axis="axisRow" fieldPosition="9"/>
    </format>
    <format dxfId="11024">
      <pivotArea field="1" type="button" dataOnly="0" labelOnly="1" outline="0" axis="axisRow" fieldPosition="10"/>
    </format>
    <format dxfId="11023">
      <pivotArea dataOnly="0" labelOnly="1" outline="0" axis="axisValues" fieldPosition="0"/>
    </format>
    <format dxfId="110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0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02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101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101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1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01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0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1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100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10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0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0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0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0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9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9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9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9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9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0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9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9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09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109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09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09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0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9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9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0930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2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28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27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26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25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92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23">
      <pivotArea dataOnly="0" labelOnly="1" outline="0" fieldPosition="0">
        <references count="7">
          <reference field="0" count="1" selected="0">
            <x v="14"/>
          </reference>
          <reference field="5" count="1">
            <x v="601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22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21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20">
      <pivotArea dataOnly="0" labelOnly="1" outline="0" fieldPosition="0">
        <references count="7">
          <reference field="0" count="1" selected="0">
            <x v="11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19">
      <pivotArea dataOnly="0" labelOnly="1" outline="0" fieldPosition="0">
        <references count="7">
          <reference field="0" count="1" selected="0">
            <x v="11"/>
          </reference>
          <reference field="5" count="1">
            <x v="71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18">
      <pivotArea dataOnly="0" labelOnly="1" outline="0" fieldPosition="0">
        <references count="7">
          <reference field="0" count="1" selected="0">
            <x v="11"/>
          </reference>
          <reference field="5" count="1">
            <x v="62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0917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16">
      <pivotArea dataOnly="0" labelOnly="1" outline="0" fieldPosition="0">
        <references count="7">
          <reference field="0" count="1" selected="0">
            <x v="11"/>
          </reference>
          <reference field="5" count="1">
            <x v="53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15">
      <pivotArea dataOnly="0" labelOnly="1" outline="0" fieldPosition="0">
        <references count="7">
          <reference field="0" count="1" selected="0">
            <x v="12"/>
          </reference>
          <reference field="5" count="1">
            <x v="60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14">
      <pivotArea dataOnly="0" labelOnly="1" outline="0" fieldPosition="0">
        <references count="7">
          <reference field="0" count="1" selected="0">
            <x v="12"/>
          </reference>
          <reference field="5" count="1">
            <x v="76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13">
      <pivotArea dataOnly="0" labelOnly="1" outline="0" fieldPosition="0">
        <references count="7">
          <reference field="0" count="1" selected="0">
            <x v="12"/>
          </reference>
          <reference field="5" count="1">
            <x v="7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12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11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10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09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08">
      <pivotArea dataOnly="0" labelOnly="1" outline="0" fieldPosition="0">
        <references count="7">
          <reference field="0" count="1" selected="0">
            <x v="14"/>
          </reference>
          <reference field="5" count="1">
            <x v="760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907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06">
      <pivotArea dataOnly="0" labelOnly="1" outline="0" fieldPosition="0">
        <references count="7">
          <reference field="0" count="1" selected="0">
            <x v="14"/>
          </reference>
          <reference field="5" count="1"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0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904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03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902">
      <pivotArea dataOnly="0" labelOnly="1" outline="0" fieldPosition="0">
        <references count="7">
          <reference field="0" count="1" selected="0">
            <x v="15"/>
          </reference>
          <reference field="5" count="1">
            <x v="26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87">
      <pivotArea dataOnly="0" labelOnly="1" outline="0" fieldPosition="0">
        <references count="9">
          <reference field="0" count="1" selected="0">
            <x v="14"/>
          </reference>
          <reference field="3" count="1">
            <x v="7508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86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8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84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83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82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81">
      <pivotArea dataOnly="0" labelOnly="1" outline="0" fieldPosition="0">
        <references count="9">
          <reference field="0" count="1" selected="0">
            <x v="11"/>
          </reference>
          <reference field="3" count="1">
            <x v="7427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80">
      <pivotArea dataOnly="0" labelOnly="1" outline="0" fieldPosition="0">
        <references count="9">
          <reference field="0" count="1" selected="0">
            <x v="11"/>
          </reference>
          <reference field="3" count="1">
            <x v="7505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74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73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72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8"/>
          </reference>
          <reference field="5" count="1" selected="0">
            <x v="75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6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57">
      <pivotArea dataOnly="0" labelOnly="1" outline="0" fieldPosition="0">
        <references count="11">
          <reference field="0" count="1" selected="0">
            <x v="14"/>
          </reference>
          <reference field="1" count="1">
            <x v="7257"/>
          </reference>
          <reference field="3" count="1" selected="0">
            <x v="7563"/>
          </reference>
          <reference field="5" count="1" selected="0">
            <x v="73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856">
      <pivotArea dataOnly="0" labelOnly="1" outline="0" fieldPosition="0">
        <references count="11">
          <reference field="0" count="1" selected="0">
            <x v="15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26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855">
      <pivotArea outline="0" collapsedLevelsAreSubtotals="1" fieldPosition="0"/>
    </format>
    <format dxfId="10854">
      <pivotArea dataOnly="0" labelOnly="1" outline="0" axis="axisValues" fieldPosition="0"/>
    </format>
    <format dxfId="10853">
      <pivotArea dataOnly="0" outline="0" fieldPosition="0">
        <references count="1">
          <reference field="12" count="0" defaultSubtotal="1"/>
        </references>
      </pivotArea>
    </format>
    <format dxfId="10852">
      <pivotArea outline="0" collapsedLevelsAreSubtotals="1" fieldPosition="0"/>
    </format>
    <format dxfId="10851">
      <pivotArea dataOnly="0" labelOnly="1" outline="0" axis="axisValues" fieldPosition="0"/>
    </format>
    <format dxfId="10850">
      <pivotArea outline="0" collapsedLevelsAreSubtotals="1" fieldPosition="0"/>
    </format>
    <format dxfId="10849">
      <pivotArea dataOnly="0" labelOnly="1" outline="0" axis="axisValues" fieldPosition="0"/>
    </format>
    <format dxfId="10848">
      <pivotArea dataOnly="0" labelOnly="1" outline="0" axis="axisValues" fieldPosition="0"/>
    </format>
    <format dxfId="10847">
      <pivotArea outline="0" collapsedLevelsAreSubtotals="1" fieldPosition="0"/>
    </format>
    <format dxfId="10846">
      <pivotArea field="12" type="button" dataOnly="0" labelOnly="1" outline="0" axis="axisRow" fieldPosition="2"/>
    </format>
    <format dxfId="10845">
      <pivotArea field="10" type="button" dataOnly="0" labelOnly="1" outline="0" axis="axisRow" fieldPosition="3"/>
    </format>
    <format dxfId="10844">
      <pivotArea field="16" type="button" dataOnly="0" labelOnly="1" outline="0" axis="axisRow" fieldPosition="4"/>
    </format>
    <format dxfId="10843">
      <pivotArea field="18" type="button" dataOnly="0" labelOnly="1" outline="0" axis="axisRow" fieldPosition="5"/>
    </format>
    <format dxfId="10842">
      <pivotArea field="5" type="button" dataOnly="0" labelOnly="1" outline="0" axis="axisRow" fieldPosition="6"/>
    </format>
    <format dxfId="10841">
      <pivotArea field="9" type="button" dataOnly="0" labelOnly="1" outline="0" axis="axisRow" fieldPosition="7"/>
    </format>
    <format dxfId="10840">
      <pivotArea field="3" type="button" dataOnly="0" labelOnly="1" outline="0" axis="axisRow" fieldPosition="8"/>
    </format>
    <format dxfId="10839">
      <pivotArea field="7" type="button" dataOnly="0" labelOnly="1" outline="0" axis="axisRow" fieldPosition="9"/>
    </format>
    <format dxfId="10838">
      <pivotArea field="1" type="button" dataOnly="0" labelOnly="1" outline="0" axis="axisRow" fieldPosition="10"/>
    </format>
    <format dxfId="10837">
      <pivotArea dataOnly="0" labelOnly="1" outline="0" axis="axisValues" fieldPosition="0"/>
    </format>
    <format dxfId="108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8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83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83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8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2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082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08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8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2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8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8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8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8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80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10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0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7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7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10762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6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60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59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5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57">
      <pivotArea dataOnly="0" labelOnly="1" outline="0" fieldPosition="0">
        <references count="7">
          <reference field="0" count="1" selected="0">
            <x v="12"/>
          </reference>
          <reference field="5" count="1">
            <x v="76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56">
      <pivotArea dataOnly="0" labelOnly="1" outline="0" fieldPosition="0">
        <references count="7">
          <reference field="0" count="1" selected="0">
            <x v="12"/>
          </reference>
          <reference field="5" count="1">
            <x v="76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55">
      <pivotArea dataOnly="0" labelOnly="1" outline="0" fieldPosition="0">
        <references count="7">
          <reference field="0" count="1" selected="0">
            <x v="12"/>
          </reference>
          <reference field="5" count="2">
            <x v="393"/>
            <x v="7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54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5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52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51">
      <pivotArea dataOnly="0" labelOnly="1" outline="0" fieldPosition="0">
        <references count="7">
          <reference field="0" count="1" selected="0">
            <x v="14"/>
          </reference>
          <reference field="5" count="1">
            <x v="428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50">
      <pivotArea dataOnly="0" labelOnly="1" outline="0" fieldPosition="0">
        <references count="7">
          <reference field="0" count="1" selected="0">
            <x v="14"/>
          </reference>
          <reference field="5" count="1">
            <x v="230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749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48">
      <pivotArea dataOnly="0" labelOnly="1" outline="0" fieldPosition="0">
        <references count="7">
          <reference field="0" count="1" selected="0">
            <x v="14"/>
          </reference>
          <reference field="5" count="1">
            <x v="761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747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6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45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4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43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42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0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30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29">
      <pivotArea dataOnly="0" labelOnly="1" outline="0" fieldPosition="0">
        <references count="9">
          <reference field="0" count="1" selected="0">
            <x v="12"/>
          </reference>
          <reference field="3" count="1">
            <x v="7579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8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24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230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7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22">
      <pivotArea dataOnly="0" labelOnly="1" outline="0" fieldPosition="0">
        <references count="9">
          <reference field="0" count="1" selected="0">
            <x v="14"/>
          </reference>
          <reference field="3" count="1">
            <x v="2970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7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20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19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18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17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79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23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0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05">
      <pivotArea dataOnly="0" labelOnly="1" outline="0" fieldPosition="0">
        <references count="11">
          <reference field="0" count="1" selected="0">
            <x v="12"/>
          </reference>
          <reference field="1" count="1">
            <x v="7273"/>
          </reference>
          <reference field="3" count="1" selected="0">
            <x v="0"/>
          </reference>
          <reference field="5" count="1" selected="0">
            <x v="3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04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2"/>
          </reference>
          <reference field="5" count="1" selected="0">
            <x v="42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03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01"/>
          </reference>
          <reference field="5" count="1" selected="0">
            <x v="40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02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01">
      <pivotArea outline="0" collapsedLevelsAreSubtotals="1" fieldPosition="0"/>
    </format>
    <format dxfId="10700">
      <pivotArea dataOnly="0" labelOnly="1" outline="0" axis="axisValues" fieldPosition="0"/>
    </format>
    <format dxfId="10699">
      <pivotArea dataOnly="0" outline="0" fieldPosition="0">
        <references count="1">
          <reference field="12" count="0" defaultSubtotal="1"/>
        </references>
      </pivotArea>
    </format>
    <format dxfId="10698">
      <pivotArea outline="0" collapsedLevelsAreSubtotals="1" fieldPosition="0"/>
    </format>
    <format dxfId="10697">
      <pivotArea dataOnly="0" labelOnly="1" outline="0" axis="axisValues" fieldPosition="0"/>
    </format>
    <format dxfId="10696">
      <pivotArea outline="0" collapsedLevelsAreSubtotals="1" fieldPosition="0"/>
    </format>
    <format dxfId="10695">
      <pivotArea dataOnly="0" labelOnly="1" outline="0" axis="axisValues" fieldPosition="0"/>
    </format>
    <format dxfId="10694">
      <pivotArea dataOnly="0" labelOnly="1" outline="0" axis="axisValues" fieldPosition="0"/>
    </format>
    <format dxfId="10693">
      <pivotArea outline="0" collapsedLevelsAreSubtotals="1" fieldPosition="0"/>
    </format>
    <format dxfId="10692">
      <pivotArea field="12" type="button" dataOnly="0" labelOnly="1" outline="0" axis="axisRow" fieldPosition="2"/>
    </format>
    <format dxfId="10691">
      <pivotArea field="10" type="button" dataOnly="0" labelOnly="1" outline="0" axis="axisRow" fieldPosition="3"/>
    </format>
    <format dxfId="10690">
      <pivotArea field="16" type="button" dataOnly="0" labelOnly="1" outline="0" axis="axisRow" fieldPosition="4"/>
    </format>
    <format dxfId="10689">
      <pivotArea field="18" type="button" dataOnly="0" labelOnly="1" outline="0" axis="axisRow" fieldPosition="5"/>
    </format>
    <format dxfId="10688">
      <pivotArea field="5" type="button" dataOnly="0" labelOnly="1" outline="0" axis="axisRow" fieldPosition="6"/>
    </format>
    <format dxfId="10687">
      <pivotArea field="9" type="button" dataOnly="0" labelOnly="1" outline="0" axis="axisRow" fieldPosition="7"/>
    </format>
    <format dxfId="10686">
      <pivotArea field="3" type="button" dataOnly="0" labelOnly="1" outline="0" axis="axisRow" fieldPosition="8"/>
    </format>
    <format dxfId="10685">
      <pivotArea field="7" type="button" dataOnly="0" labelOnly="1" outline="0" axis="axisRow" fieldPosition="9"/>
    </format>
    <format dxfId="10684">
      <pivotArea field="1" type="button" dataOnly="0" labelOnly="1" outline="0" axis="axisRow" fieldPosition="10"/>
    </format>
    <format dxfId="10683">
      <pivotArea dataOnly="0" labelOnly="1" outline="0" axis="axisValues" fieldPosition="0"/>
    </format>
    <format dxfId="10682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068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0680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7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7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6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67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06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067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67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6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6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066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06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06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6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6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4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6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6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6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3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106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6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05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05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5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5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05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0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0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5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5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5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0570">
      <pivotArea dataOnly="0" labelOnly="1" outline="0" fieldPosition="0">
        <references count="7">
          <reference field="0" count="1" selected="0">
            <x v="7"/>
          </reference>
          <reference field="5" count="1">
            <x v="761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69">
      <pivotArea dataOnly="0" labelOnly="1" outline="0" fieldPosition="0">
        <references count="7">
          <reference field="0" count="1" selected="0">
            <x v="7"/>
          </reference>
          <reference field="5" count="1">
            <x v="761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68">
      <pivotArea dataOnly="0" labelOnly="1" outline="0" fieldPosition="0">
        <references count="7">
          <reference field="0" count="1" selected="0">
            <x v="10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67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66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565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64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6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62">
      <pivotArea dataOnly="0" labelOnly="1" outline="0" fieldPosition="0">
        <references count="7">
          <reference field="0" count="1" selected="0">
            <x v="10"/>
          </reference>
          <reference field="5" count="1">
            <x v="46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61">
      <pivotArea dataOnly="0" labelOnly="1" outline="0" fieldPosition="0">
        <references count="7">
          <reference field="0" count="1" selected="0">
            <x v="10"/>
          </reference>
          <reference field="5" count="1">
            <x v="68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60">
      <pivotArea dataOnly="0" labelOnly="1" outline="0" fieldPosition="0">
        <references count="7">
          <reference field="0" count="1" selected="0">
            <x v="10"/>
          </reference>
          <reference field="5" count="1">
            <x v="19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59">
      <pivotArea dataOnly="0" labelOnly="1" outline="0" fieldPosition="0">
        <references count="7">
          <reference field="0" count="1" selected="0">
            <x v="10"/>
          </reference>
          <reference field="5" count="1">
            <x v="57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558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57">
      <pivotArea dataOnly="0" labelOnly="1" outline="0" fieldPosition="0">
        <references count="7">
          <reference field="0" count="1" selected="0">
            <x v="10"/>
          </reference>
          <reference field="5" count="1">
            <x v="457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56">
      <pivotArea dataOnly="0" labelOnly="1" outline="0" fieldPosition="0">
        <references count="7">
          <reference field="0" count="1" selected="0">
            <x v="12"/>
          </reference>
          <reference field="5" count="1">
            <x v="76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55">
      <pivotArea dataOnly="0" labelOnly="1" outline="0" fieldPosition="0">
        <references count="7">
          <reference field="0" count="1" selected="0">
            <x v="12"/>
          </reference>
          <reference field="5" count="1">
            <x v="74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554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5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52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51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550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49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48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47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46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4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44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43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42">
      <pivotArea dataOnly="0" labelOnly="1" outline="0" fieldPosition="0">
        <references count="7">
          <reference field="0" count="1" selected="0">
            <x v="15"/>
          </reference>
          <reference field="5" count="1">
            <x v="76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4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24">
      <pivotArea dataOnly="0" labelOnly="1" outline="0" fieldPosition="0">
        <references count="9">
          <reference field="0" count="1" selected="0">
            <x v="7"/>
          </reference>
          <reference field="3" count="1">
            <x v="7594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23">
      <pivotArea dataOnly="0" labelOnly="1" outline="0" fieldPosition="0">
        <references count="9">
          <reference field="0" count="1" selected="0">
            <x v="7"/>
          </reference>
          <reference field="3" count="1">
            <x v="7595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22">
      <pivotArea dataOnly="0" labelOnly="1" outline="0" fieldPosition="0">
        <references count="9">
          <reference field="0" count="1" selected="0">
            <x v="10"/>
          </reference>
          <reference field="3" count="1">
            <x v="7593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21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20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4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1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18">
      <pivotArea dataOnly="0" labelOnly="1" outline="0" fieldPosition="0">
        <references count="9">
          <reference field="0" count="1" selected="0">
            <x v="10"/>
          </reference>
          <reference field="3" count="1">
            <x v="7587"/>
          </reference>
          <reference field="5" count="1" selected="0">
            <x v="1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17">
      <pivotArea dataOnly="0" labelOnly="1" outline="0" fieldPosition="0">
        <references count="9">
          <reference field="0" count="1" selected="0">
            <x v="10"/>
          </reference>
          <reference field="3" count="1">
            <x v="7447"/>
          </reference>
          <reference field="5" count="1" selected="0">
            <x v="5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516">
      <pivotArea dataOnly="0" labelOnly="1" outline="0" fieldPosition="0">
        <references count="9">
          <reference field="0" count="1" selected="0">
            <x v="10"/>
          </reference>
          <reference field="3" count="1">
            <x v="7586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15">
      <pivotArea dataOnly="0" labelOnly="1" outline="0" fieldPosition="0">
        <references count="9">
          <reference field="0" count="1" selected="0">
            <x v="10"/>
          </reference>
          <reference field="3" count="1">
            <x v="7585"/>
          </reference>
          <reference field="5" count="1" selected="0">
            <x v="4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11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510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07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0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05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04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4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3"/>
          </reference>
          <reference field="5" count="1" selected="0">
            <x v="76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8"/>
          </reference>
          <reference field="5" count="1" selected="0">
            <x v="4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7"/>
          </reference>
          <reference field="5" count="1" selected="0">
            <x v="1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6"/>
          </reference>
          <reference field="5" count="1" selected="0">
            <x v="5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6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87">
      <pivotArea dataOnly="0" labelOnly="1" outline="0" fieldPosition="0">
        <references count="11">
          <reference field="0" count="1" selected="0">
            <x v="10"/>
          </reference>
          <reference field="1" count="1">
            <x v="7110"/>
          </reference>
          <reference field="3" count="1" selected="0">
            <x v="7448"/>
          </reference>
          <reference field="5" count="1" selected="0">
            <x v="4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86">
      <pivotArea dataOnly="0" labelOnly="1" outline="0" fieldPosition="0">
        <references count="11">
          <reference field="0" count="1" selected="0">
            <x v="10"/>
          </reference>
          <reference field="1" count="1">
            <x v="7280"/>
          </reference>
          <reference field="3" count="1" selected="0">
            <x v="7587"/>
          </reference>
          <reference field="5" count="1" selected="0">
            <x v="1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85">
      <pivotArea dataOnly="0" labelOnly="1" outline="0" fieldPosition="0">
        <references count="11">
          <reference field="0" count="1" selected="0">
            <x v="12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74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84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83">
      <pivotArea dataOnly="0" labelOnly="1" outline="0" fieldPosition="0">
        <references count="11">
          <reference field="0" count="1" selected="0">
            <x v="15"/>
          </reference>
          <reference field="1" count="1">
            <x v="7277"/>
          </reference>
          <reference field="3" count="1" selected="0">
            <x v="0"/>
          </reference>
          <reference field="5" count="1" selected="0">
            <x v="76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82">
      <pivotArea outline="0" collapsedLevelsAreSubtotals="1" fieldPosition="0"/>
    </format>
    <format dxfId="10481">
      <pivotArea dataOnly="0" labelOnly="1" outline="0" axis="axisValues" fieldPosition="0"/>
    </format>
    <format dxfId="10480">
      <pivotArea dataOnly="0" outline="0" fieldPosition="0">
        <references count="1">
          <reference field="12" count="0" defaultSubtotal="1"/>
        </references>
      </pivotArea>
    </format>
    <format dxfId="10479">
      <pivotArea outline="0" collapsedLevelsAreSubtotals="1" fieldPosition="0"/>
    </format>
    <format dxfId="10478">
      <pivotArea dataOnly="0" labelOnly="1" outline="0" axis="axisValues" fieldPosition="0"/>
    </format>
    <format dxfId="10477">
      <pivotArea outline="0" collapsedLevelsAreSubtotals="1" fieldPosition="0"/>
    </format>
    <format dxfId="10476">
      <pivotArea dataOnly="0" labelOnly="1" outline="0" axis="axisValues" fieldPosition="0"/>
    </format>
    <format dxfId="10475">
      <pivotArea dataOnly="0" labelOnly="1" outline="0" axis="axisValues" fieldPosition="0"/>
    </format>
    <format dxfId="10474">
      <pivotArea outline="0" collapsedLevelsAreSubtotals="1" fieldPosition="0"/>
    </format>
    <format dxfId="10473">
      <pivotArea field="12" type="button" dataOnly="0" labelOnly="1" outline="0" axis="axisRow" fieldPosition="2"/>
    </format>
    <format dxfId="10472">
      <pivotArea field="10" type="button" dataOnly="0" labelOnly="1" outline="0" axis="axisRow" fieldPosition="3"/>
    </format>
    <format dxfId="10471">
      <pivotArea field="16" type="button" dataOnly="0" labelOnly="1" outline="0" axis="axisRow" fieldPosition="4"/>
    </format>
    <format dxfId="10470">
      <pivotArea field="18" type="button" dataOnly="0" labelOnly="1" outline="0" axis="axisRow" fieldPosition="5"/>
    </format>
    <format dxfId="10469">
      <pivotArea field="5" type="button" dataOnly="0" labelOnly="1" outline="0" axis="axisRow" fieldPosition="6"/>
    </format>
    <format dxfId="10468">
      <pivotArea field="9" type="button" dataOnly="0" labelOnly="1" outline="0" axis="axisRow" fieldPosition="7"/>
    </format>
    <format dxfId="10467">
      <pivotArea field="3" type="button" dataOnly="0" labelOnly="1" outline="0" axis="axisRow" fieldPosition="8"/>
    </format>
    <format dxfId="10466">
      <pivotArea field="7" type="button" dataOnly="0" labelOnly="1" outline="0" axis="axisRow" fieldPosition="9"/>
    </format>
    <format dxfId="10465">
      <pivotArea field="1" type="button" dataOnly="0" labelOnly="1" outline="0" axis="axisRow" fieldPosition="10"/>
    </format>
    <format dxfId="10464">
      <pivotArea dataOnly="0" labelOnly="1" outline="0" axis="axisValues" fieldPosition="0"/>
    </format>
    <format dxfId="104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6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046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0459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45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4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5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45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4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4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4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4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4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3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4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4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4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4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4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3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3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03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3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03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0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0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0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03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03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0355">
      <pivotArea dataOnly="0" labelOnly="1" outline="0" fieldPosition="0">
        <references count="7">
          <reference field="0" count="1" selected="0">
            <x v="13"/>
          </reference>
          <reference field="5" count="1">
            <x v="66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54">
      <pivotArea dataOnly="0" labelOnly="1" outline="0" fieldPosition="0">
        <references count="7">
          <reference field="0" count="1" selected="0">
            <x v="13"/>
          </reference>
          <reference field="5" count="1">
            <x v="669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53">
      <pivotArea dataOnly="0" labelOnly="1" outline="0" fieldPosition="0">
        <references count="7">
          <reference field="0" count="1" selected="0">
            <x v="13"/>
          </reference>
          <reference field="5" count="1">
            <x v="669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52">
      <pivotArea dataOnly="0" labelOnly="1" outline="0" fieldPosition="0">
        <references count="7">
          <reference field="0" count="1" selected="0">
            <x v="13"/>
          </reference>
          <reference field="5" count="1">
            <x v="750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51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350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49">
      <pivotArea dataOnly="0" labelOnly="1" outline="0" fieldPosition="0">
        <references count="7">
          <reference field="0" count="1" selected="0">
            <x v="2"/>
          </reference>
          <reference field="5" count="1">
            <x v="669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48">
      <pivotArea dataOnly="0" labelOnly="1" outline="0" fieldPosition="0">
        <references count="7">
          <reference field="0" count="1" selected="0">
            <x v="2"/>
          </reference>
          <reference field="5" count="1">
            <x v="6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47">
      <pivotArea dataOnly="0" labelOnly="1" outline="0" fieldPosition="0">
        <references count="7">
          <reference field="0" count="1" selected="0">
            <x v="2"/>
          </reference>
          <reference field="5" count="1">
            <x v="66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346">
      <pivotArea dataOnly="0" labelOnly="1" outline="0" fieldPosition="0">
        <references count="7">
          <reference field="0" count="1" selected="0">
            <x v="2"/>
          </reference>
          <reference field="5" count="1">
            <x v="6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345">
      <pivotArea dataOnly="0" labelOnly="1" outline="0" fieldPosition="0">
        <references count="7">
          <reference field="0" count="1" selected="0">
            <x v="2"/>
          </reference>
          <reference field="5" count="1">
            <x v="66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344">
      <pivotArea dataOnly="0" labelOnly="1" outline="0" fieldPosition="0">
        <references count="7">
          <reference field="0" count="1" selected="0">
            <x v="2"/>
          </reference>
          <reference field="5" count="1">
            <x v="669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43">
      <pivotArea dataOnly="0" labelOnly="1" outline="0" fieldPosition="0">
        <references count="7">
          <reference field="0" count="1" selected="0">
            <x v="2"/>
          </reference>
          <reference field="5" count="1">
            <x v="669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342">
      <pivotArea dataOnly="0" labelOnly="1" outline="0" fieldPosition="0">
        <references count="7">
          <reference field="0" count="1" selected="0">
            <x v="12"/>
          </reference>
          <reference field="5" count="1">
            <x v="66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41">
      <pivotArea dataOnly="0" labelOnly="1" outline="0" fieldPosition="0">
        <references count="7">
          <reference field="0" count="1" selected="0">
            <x v="12"/>
          </reference>
          <reference field="5" count="1">
            <x v="24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40">
      <pivotArea dataOnly="0" labelOnly="1" outline="0" fieldPosition="0">
        <references count="7">
          <reference field="0" count="1" selected="0">
            <x v="12"/>
          </reference>
          <reference field="5" count="1">
            <x v="66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339">
      <pivotArea dataOnly="0" labelOnly="1" outline="0" fieldPosition="0">
        <references count="7">
          <reference field="0" count="1" selected="0">
            <x v="13"/>
          </reference>
          <reference field="5" count="1">
            <x v="66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38">
      <pivotArea dataOnly="0" labelOnly="1" outline="0" fieldPosition="0">
        <references count="7">
          <reference field="0" count="1" selected="0">
            <x v="13"/>
          </reference>
          <reference field="5" count="1">
            <x v="578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37">
      <pivotArea dataOnly="0" labelOnly="1" outline="0" fieldPosition="0">
        <references count="7">
          <reference field="0" count="1" selected="0">
            <x v="13"/>
          </reference>
          <reference field="5" count="1">
            <x v="669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36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35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34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33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32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31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30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29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28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27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26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25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324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23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22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21">
      <pivotArea dataOnly="0" labelOnly="1" outline="0" fieldPosition="0">
        <references count="7">
          <reference field="0" count="1" selected="0">
            <x v="15"/>
          </reference>
          <reference field="5" count="1">
            <x v="16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20">
      <pivotArea dataOnly="0" labelOnly="1" outline="0" fieldPosition="0">
        <references count="7">
          <reference field="0" count="1" selected="0">
            <x v="15"/>
          </reference>
          <reference field="5" count="1">
            <x v="1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319">
      <pivotArea dataOnly="0" labelOnly="1" outline="0" fieldPosition="0">
        <references count="7">
          <reference field="0" count="1" selected="0">
            <x v="15"/>
          </reference>
          <reference field="5" count="1">
            <x v="7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18">
      <pivotArea dataOnly="0" labelOnly="1" outline="0" fieldPosition="0">
        <references count="7">
          <reference field="0" count="1" selected="0">
            <x v="15"/>
          </reference>
          <reference field="5" count="1">
            <x v="66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3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3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0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3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0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2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2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86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66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285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8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8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82">
      <pivotArea dataOnly="0" labelOnly="1" outline="0" fieldPosition="0">
        <references count="9">
          <reference field="0" count="1" selected="0">
            <x v="2"/>
          </reference>
          <reference field="3" count="1">
            <x v="7605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28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8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27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7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9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75">
      <pivotArea dataOnly="0" labelOnly="1" outline="0" fieldPosition="0">
        <references count="9">
          <reference field="0" count="1" selected="0">
            <x v="13"/>
          </reference>
          <reference field="3" count="1">
            <x v="7578"/>
          </reference>
          <reference field="5" count="1" selected="0">
            <x v="66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7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71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669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9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69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6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67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02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66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65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63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62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66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61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58">
      <pivotArea dataOnly="0" labelOnly="1" outline="0" fieldPosition="0">
        <references count="9">
          <reference field="0" count="1" selected="0">
            <x v="14"/>
          </reference>
          <reference field="3" count="2">
            <x v="7573"/>
            <x v="7575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57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256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255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54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16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5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2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2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78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0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6"/>
          </reference>
          <reference field="5" count="1" selected="0">
            <x v="16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21">
      <pivotArea dataOnly="0" labelOnly="1" outline="0" fieldPosition="0">
        <references count="11">
          <reference field="0" count="1" selected="0">
            <x v="14"/>
          </reference>
          <reference field="1" count="1">
            <x v="7289"/>
          </reference>
          <reference field="3" count="1" selected="0">
            <x v="7597"/>
          </reference>
          <reference field="5" count="1" selected="0">
            <x v="66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220">
      <pivotArea dataOnly="0" labelOnly="1" outline="0" fieldPosition="0">
        <references count="11">
          <reference field="0" count="1" selected="0">
            <x v="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66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19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605"/>
          </reference>
          <reference field="5" count="1" selected="0">
            <x v="6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218">
      <pivotArea dataOnly="0" labelOnly="1" outline="0" fieldPosition="0">
        <references count="11">
          <reference field="0" count="1" selected="0">
            <x v="2"/>
          </reference>
          <reference field="1" count="1">
            <x v="7294"/>
          </reference>
          <reference field="3" count="1" selected="0">
            <x v="0"/>
          </reference>
          <reference field="5" count="1" selected="0">
            <x v="66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17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66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16">
      <pivotArea dataOnly="0" labelOnly="1" outline="0" fieldPosition="0">
        <references count="11">
          <reference field="0" count="1" selected="0">
            <x v="12"/>
          </reference>
          <reference field="1" count="1">
            <x v="7293"/>
          </reference>
          <reference field="3" count="1" selected="0">
            <x v="0"/>
          </reference>
          <reference field="5" count="1" selected="0">
            <x v="24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15">
      <pivotArea dataOnly="0" labelOnly="1" outline="0" fieldPosition="0">
        <references count="11">
          <reference field="0" count="1" selected="0">
            <x v="13"/>
          </reference>
          <reference field="1" count="1">
            <x v="7272"/>
          </reference>
          <reference field="3" count="1" selected="0">
            <x v="7578"/>
          </reference>
          <reference field="5" count="1" selected="0">
            <x v="66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14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2"/>
          </reference>
          <reference field="5" count="1" selected="0">
            <x v="6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13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99"/>
          </reference>
          <reference field="5" count="1" selected="0">
            <x v="66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12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2"/>
          </reference>
          <reference field="5" count="1" selected="0">
            <x v="6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11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01"/>
          </reference>
          <reference field="5" count="1" selected="0">
            <x v="66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10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09">
      <pivotArea dataOnly="0" labelOnly="1" outline="0" fieldPosition="0">
        <references count="11">
          <reference field="0" count="1" selected="0">
            <x v="15"/>
          </reference>
          <reference field="1" count="1">
            <x v="7277"/>
          </reference>
          <reference field="3" count="1" selected="0">
            <x v="0"/>
          </reference>
          <reference field="5" count="1" selected="0">
            <x v="66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08">
      <pivotArea dataOnly="0" labelOnly="1" outline="0" fieldPosition="0">
        <references count="11">
          <reference field="0" count="1" selected="0">
            <x v="15"/>
          </reference>
          <reference field="1" count="2">
            <x v="7287"/>
            <x v="7288"/>
          </reference>
          <reference field="3" count="1" selected="0">
            <x v="0"/>
          </reference>
          <reference field="5" count="1" selected="0">
            <x v="66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07">
      <pivotArea outline="0" collapsedLevelsAreSubtotals="1" fieldPosition="0"/>
    </format>
    <format dxfId="10206">
      <pivotArea dataOnly="0" labelOnly="1" outline="0" axis="axisValues" fieldPosition="0"/>
    </format>
    <format dxfId="10205">
      <pivotArea dataOnly="0" outline="0" fieldPosition="0">
        <references count="1">
          <reference field="12" count="0" defaultSubtotal="1"/>
        </references>
      </pivotArea>
    </format>
    <format dxfId="10204">
      <pivotArea outline="0" collapsedLevelsAreSubtotals="1" fieldPosition="0"/>
    </format>
    <format dxfId="10203">
      <pivotArea dataOnly="0" labelOnly="1" outline="0" axis="axisValues" fieldPosition="0"/>
    </format>
    <format dxfId="10202">
      <pivotArea outline="0" collapsedLevelsAreSubtotals="1" fieldPosition="0"/>
    </format>
    <format dxfId="10201">
      <pivotArea dataOnly="0" labelOnly="1" outline="0" axis="axisValues" fieldPosition="0"/>
    </format>
    <format dxfId="10200">
      <pivotArea dataOnly="0" labelOnly="1" outline="0" axis="axisValues" fieldPosition="0"/>
    </format>
    <format dxfId="10199">
      <pivotArea outline="0" collapsedLevelsAreSubtotals="1" fieldPosition="0"/>
    </format>
    <format dxfId="10198">
      <pivotArea field="12" type="button" dataOnly="0" labelOnly="1" outline="0" axis="axisRow" fieldPosition="2"/>
    </format>
    <format dxfId="10197">
      <pivotArea field="10" type="button" dataOnly="0" labelOnly="1" outline="0" axis="axisRow" fieldPosition="3"/>
    </format>
    <format dxfId="10196">
      <pivotArea field="16" type="button" dataOnly="0" labelOnly="1" outline="0" axis="axisRow" fieldPosition="4"/>
    </format>
    <format dxfId="10195">
      <pivotArea field="18" type="button" dataOnly="0" labelOnly="1" outline="0" axis="axisRow" fieldPosition="5"/>
    </format>
    <format dxfId="10194">
      <pivotArea field="5" type="button" dataOnly="0" labelOnly="1" outline="0" axis="axisRow" fieldPosition="6"/>
    </format>
    <format dxfId="10193">
      <pivotArea field="9" type="button" dataOnly="0" labelOnly="1" outline="0" axis="axisRow" fieldPosition="7"/>
    </format>
    <format dxfId="10192">
      <pivotArea field="3" type="button" dataOnly="0" labelOnly="1" outline="0" axis="axisRow" fieldPosition="8"/>
    </format>
    <format dxfId="10191">
      <pivotArea field="7" type="button" dataOnly="0" labelOnly="1" outline="0" axis="axisRow" fieldPosition="9"/>
    </format>
    <format dxfId="10190">
      <pivotArea field="1" type="button" dataOnly="0" labelOnly="1" outline="0" axis="axisRow" fieldPosition="10"/>
    </format>
    <format dxfId="10189">
      <pivotArea dataOnly="0" labelOnly="1" outline="0" axis="axisValues" fieldPosition="0"/>
    </format>
    <format dxfId="101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1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18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01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0184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18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1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7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17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1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7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1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1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1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1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6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1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1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1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1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1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1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1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1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1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1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01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1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01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0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0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0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0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00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0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0080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7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078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77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7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75">
      <pivotArea dataOnly="0" labelOnly="1" outline="0" fieldPosition="0">
        <references count="7">
          <reference field="0" count="1" selected="0">
            <x v="2"/>
          </reference>
          <reference field="5" count="1">
            <x v="762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74">
      <pivotArea dataOnly="0" labelOnly="1" outline="0" fieldPosition="0">
        <references count="7">
          <reference field="0" count="1" selected="0">
            <x v="2"/>
          </reference>
          <reference field="5" count="1">
            <x v="75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73">
      <pivotArea dataOnly="0" labelOnly="1" outline="0" fieldPosition="0">
        <references count="7">
          <reference field="0" count="1" selected="0">
            <x v="2"/>
          </reference>
          <reference field="5" count="1">
            <x v="43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072">
      <pivotArea dataOnly="0" labelOnly="1" outline="0" fieldPosition="0">
        <references count="7">
          <reference field="0" count="1" selected="0">
            <x v="2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71">
      <pivotArea dataOnly="0" labelOnly="1" outline="0" fieldPosition="0">
        <references count="7">
          <reference field="0" count="1" selected="0">
            <x v="2"/>
          </reference>
          <reference field="5" count="1">
            <x v="76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70">
      <pivotArea dataOnly="0" labelOnly="1" outline="0" fieldPosition="0">
        <references count="7">
          <reference field="0" count="1" selected="0">
            <x v="2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069">
      <pivotArea dataOnly="0" labelOnly="1" outline="0" fieldPosition="0">
        <references count="7">
          <reference field="0" count="1" selected="0">
            <x v="2"/>
          </reference>
          <reference field="5" count="1">
            <x v="200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68">
      <pivotArea dataOnly="0" labelOnly="1" outline="0" fieldPosition="0">
        <references count="7">
          <reference field="0" count="1" selected="0">
            <x v="2"/>
          </reference>
          <reference field="5" count="1">
            <x v="75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67">
      <pivotArea dataOnly="0" labelOnly="1" outline="0" fieldPosition="0">
        <references count="7">
          <reference field="0" count="1" selected="0">
            <x v="12"/>
          </reference>
          <reference field="5" count="1">
            <x v="76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66">
      <pivotArea dataOnly="0" labelOnly="1" outline="0" fieldPosition="0">
        <references count="7">
          <reference field="0" count="1" selected="0">
            <x v="12"/>
          </reference>
          <reference field="5" count="1">
            <x v="76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65">
      <pivotArea dataOnly="0" labelOnly="1" outline="0" fieldPosition="0">
        <references count="7">
          <reference field="0" count="1" selected="0">
            <x v="12"/>
          </reference>
          <reference field="5" count="1">
            <x v="76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64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6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62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61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60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59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58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57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56">
      <pivotArea dataOnly="0" labelOnly="1" outline="0" fieldPosition="0">
        <references count="7">
          <reference field="0" count="1" selected="0">
            <x v="14"/>
          </reference>
          <reference field="5" count="1">
            <x v="7623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55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5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053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52">
      <pivotArea dataOnly="0" labelOnly="1" outline="0" fieldPosition="0">
        <references count="7">
          <reference field="0" count="1" selected="0">
            <x v="15"/>
          </reference>
          <reference field="5" count="1">
            <x v="76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51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050">
      <pivotArea dataOnly="0" labelOnly="1" outline="0" fieldPosition="0">
        <references count="7">
          <reference field="0" count="1" selected="0">
            <x v="15"/>
          </reference>
          <reference field="5" count="2">
            <x v="7605"/>
            <x v="76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049">
      <pivotArea dataOnly="0" labelOnly="1" outline="0" fieldPosition="0">
        <references count="7">
          <reference field="0" count="1" selected="0">
            <x v="15"/>
          </reference>
          <reference field="5" count="1">
            <x v="76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48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0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0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029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2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2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26">
      <pivotArea dataOnly="0" labelOnly="1" outline="0" fieldPosition="0">
        <references count="9">
          <reference field="0" count="1" selected="0">
            <x v="2"/>
          </reference>
          <reference field="3" count="1">
            <x v="7605"/>
          </reference>
          <reference field="5" count="1" selected="0">
            <x v="4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025">
      <pivotArea dataOnly="0" labelOnly="1" outline="0" fieldPosition="0">
        <references count="9">
          <reference field="0" count="1" selected="0">
            <x v="2"/>
          </reference>
          <reference field="3" count="1">
            <x v="7604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2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2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02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16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14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12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11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10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009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08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76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5"/>
          </reference>
          <reference field="5" count="1" selected="0">
            <x v="4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0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4"/>
          </reference>
          <reference field="5" count="1" selected="0">
            <x v="6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0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6"/>
          </reference>
          <reference field="5" count="1" selected="0">
            <x v="76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87">
      <pivotArea dataOnly="0" labelOnly="1" outline="0" fieldPosition="0">
        <references count="11">
          <reference field="0" count="1" selected="0">
            <x v="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76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86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605"/>
          </reference>
          <reference field="5" count="1" selected="0">
            <x v="4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985">
      <pivotArea dataOnly="0" labelOnly="1" outline="0" fieldPosition="0">
        <references count="11">
          <reference field="0" count="1" selected="0">
            <x v="2"/>
          </reference>
          <reference field="1" count="1">
            <x v="7294"/>
          </reference>
          <reference field="3" count="1" selected="0">
            <x v="0"/>
          </reference>
          <reference field="5" count="1" selected="0">
            <x v="7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84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2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83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2"/>
          </reference>
          <reference field="5" count="1" selected="0">
            <x v="7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82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01"/>
          </reference>
          <reference field="5" count="1" selected="0">
            <x v="40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81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80">
      <pivotArea dataOnly="0" labelOnly="1" outline="0" fieldPosition="0">
        <references count="11">
          <reference field="0" count="1" selected="0">
            <x v="15"/>
          </reference>
          <reference field="1" count="1">
            <x v="7277"/>
          </reference>
          <reference field="3" count="1" selected="0">
            <x v="0"/>
          </reference>
          <reference field="5" count="1" selected="0">
            <x v="76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79">
      <pivotArea outline="0" collapsedLevelsAreSubtotals="1" fieldPosition="0"/>
    </format>
    <format dxfId="9978">
      <pivotArea dataOnly="0" labelOnly="1" outline="0" axis="axisValues" fieldPosition="0"/>
    </format>
    <format dxfId="9977">
      <pivotArea dataOnly="0" outline="0" fieldPosition="0">
        <references count="1">
          <reference field="12" count="0" defaultSubtotal="1"/>
        </references>
      </pivotArea>
    </format>
    <format dxfId="9976">
      <pivotArea outline="0" collapsedLevelsAreSubtotals="1" fieldPosition="0"/>
    </format>
    <format dxfId="9975">
      <pivotArea dataOnly="0" labelOnly="1" outline="0" axis="axisValues" fieldPosition="0"/>
    </format>
    <format dxfId="9974">
      <pivotArea outline="0" collapsedLevelsAreSubtotals="1" fieldPosition="0"/>
    </format>
    <format dxfId="9973">
      <pivotArea dataOnly="0" labelOnly="1" outline="0" axis="axisValues" fieldPosition="0"/>
    </format>
    <format dxfId="9972">
      <pivotArea dataOnly="0" labelOnly="1" outline="0" axis="axisValues" fieldPosition="0"/>
    </format>
    <format dxfId="9971">
      <pivotArea outline="0" collapsedLevelsAreSubtotals="1" fieldPosition="0"/>
    </format>
    <format dxfId="9970">
      <pivotArea field="12" type="button" dataOnly="0" labelOnly="1" outline="0" axis="axisRow" fieldPosition="2"/>
    </format>
    <format dxfId="9969">
      <pivotArea field="10" type="button" dataOnly="0" labelOnly="1" outline="0" axis="axisRow" fieldPosition="3"/>
    </format>
    <format dxfId="9968">
      <pivotArea field="16" type="button" dataOnly="0" labelOnly="1" outline="0" axis="axisRow" fieldPosition="4"/>
    </format>
    <format dxfId="9967">
      <pivotArea field="18" type="button" dataOnly="0" labelOnly="1" outline="0" axis="axisRow" fieldPosition="5"/>
    </format>
    <format dxfId="9966">
      <pivotArea field="5" type="button" dataOnly="0" labelOnly="1" outline="0" axis="axisRow" fieldPosition="6"/>
    </format>
    <format dxfId="9965">
      <pivotArea field="9" type="button" dataOnly="0" labelOnly="1" outline="0" axis="axisRow" fieldPosition="7"/>
    </format>
    <format dxfId="9964">
      <pivotArea field="3" type="button" dataOnly="0" labelOnly="1" outline="0" axis="axisRow" fieldPosition="8"/>
    </format>
    <format dxfId="9963">
      <pivotArea field="7" type="button" dataOnly="0" labelOnly="1" outline="0" axis="axisRow" fieldPosition="9"/>
    </format>
    <format dxfId="9962">
      <pivotArea field="1" type="button" dataOnly="0" labelOnly="1" outline="0" axis="axisRow" fieldPosition="10"/>
    </format>
    <format dxfId="9961">
      <pivotArea dataOnly="0" labelOnly="1" outline="0" axis="axisValues" fieldPosition="0"/>
    </format>
    <format dxfId="99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9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95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95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956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9955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995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9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9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4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94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9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4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9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94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94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9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9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9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9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9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9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91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9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9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9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98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8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88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88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8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9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8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98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863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862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861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86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859">
      <pivotArea dataOnly="0" labelOnly="1" outline="0" fieldPosition="0">
        <references count="7">
          <reference field="0" count="1" selected="0">
            <x v="0"/>
          </reference>
          <reference field="5" count="1">
            <x v="20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58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57">
      <pivotArea dataOnly="0" labelOnly="1" outline="0" fieldPosition="0">
        <references count="7">
          <reference field="0" count="1" selected="0">
            <x v="0"/>
          </reference>
          <reference field="5" count="2">
            <x v="2309"/>
            <x v="75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56">
      <pivotArea dataOnly="0" labelOnly="1" outline="0" fieldPosition="0">
        <references count="7">
          <reference field="0" count="1" selected="0">
            <x v="0"/>
          </reference>
          <reference field="5" count="1">
            <x v="57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55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854">
      <pivotArea dataOnly="0" labelOnly="1" outline="0" fieldPosition="0">
        <references count="7">
          <reference field="0" count="1" selected="0">
            <x v="12"/>
          </reference>
          <reference field="5" count="2">
            <x v="7223"/>
            <x v="76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53">
      <pivotArea dataOnly="0" labelOnly="1" outline="0" fieldPosition="0">
        <references count="7">
          <reference field="0" count="1" selected="0">
            <x v="12"/>
          </reference>
          <reference field="5" count="1">
            <x v="76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52">
      <pivotArea dataOnly="0" labelOnly="1" outline="0" fieldPosition="0">
        <references count="7">
          <reference field="0" count="1" selected="0">
            <x v="12"/>
          </reference>
          <reference field="5" count="1">
            <x v="67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851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50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49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48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47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46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845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844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43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42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41">
      <pivotArea dataOnly="0" labelOnly="1" outline="0" fieldPosition="0">
        <references count="7">
          <reference field="0" count="1" selected="0">
            <x v="14"/>
          </reference>
          <reference field="5" count="1">
            <x v="762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40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83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838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37">
      <pivotArea dataOnly="0" labelOnly="1" outline="0" fieldPosition="0">
        <references count="7">
          <reference field="0" count="1" selected="0">
            <x v="15"/>
          </reference>
          <reference field="5" count="1">
            <x v="76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36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835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34">
      <pivotArea dataOnly="0" labelOnly="1" outline="0" fieldPosition="0">
        <references count="7">
          <reference field="0" count="1" selected="0">
            <x v="15"/>
          </reference>
          <reference field="5" count="1">
            <x v="75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83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3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8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3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8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812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811">
      <pivotArea dataOnly="0" labelOnly="1" outline="0" fieldPosition="0">
        <references count="9">
          <reference field="0" count="1" selected="0">
            <x v="0"/>
          </reference>
          <reference field="3" count="1">
            <x v="7322"/>
          </reference>
          <reference field="5" count="1" selected="0">
            <x v="20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1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09">
      <pivotArea dataOnly="0" labelOnly="1" outline="0" fieldPosition="0">
        <references count="9">
          <reference field="0" count="1" selected="0">
            <x v="0"/>
          </reference>
          <reference field="3" count="1">
            <x v="7522"/>
          </reference>
          <reference field="5" count="1" selected="0">
            <x v="23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0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07">
      <pivotArea dataOnly="0" labelOnly="1" outline="0" fieldPosition="0">
        <references count="9">
          <reference field="0" count="1" selected="0">
            <x v="0"/>
          </reference>
          <reference field="3" count="1">
            <x v="7323"/>
          </reference>
          <reference field="5" count="1" selected="0">
            <x v="5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06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8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01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00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99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798">
      <pivotArea dataOnly="0" labelOnly="1" outline="0" fieldPosition="0">
        <references count="9">
          <reference field="0" count="1" selected="0">
            <x v="14"/>
          </reference>
          <reference field="3" count="1">
            <x v="7609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7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9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93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92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7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90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76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78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22"/>
          </reference>
          <reference field="5" count="1" selected="0">
            <x v="2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8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8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22"/>
          </reference>
          <reference field="5" count="1" selected="0">
            <x v="2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78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7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7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7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9"/>
          </reference>
          <reference field="5" count="1" selected="0">
            <x v="76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6"/>
          </reference>
          <reference field="5" count="1" selected="0">
            <x v="76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69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68">
      <pivotArea dataOnly="0" labelOnly="1" outline="0" fieldPosition="0">
        <references count="11">
          <reference field="0" count="1" selected="0">
            <x v="0"/>
          </reference>
          <reference field="1" count="1">
            <x v="7304"/>
          </reference>
          <reference field="3" count="1" selected="0">
            <x v="7522"/>
          </reference>
          <reference field="5" count="1" selected="0">
            <x v="23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767">
      <pivotArea dataOnly="0" labelOnly="1" outline="0" fieldPosition="0">
        <references count="11">
          <reference field="0" count="1" selected="0">
            <x v="7"/>
          </reference>
          <reference field="1" count="1">
            <x v="7303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766">
      <pivotArea dataOnly="0" labelOnly="1" outline="0" fieldPosition="0">
        <references count="11">
          <reference field="0" count="1" selected="0">
            <x v="12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6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765">
      <pivotArea dataOnly="0" labelOnly="1" outline="0" fieldPosition="0">
        <references count="11">
          <reference field="0" count="1" selected="0">
            <x v="14"/>
          </reference>
          <reference field="1" count="1">
            <x v="7300"/>
          </reference>
          <reference field="3" count="1" selected="0">
            <x v="7609"/>
          </reference>
          <reference field="5" count="1" selected="0">
            <x v="76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764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63">
      <pivotArea dataOnly="0" labelOnly="1" outline="0" fieldPosition="0">
        <references count="11">
          <reference field="0" count="1" selected="0">
            <x v="15"/>
          </reference>
          <reference field="1" count="1">
            <x v="7277"/>
          </reference>
          <reference field="3" count="1" selected="0">
            <x v="0"/>
          </reference>
          <reference field="5" count="1" selected="0">
            <x v="76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62">
      <pivotArea outline="0" collapsedLevelsAreSubtotals="1" fieldPosition="0"/>
    </format>
    <format dxfId="9761">
      <pivotArea dataOnly="0" labelOnly="1" outline="0" axis="axisValues" fieldPosition="0"/>
    </format>
    <format dxfId="9760">
      <pivotArea dataOnly="0" outline="0" fieldPosition="0">
        <references count="1">
          <reference field="12" count="0" defaultSubtotal="1"/>
        </references>
      </pivotArea>
    </format>
    <format dxfId="9759">
      <pivotArea outline="0" collapsedLevelsAreSubtotals="1" fieldPosition="0"/>
    </format>
    <format dxfId="9758">
      <pivotArea dataOnly="0" labelOnly="1" outline="0" axis="axisValues" fieldPosition="0"/>
    </format>
    <format dxfId="9757">
      <pivotArea outline="0" collapsedLevelsAreSubtotals="1" fieldPosition="0"/>
    </format>
    <format dxfId="9756">
      <pivotArea dataOnly="0" labelOnly="1" outline="0" axis="axisValues" fieldPosition="0"/>
    </format>
    <format dxfId="9755">
      <pivotArea dataOnly="0" labelOnly="1" outline="0" axis="axisValues" fieldPosition="0"/>
    </format>
    <format dxfId="9754">
      <pivotArea outline="0" collapsedLevelsAreSubtotals="1" fieldPosition="0"/>
    </format>
    <format dxfId="9753">
      <pivotArea field="12" type="button" dataOnly="0" labelOnly="1" outline="0" axis="axisRow" fieldPosition="2"/>
    </format>
    <format dxfId="9752">
      <pivotArea field="10" type="button" dataOnly="0" labelOnly="1" outline="0" axis="axisRow" fieldPosition="3"/>
    </format>
    <format dxfId="9751">
      <pivotArea field="16" type="button" dataOnly="0" labelOnly="1" outline="0" axis="axisRow" fieldPosition="4"/>
    </format>
    <format dxfId="9750">
      <pivotArea field="18" type="button" dataOnly="0" labelOnly="1" outline="0" axis="axisRow" fieldPosition="5"/>
    </format>
    <format dxfId="9749">
      <pivotArea field="5" type="button" dataOnly="0" labelOnly="1" outline="0" axis="axisRow" fieldPosition="6"/>
    </format>
    <format dxfId="9748">
      <pivotArea field="9" type="button" dataOnly="0" labelOnly="1" outline="0" axis="axisRow" fieldPosition="7"/>
    </format>
    <format dxfId="9747">
      <pivotArea field="3" type="button" dataOnly="0" labelOnly="1" outline="0" axis="axisRow" fieldPosition="8"/>
    </format>
    <format dxfId="9746">
      <pivotArea field="7" type="button" dataOnly="0" labelOnly="1" outline="0" axis="axisRow" fieldPosition="9"/>
    </format>
    <format dxfId="9745">
      <pivotArea field="1" type="button" dataOnly="0" labelOnly="1" outline="0" axis="axisRow" fieldPosition="10"/>
    </format>
    <format dxfId="9744">
      <pivotArea dataOnly="0" labelOnly="1" outline="0" axis="axisValues" fieldPosition="0"/>
    </format>
    <format dxfId="97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7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74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974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97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3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73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7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3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7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2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7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71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7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7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7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71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6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9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9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6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96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6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66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59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58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57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65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55">
      <pivotArea dataOnly="0" labelOnly="1" outline="0" fieldPosition="0">
        <references count="7">
          <reference field="0" count="1" selected="0">
            <x v="12"/>
          </reference>
          <reference field="5" count="1">
            <x v="7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54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5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52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51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50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49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48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47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46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45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44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643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4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641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40">
      <pivotArea dataOnly="0" labelOnly="1" outline="0" fieldPosition="0">
        <references count="7">
          <reference field="0" count="1" selected="0">
            <x v="15"/>
          </reference>
          <reference field="5" count="1">
            <x v="76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39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38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637">
      <pivotArea dataOnly="0" labelOnly="1" outline="0" fieldPosition="0">
        <references count="7">
          <reference field="0" count="1" selected="0">
            <x v="15"/>
          </reference>
          <reference field="5" count="1">
            <x v="1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36">
      <pivotArea dataOnly="0" labelOnly="1" outline="0" fieldPosition="0">
        <references count="7">
          <reference field="0" count="1" selected="0">
            <x v="15"/>
          </reference>
          <reference field="5" count="1">
            <x v="76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17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616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11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10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07">
      <pivotArea dataOnly="0" labelOnly="1" outline="0" fieldPosition="0">
        <references count="9">
          <reference field="0" count="1" selected="0">
            <x v="14"/>
          </reference>
          <reference field="3" count="1">
            <x v="7619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06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05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60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03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02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601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00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76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99">
      <pivotArea dataOnly="0" labelOnly="1" outline="0" fieldPosition="0">
        <references count="9">
          <reference field="0" count="1" selected="0">
            <x v="15"/>
          </reference>
          <reference field="3" count="1">
            <x v="7617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598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12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2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9"/>
          </reference>
          <reference field="5" count="1" selected="0">
            <x v="76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7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6"/>
          </reference>
          <reference field="5" count="1" selected="0">
            <x v="76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7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5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78">
      <pivotArea dataOnly="0" labelOnly="1" outline="0" fieldPosition="0">
        <references count="11">
          <reference field="0" count="1" selected="0">
            <x v="12"/>
          </reference>
          <reference field="1" count="1">
            <x v="7316"/>
          </reference>
          <reference field="3" count="1" selected="0">
            <x v="0"/>
          </reference>
          <reference field="5" count="1" selected="0">
            <x v="7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77">
      <pivotArea dataOnly="0" labelOnly="1" outline="0" fieldPosition="0">
        <references count="11">
          <reference field="0" count="1" selected="0">
            <x v="14"/>
          </reference>
          <reference field="1" count="1">
            <x v="7310"/>
          </reference>
          <reference field="3" count="1" selected="0">
            <x v="2"/>
          </reference>
          <reference field="5" count="1" selected="0">
            <x v="76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76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7619"/>
          </reference>
          <reference field="5" count="1" selected="0">
            <x v="763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75">
      <pivotArea dataOnly="0" labelOnly="1" outline="0" fieldPosition="0">
        <references count="11">
          <reference field="0" count="1" selected="0">
            <x v="14"/>
          </reference>
          <reference field="1" count="1">
            <x v="7313"/>
          </reference>
          <reference field="3" count="1" selected="0">
            <x v="7621"/>
          </reference>
          <reference field="5" count="1" selected="0">
            <x v="7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74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73">
      <pivotArea dataOnly="0" labelOnly="1" outline="0" fieldPosition="0">
        <references count="11">
          <reference field="0" count="1" selected="0">
            <x v="14"/>
          </reference>
          <reference field="1" count="1">
            <x v="7314"/>
          </reference>
          <reference field="3" count="1" selected="0">
            <x v="7623"/>
          </reference>
          <reference field="5" count="1" selected="0">
            <x v="23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72">
      <pivotArea dataOnly="0" labelOnly="1" outline="0" fieldPosition="0">
        <references count="11">
          <reference field="0" count="1" selected="0">
            <x v="15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71">
      <pivotArea outline="0" collapsedLevelsAreSubtotals="1" fieldPosition="0"/>
    </format>
    <format dxfId="9570">
      <pivotArea dataOnly="0" labelOnly="1" outline="0" axis="axisValues" fieldPosition="0"/>
    </format>
    <format dxfId="9569">
      <pivotArea dataOnly="0" outline="0" fieldPosition="0">
        <references count="1">
          <reference field="12" count="0" defaultSubtotal="1"/>
        </references>
      </pivotArea>
    </format>
    <format dxfId="9568">
      <pivotArea outline="0" collapsedLevelsAreSubtotals="1" fieldPosition="0"/>
    </format>
    <format dxfId="9567">
      <pivotArea dataOnly="0" labelOnly="1" outline="0" axis="axisValues" fieldPosition="0"/>
    </format>
    <format dxfId="9566">
      <pivotArea outline="0" collapsedLevelsAreSubtotals="1" fieldPosition="0"/>
    </format>
    <format dxfId="9565">
      <pivotArea dataOnly="0" labelOnly="1" outline="0" axis="axisValues" fieldPosition="0"/>
    </format>
    <format dxfId="9564">
      <pivotArea dataOnly="0" labelOnly="1" outline="0" axis="axisValues" fieldPosition="0"/>
    </format>
    <format dxfId="9563">
      <pivotArea outline="0" collapsedLevelsAreSubtotals="1" fieldPosition="0"/>
    </format>
    <format dxfId="9562">
      <pivotArea field="12" type="button" dataOnly="0" labelOnly="1" outline="0" axis="axisRow" fieldPosition="2"/>
    </format>
    <format dxfId="9561">
      <pivotArea field="10" type="button" dataOnly="0" labelOnly="1" outline="0" axis="axisRow" fieldPosition="3"/>
    </format>
    <format dxfId="9560">
      <pivotArea field="16" type="button" dataOnly="0" labelOnly="1" outline="0" axis="axisRow" fieldPosition="4"/>
    </format>
    <format dxfId="9559">
      <pivotArea field="18" type="button" dataOnly="0" labelOnly="1" outline="0" axis="axisRow" fieldPosition="5"/>
    </format>
    <format dxfId="9558">
      <pivotArea field="5" type="button" dataOnly="0" labelOnly="1" outline="0" axis="axisRow" fieldPosition="6"/>
    </format>
    <format dxfId="9557">
      <pivotArea field="9" type="button" dataOnly="0" labelOnly="1" outline="0" axis="axisRow" fieldPosition="7"/>
    </format>
    <format dxfId="9556">
      <pivotArea field="3" type="button" dataOnly="0" labelOnly="1" outline="0" axis="axisRow" fieldPosition="8"/>
    </format>
    <format dxfId="9555">
      <pivotArea field="7" type="button" dataOnly="0" labelOnly="1" outline="0" axis="axisRow" fieldPosition="9"/>
    </format>
    <format dxfId="9554">
      <pivotArea field="1" type="button" dataOnly="0" labelOnly="1" outline="0" axis="axisRow" fieldPosition="10"/>
    </format>
    <format dxfId="9553">
      <pivotArea dataOnly="0" labelOnly="1" outline="0" axis="axisValues" fieldPosition="0"/>
    </format>
    <format dxfId="955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55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5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5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54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54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5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4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954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95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3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5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3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5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5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5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5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52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1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5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5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5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9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9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5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50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9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4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9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9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9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9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947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469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468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46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66">
      <pivotArea dataOnly="0" labelOnly="1" outline="0" fieldPosition="0">
        <references count="7">
          <reference field="0" count="1" selected="0">
            <x v="12"/>
          </reference>
          <reference field="5" count="1">
            <x v="76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65">
      <pivotArea dataOnly="0" labelOnly="1" outline="0" fieldPosition="0">
        <references count="7">
          <reference field="0" count="1" selected="0">
            <x v="13"/>
          </reference>
          <reference field="5" count="1"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64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6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62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61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60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59">
      <pivotArea dataOnly="0" labelOnly="1" outline="0" fieldPosition="0">
        <references count="7">
          <reference field="0" count="1" selected="0">
            <x v="14"/>
          </reference>
          <reference field="5" count="1">
            <x v="457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58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57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56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55">
      <pivotArea dataOnly="0" labelOnly="1" outline="0" fieldPosition="0">
        <references count="7">
          <reference field="0" count="1" selected="0">
            <x v="14"/>
          </reference>
          <reference field="5" count="1">
            <x v="744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54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5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452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51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450">
      <pivotArea dataOnly="0" labelOnly="1" outline="0" fieldPosition="0">
        <references count="7">
          <reference field="0" count="1" selected="0">
            <x v="15"/>
          </reference>
          <reference field="5" count="1">
            <x v="76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449">
      <pivotArea dataOnly="0" labelOnly="1" outline="0" fieldPosition="0">
        <references count="7">
          <reference field="0" count="1" selected="0">
            <x v="15"/>
          </reference>
          <reference field="5" count="1">
            <x v="76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448">
      <pivotArea dataOnly="0" labelOnly="1" outline="0" fieldPosition="0">
        <references count="7">
          <reference field="0" count="1" selected="0">
            <x v="15"/>
          </reference>
          <reference field="5" count="1">
            <x v="7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435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31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30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28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27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2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25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24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4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22">
      <pivotArea dataOnly="0" labelOnly="1" outline="0" fieldPosition="0">
        <references count="9">
          <reference field="0" count="1" selected="0">
            <x v="15"/>
          </reference>
          <reference field="3" count="1">
            <x v="7624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4"/>
          </reference>
          <reference field="5" count="1" selected="0">
            <x v="76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410">
      <pivotArea dataOnly="0" labelOnly="1" outline="0" fieldPosition="0">
        <references count="11">
          <reference field="0" count="1" selected="0">
            <x v="12"/>
          </reference>
          <reference field="1" count="1">
            <x v="7325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09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01"/>
          </reference>
          <reference field="5" count="1" selected="0">
            <x v="40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08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07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06">
      <pivotArea dataOnly="0" labelOnly="1" outline="0" fieldPosition="0">
        <references count="11">
          <reference field="0" count="1" selected="0">
            <x v="15"/>
          </reference>
          <reference field="1" count="1">
            <x v="7320"/>
          </reference>
          <reference field="3" count="1" selected="0">
            <x v="7624"/>
          </reference>
          <reference field="5" count="1" selected="0">
            <x v="76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405">
      <pivotArea outline="0" collapsedLevelsAreSubtotals="1" fieldPosition="0"/>
    </format>
    <format dxfId="9404">
      <pivotArea dataOnly="0" labelOnly="1" outline="0" axis="axisValues" fieldPosition="0"/>
    </format>
    <format dxfId="9403">
      <pivotArea dataOnly="0" outline="0" fieldPosition="0">
        <references count="1">
          <reference field="12" count="0" defaultSubtotal="1"/>
        </references>
      </pivotArea>
    </format>
    <format dxfId="9402">
      <pivotArea outline="0" collapsedLevelsAreSubtotals="1" fieldPosition="0"/>
    </format>
    <format dxfId="9401">
      <pivotArea dataOnly="0" labelOnly="1" outline="0" axis="axisValues" fieldPosition="0"/>
    </format>
    <format dxfId="9400">
      <pivotArea outline="0" collapsedLevelsAreSubtotals="1" fieldPosition="0"/>
    </format>
    <format dxfId="9399">
      <pivotArea dataOnly="0" labelOnly="1" outline="0" axis="axisValues" fieldPosition="0"/>
    </format>
    <format dxfId="9398">
      <pivotArea dataOnly="0" labelOnly="1" outline="0" axis="axisValues" fieldPosition="0"/>
    </format>
    <format dxfId="9397">
      <pivotArea outline="0" collapsedLevelsAreSubtotals="1" fieldPosition="0"/>
    </format>
    <format dxfId="9396">
      <pivotArea field="12" type="button" dataOnly="0" labelOnly="1" outline="0" axis="axisRow" fieldPosition="2"/>
    </format>
    <format dxfId="9395">
      <pivotArea field="10" type="button" dataOnly="0" labelOnly="1" outline="0" axis="axisRow" fieldPosition="3"/>
    </format>
    <format dxfId="9394">
      <pivotArea field="16" type="button" dataOnly="0" labelOnly="1" outline="0" axis="axisRow" fieldPosition="4"/>
    </format>
    <format dxfId="9393">
      <pivotArea field="18" type="button" dataOnly="0" labelOnly="1" outline="0" axis="axisRow" fieldPosition="5"/>
    </format>
    <format dxfId="9392">
      <pivotArea field="5" type="button" dataOnly="0" labelOnly="1" outline="0" axis="axisRow" fieldPosition="6"/>
    </format>
    <format dxfId="9391">
      <pivotArea field="9" type="button" dataOnly="0" labelOnly="1" outline="0" axis="axisRow" fieldPosition="7"/>
    </format>
    <format dxfId="9390">
      <pivotArea field="3" type="button" dataOnly="0" labelOnly="1" outline="0" axis="axisRow" fieldPosition="8"/>
    </format>
    <format dxfId="9389">
      <pivotArea field="7" type="button" dataOnly="0" labelOnly="1" outline="0" axis="axisRow" fieldPosition="9"/>
    </format>
    <format dxfId="9388">
      <pivotArea field="1" type="button" dataOnly="0" labelOnly="1" outline="0" axis="axisRow" fieldPosition="10"/>
    </format>
    <format dxfId="9387">
      <pivotArea dataOnly="0" labelOnly="1" outline="0" axis="axisValues" fieldPosition="0"/>
    </format>
    <format dxfId="93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3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38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38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38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38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3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7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937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93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7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3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3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3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6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3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3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5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3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3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3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3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3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9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3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3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3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93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93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9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9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3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93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93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306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305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304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30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02">
      <pivotArea dataOnly="0" labelOnly="1" outline="0" fieldPosition="0">
        <references count="7">
          <reference field="0" count="1" selected="0">
            <x v="11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01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71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00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299">
      <pivotArea dataOnly="0" labelOnly="1" outline="0" fieldPosition="0">
        <references count="7">
          <reference field="0" count="1" selected="0">
            <x v="11"/>
          </reference>
          <reference field="5" count="1">
            <x v="53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98">
      <pivotArea dataOnly="0" labelOnly="1" outline="0" fieldPosition="0">
        <references count="7">
          <reference field="0" count="1" selected="0">
            <x v="11"/>
          </reference>
          <reference field="5" count="1">
            <x v="62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297">
      <pivotArea dataOnly="0" labelOnly="1" outline="0" fieldPosition="0">
        <references count="7">
          <reference field="0" count="1" selected="0">
            <x v="13"/>
          </reference>
          <reference field="5" count="1"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96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95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94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93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92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91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90">
      <pivotArea dataOnly="0" labelOnly="1" outline="0" fieldPosition="0">
        <references count="7">
          <reference field="0" count="1" selected="0">
            <x v="14"/>
          </reference>
          <reference field="5" count="1">
            <x v="445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89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8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287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86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285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9284">
      <pivotArea dataOnly="0" labelOnly="1" outline="0" fieldPosition="0">
        <references count="7">
          <reference field="0" count="1" selected="0">
            <x v="15"/>
          </reference>
          <reference field="5" count="1">
            <x v="17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8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272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71">
      <pivotArea dataOnly="0" labelOnly="1" outline="0" fieldPosition="0">
        <references count="9">
          <reference field="0" count="1" selected="0">
            <x v="11"/>
          </reference>
          <reference field="3" count="1">
            <x v="7634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70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69">
      <pivotArea dataOnly="0" labelOnly="1" outline="0" fieldPosition="0">
        <references count="9">
          <reference field="0" count="1" selected="0">
            <x v="11"/>
          </reference>
          <reference field="3" count="1">
            <x v="7505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68">
      <pivotArea dataOnly="0" labelOnly="1" outline="0" fieldPosition="0">
        <references count="9">
          <reference field="0" count="1" selected="0">
            <x v="11"/>
          </reference>
          <reference field="3" count="1">
            <x v="7631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267">
      <pivotArea dataOnly="0" labelOnly="1" outline="0" fieldPosition="0">
        <references count="9">
          <reference field="0" count="1" selected="0">
            <x v="11"/>
          </reference>
          <reference field="3" count="1">
            <x v="7630"/>
          </reference>
          <reference field="5" count="1" selected="0">
            <x v="5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66">
      <pivotArea dataOnly="0" labelOnly="1" outline="0" fieldPosition="0">
        <references count="9">
          <reference field="0" count="1" selected="0">
            <x v="11"/>
          </reference>
          <reference field="3" count="1">
            <x v="7632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2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62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60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4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59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58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57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2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5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34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4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43">
      <pivotArea dataOnly="0" labelOnly="1" outline="0" fieldPosition="0">
        <references count="11">
          <reference field="0" count="1" selected="0">
            <x v="11"/>
          </reference>
          <reference field="1" count="1">
            <x v="7335"/>
          </reference>
          <reference field="3" count="1" selected="0">
            <x v="7630"/>
          </reference>
          <reference field="5" count="1" selected="0">
            <x v="53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42">
      <pivotArea dataOnly="0" labelOnly="1" outline="0" fieldPosition="0">
        <references count="11">
          <reference field="0" count="1" selected="0">
            <x v="11"/>
          </reference>
          <reference field="1" count="1">
            <x v="7336"/>
          </reference>
          <reference field="3" count="1" selected="0">
            <x v="7632"/>
          </reference>
          <reference field="5" count="1" selected="0">
            <x v="62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241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613"/>
          </reference>
          <reference field="5" count="1" selected="0">
            <x v="34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40">
      <pivotArea dataOnly="0" labelOnly="1" outline="0" fieldPosition="0">
        <references count="11">
          <reference field="0" count="1" selected="0">
            <x v="14"/>
          </reference>
          <reference field="1" count="1">
            <x v="7330"/>
          </reference>
          <reference field="3" count="1" selected="0">
            <x v="2"/>
          </reference>
          <reference field="5" count="1" selected="0">
            <x v="76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39">
      <pivotArea dataOnly="0" labelOnly="1" outline="0" fieldPosition="0">
        <references count="11">
          <reference field="0" count="1" selected="0">
            <x v="14"/>
          </reference>
          <reference field="1" count="1">
            <x v="7329"/>
          </reference>
          <reference field="3" count="1" selected="0">
            <x v="7628"/>
          </reference>
          <reference field="5" count="1" selected="0">
            <x v="4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38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37">
      <pivotArea outline="0" collapsedLevelsAreSubtotals="1" fieldPosition="0"/>
    </format>
    <format dxfId="9236">
      <pivotArea dataOnly="0" labelOnly="1" outline="0" axis="axisValues" fieldPosition="0"/>
    </format>
    <format dxfId="9235">
      <pivotArea dataOnly="0" outline="0" fieldPosition="0">
        <references count="1">
          <reference field="12" count="0" defaultSubtotal="1"/>
        </references>
      </pivotArea>
    </format>
    <format dxfId="9234">
      <pivotArea outline="0" collapsedLevelsAreSubtotals="1" fieldPosition="0"/>
    </format>
    <format dxfId="9233">
      <pivotArea dataOnly="0" labelOnly="1" outline="0" axis="axisValues" fieldPosition="0"/>
    </format>
    <format dxfId="9232">
      <pivotArea outline="0" collapsedLevelsAreSubtotals="1" fieldPosition="0"/>
    </format>
    <format dxfId="9231">
      <pivotArea dataOnly="0" labelOnly="1" outline="0" axis="axisValues" fieldPosition="0"/>
    </format>
    <format dxfId="9230">
      <pivotArea dataOnly="0" labelOnly="1" outline="0" axis="axisValues" fieldPosition="0"/>
    </format>
    <format dxfId="9229">
      <pivotArea outline="0" collapsedLevelsAreSubtotals="1" fieldPosition="0"/>
    </format>
    <format dxfId="9228">
      <pivotArea field="12" type="button" dataOnly="0" labelOnly="1" outline="0" axis="axisRow" fieldPosition="2"/>
    </format>
    <format dxfId="9227">
      <pivotArea field="10" type="button" dataOnly="0" labelOnly="1" outline="0" axis="axisRow" fieldPosition="3"/>
    </format>
    <format dxfId="9226">
      <pivotArea field="16" type="button" dataOnly="0" labelOnly="1" outline="0" axis="axisRow" fieldPosition="4"/>
    </format>
    <format dxfId="9225">
      <pivotArea field="18" type="button" dataOnly="0" labelOnly="1" outline="0" axis="axisRow" fieldPosition="5"/>
    </format>
    <format dxfId="9224">
      <pivotArea field="5" type="button" dataOnly="0" labelOnly="1" outline="0" axis="axisRow" fieldPosition="6"/>
    </format>
    <format dxfId="9223">
      <pivotArea field="9" type="button" dataOnly="0" labelOnly="1" outline="0" axis="axisRow" fieldPosition="7"/>
    </format>
    <format dxfId="9222">
      <pivotArea field="3" type="button" dataOnly="0" labelOnly="1" outline="0" axis="axisRow" fieldPosition="8"/>
    </format>
    <format dxfId="9221">
      <pivotArea field="7" type="button" dataOnly="0" labelOnly="1" outline="0" axis="axisRow" fieldPosition="9"/>
    </format>
    <format dxfId="9220">
      <pivotArea field="1" type="button" dataOnly="0" labelOnly="1" outline="0" axis="axisRow" fieldPosition="10"/>
    </format>
    <format dxfId="9219">
      <pivotArea dataOnly="0" labelOnly="1" outline="0" axis="axisValues" fieldPosition="0"/>
    </format>
    <format dxfId="92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2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21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92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92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1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920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92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0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2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0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19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19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91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9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1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9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1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9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9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9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1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1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91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91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914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143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142">
      <pivotArea dataOnly="0" labelOnly="1" outline="0" fieldPosition="0">
        <references count="7">
          <reference field="0" count="1" selected="0">
            <x v="13"/>
          </reference>
          <reference field="5" count="1">
            <x v="75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141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14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39">
      <pivotArea dataOnly="0" labelOnly="1" outline="0" fieldPosition="0">
        <references count="7">
          <reference field="0" count="1" selected="0">
            <x v="13"/>
          </reference>
          <reference field="5" count="1"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38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37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36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35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34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133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32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31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30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29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2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127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26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25">
      <pivotArea dataOnly="0" labelOnly="1" outline="0" fieldPosition="0">
        <references count="7">
          <reference field="0" count="1" selected="0">
            <x v="15"/>
          </reference>
          <reference field="5" count="1">
            <x v="76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124">
      <pivotArea dataOnly="0" labelOnly="1" outline="0" fieldPosition="0">
        <references count="7">
          <reference field="0" count="1" selected="0">
            <x v="15"/>
          </reference>
          <reference field="5" count="1">
            <x v="76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109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3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02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01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0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99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98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0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2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84">
      <pivotArea dataOnly="0" labelOnly="1" outline="0" fieldPosition="0">
        <references count="11">
          <reference field="0" count="1" selected="0">
            <x v="14"/>
          </reference>
          <reference field="1" count="1">
            <x v="7341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083">
      <pivotArea dataOnly="0" labelOnly="1" outline="0" fieldPosition="0">
        <references count="11">
          <reference field="0" count="1" selected="0">
            <x v="14"/>
          </reference>
          <reference field="1" count="1">
            <x v="7340"/>
          </reference>
          <reference field="3" count="1" selected="0">
            <x v="2"/>
          </reference>
          <reference field="5" count="1" selected="0">
            <x v="76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82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81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80">
      <pivotArea outline="0" collapsedLevelsAreSubtotals="1" fieldPosition="0"/>
    </format>
    <format dxfId="9079">
      <pivotArea dataOnly="0" labelOnly="1" outline="0" axis="axisValues" fieldPosition="0"/>
    </format>
    <format dxfId="9078">
      <pivotArea dataOnly="0" outline="0" fieldPosition="0">
        <references count="1">
          <reference field="12" count="0" defaultSubtotal="1"/>
        </references>
      </pivotArea>
    </format>
    <format dxfId="9077">
      <pivotArea outline="0" collapsedLevelsAreSubtotals="1" fieldPosition="0"/>
    </format>
    <format dxfId="9076">
      <pivotArea dataOnly="0" labelOnly="1" outline="0" axis="axisValues" fieldPosition="0"/>
    </format>
    <format dxfId="9075">
      <pivotArea outline="0" collapsedLevelsAreSubtotals="1" fieldPosition="0"/>
    </format>
    <format dxfId="9074">
      <pivotArea dataOnly="0" labelOnly="1" outline="0" axis="axisValues" fieldPosition="0"/>
    </format>
    <format dxfId="9073">
      <pivotArea dataOnly="0" labelOnly="1" outline="0" axis="axisValues" fieldPosition="0"/>
    </format>
    <format dxfId="9072">
      <pivotArea outline="0" collapsedLevelsAreSubtotals="1" fieldPosition="0"/>
    </format>
    <format dxfId="9071">
      <pivotArea field="12" type="button" dataOnly="0" labelOnly="1" outline="0" axis="axisRow" fieldPosition="2"/>
    </format>
    <format dxfId="9070">
      <pivotArea field="10" type="button" dataOnly="0" labelOnly="1" outline="0" axis="axisRow" fieldPosition="3"/>
    </format>
    <format dxfId="9069">
      <pivotArea field="16" type="button" dataOnly="0" labelOnly="1" outline="0" axis="axisRow" fieldPosition="4"/>
    </format>
    <format dxfId="9068">
      <pivotArea field="18" type="button" dataOnly="0" labelOnly="1" outline="0" axis="axisRow" fieldPosition="5"/>
    </format>
    <format dxfId="9067">
      <pivotArea field="5" type="button" dataOnly="0" labelOnly="1" outline="0" axis="axisRow" fieldPosition="6"/>
    </format>
    <format dxfId="9066">
      <pivotArea field="9" type="button" dataOnly="0" labelOnly="1" outline="0" axis="axisRow" fieldPosition="7"/>
    </format>
    <format dxfId="9065">
      <pivotArea field="3" type="button" dataOnly="0" labelOnly="1" outline="0" axis="axisRow" fieldPosition="8"/>
    </format>
    <format dxfId="9064">
      <pivotArea field="7" type="button" dataOnly="0" labelOnly="1" outline="0" axis="axisRow" fieldPosition="9"/>
    </format>
    <format dxfId="9063">
      <pivotArea field="1" type="button" dataOnly="0" labelOnly="1" outline="0" axis="axisRow" fieldPosition="10"/>
    </format>
    <format dxfId="9062">
      <pivotArea dataOnly="0" labelOnly="1" outline="0" axis="axisValues" fieldPosition="0"/>
    </format>
    <format dxfId="90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0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05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0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05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05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05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05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0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4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904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90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4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0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04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0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0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0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0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0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0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0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2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0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0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0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0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0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0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0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00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8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8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89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89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89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9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9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9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9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89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9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89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8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8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8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8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8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8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915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1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13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1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11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10">
      <pivotArea dataOnly="0" labelOnly="1" outline="0" fieldPosition="0">
        <references count="7">
          <reference field="0" count="1" selected="0">
            <x v="7"/>
          </reference>
          <reference field="5" count="1">
            <x v="274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09">
      <pivotArea dataOnly="0" labelOnly="1" outline="0" fieldPosition="0">
        <references count="7">
          <reference field="0" count="1" selected="0">
            <x v="7"/>
          </reference>
          <reference field="5" count="1">
            <x v="676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08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07">
      <pivotArea dataOnly="0" labelOnly="1" outline="0" fieldPosition="0">
        <references count="7">
          <reference field="0" count="1" selected="0">
            <x v="7"/>
          </reference>
          <reference field="5" count="1">
            <x v="76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06">
      <pivotArea dataOnly="0" labelOnly="1" outline="0" fieldPosition="0">
        <references count="7">
          <reference field="0" count="1" selected="0">
            <x v="7"/>
          </reference>
          <reference field="5" count="2">
            <x v="7661"/>
            <x v="76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05">
      <pivotArea dataOnly="0" labelOnly="1" outline="0" fieldPosition="0">
        <references count="7">
          <reference field="0" count="1" selected="0">
            <x v="7"/>
          </reference>
          <reference field="5" count="1">
            <x v="189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04">
      <pivotArea dataOnly="0" labelOnly="1" outline="0" fieldPosition="0">
        <references count="7">
          <reference field="0" count="1" selected="0">
            <x v="7"/>
          </reference>
          <reference field="5" count="1">
            <x v="766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03">
      <pivotArea dataOnly="0" labelOnly="1" outline="0" fieldPosition="0">
        <references count="7">
          <reference field="0" count="1" selected="0">
            <x v="7"/>
          </reference>
          <reference field="5" count="1">
            <x v="766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02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01">
      <pivotArea dataOnly="0" labelOnly="1" outline="0" fieldPosition="0">
        <references count="7">
          <reference field="0" count="1" selected="0">
            <x v="7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00">
      <pivotArea dataOnly="0" labelOnly="1" outline="0" fieldPosition="0">
        <references count="7">
          <reference field="0" count="1" selected="0">
            <x v="7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99">
      <pivotArea dataOnly="0" labelOnly="1" outline="0" fieldPosition="0">
        <references count="7">
          <reference field="0" count="1" selected="0">
            <x v="7"/>
          </reference>
          <reference field="5" count="2">
            <x v="7663"/>
            <x v="766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98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97">
      <pivotArea dataOnly="0" labelOnly="1" outline="0" fieldPosition="0">
        <references count="7">
          <reference field="0" count="1" selected="0">
            <x v="7"/>
          </reference>
          <reference field="5" count="2">
            <x v="7667"/>
            <x v="767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96">
      <pivotArea dataOnly="0" labelOnly="1" outline="0" fieldPosition="0">
        <references count="7">
          <reference field="0" count="1" selected="0">
            <x v="7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95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94">
      <pivotArea dataOnly="0" labelOnly="1" outline="0" fieldPosition="0">
        <references count="7">
          <reference field="0" count="1" selected="0">
            <x v="10"/>
          </reference>
          <reference field="5" count="1">
            <x v="504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93">
      <pivotArea dataOnly="0" labelOnly="1" outline="0" fieldPosition="0">
        <references count="7">
          <reference field="0" count="1" selected="0">
            <x v="10"/>
          </reference>
          <reference field="5" count="1">
            <x v="57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892">
      <pivotArea dataOnly="0" labelOnly="1" outline="0" fieldPosition="0">
        <references count="7">
          <reference field="0" count="1" selected="0">
            <x v="10"/>
          </reference>
          <reference field="5" count="1">
            <x v="68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91">
      <pivotArea dataOnly="0" labelOnly="1" outline="0" fieldPosition="0">
        <references count="7">
          <reference field="0" count="1" selected="0">
            <x v="10"/>
          </reference>
          <reference field="5" count="1">
            <x v="19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90">
      <pivotArea dataOnly="0" labelOnly="1" outline="0" fieldPosition="0">
        <references count="7">
          <reference field="0" count="1" selected="0">
            <x v="10"/>
          </reference>
          <reference field="5" count="1">
            <x v="457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889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888">
      <pivotArea dataOnly="0" labelOnly="1" outline="0" fieldPosition="0">
        <references count="7">
          <reference field="0" count="1" selected="0">
            <x v="10"/>
          </reference>
          <reference field="5" count="1">
            <x v="46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87">
      <pivotArea dataOnly="0" labelOnly="1" outline="0" fieldPosition="0">
        <references count="7">
          <reference field="0" count="1" selected="0">
            <x v="12"/>
          </reference>
          <reference field="5" count="1">
            <x v="76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86">
      <pivotArea dataOnly="0" labelOnly="1" outline="0" fieldPosition="0">
        <references count="7">
          <reference field="0" count="1" selected="0">
            <x v="12"/>
          </reference>
          <reference field="5" count="1">
            <x v="58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885">
      <pivotArea dataOnly="0" labelOnly="1" outline="0" fieldPosition="0">
        <references count="7">
          <reference field="0" count="1" selected="0">
            <x v="13"/>
          </reference>
          <reference field="5" count="1"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84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8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82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81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880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79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878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77">
      <pivotArea dataOnly="0" labelOnly="1" outline="0" fieldPosition="0">
        <references count="7">
          <reference field="0" count="1" selected="0">
            <x v="14"/>
          </reference>
          <reference field="5" count="1">
            <x v="765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76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75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74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73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7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871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870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69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868">
      <pivotArea dataOnly="0" labelOnly="1" outline="0" fieldPosition="0">
        <references count="7">
          <reference field="0" count="1" selected="0">
            <x v="15"/>
          </reference>
          <reference field="5" count="1">
            <x v="76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8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8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8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8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35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34">
      <pivotArea dataOnly="0" labelOnly="1" outline="0" fieldPosition="0">
        <references count="9">
          <reference field="0" count="1" selected="0">
            <x v="7"/>
          </reference>
          <reference field="3" count="1">
            <x v="7649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33">
      <pivotArea dataOnly="0" labelOnly="1" outline="0" fieldPosition="0">
        <references count="9">
          <reference field="0" count="1" selected="0">
            <x v="7"/>
          </reference>
          <reference field="3" count="1">
            <x v="7645"/>
          </reference>
          <reference field="5" count="1" selected="0">
            <x v="27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32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67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831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30">
      <pivotArea dataOnly="0" labelOnly="1" outline="0" fieldPosition="0">
        <references count="9">
          <reference field="0" count="1" selected="0">
            <x v="7"/>
          </reference>
          <reference field="3" count="1">
            <x v="7651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29">
      <pivotArea dataOnly="0" labelOnly="1" outline="0" fieldPosition="0">
        <references count="9">
          <reference field="0" count="1" selected="0">
            <x v="7"/>
          </reference>
          <reference field="3" count="1">
            <x v="7652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28">
      <pivotArea dataOnly="0" labelOnly="1" outline="0" fieldPosition="0">
        <references count="9">
          <reference field="0" count="1" selected="0">
            <x v="7"/>
          </reference>
          <reference field="3" count="1">
            <x v="7646"/>
          </reference>
          <reference field="5" count="1" selected="0">
            <x v="18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27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26">
      <pivotArea dataOnly="0" labelOnly="1" outline="0" fieldPosition="0">
        <references count="9">
          <reference field="0" count="1" selected="0">
            <x v="7"/>
          </reference>
          <reference field="3" count="1">
            <x v="7654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25">
      <pivotArea dataOnly="0" labelOnly="1" outline="0" fieldPosition="0">
        <references count="9">
          <reference field="0" count="1" selected="0">
            <x v="7"/>
          </reference>
          <reference field="3" count="1">
            <x v="7647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24">
      <pivotArea dataOnly="0" labelOnly="1" outline="0" fieldPosition="0">
        <references count="9">
          <reference field="0" count="1" selected="0">
            <x v="7"/>
          </reference>
          <reference field="3" count="1">
            <x v="7658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23">
      <pivotArea dataOnly="0" labelOnly="1" outline="0" fieldPosition="0">
        <references count="9">
          <reference field="0" count="1" selected="0">
            <x v="7"/>
          </reference>
          <reference field="3" count="1">
            <x v="7660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22">
      <pivotArea dataOnly="0" labelOnly="1" outline="0" fieldPosition="0">
        <references count="9">
          <reference field="0" count="1" selected="0">
            <x v="7"/>
          </reference>
          <reference field="3" count="1">
            <x v="7653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21">
      <pivotArea dataOnly="0" labelOnly="1" outline="0" fieldPosition="0">
        <references count="9">
          <reference field="0" count="1" selected="0">
            <x v="7"/>
          </reference>
          <reference field="3" count="1">
            <x v="7655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20">
      <pivotArea dataOnly="0" labelOnly="1" outline="0" fieldPosition="0">
        <references count="9">
          <reference field="0" count="1" selected="0">
            <x v="7"/>
          </reference>
          <reference field="3" count="1">
            <x v="7650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19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18">
      <pivotArea dataOnly="0" labelOnly="1" outline="0" fieldPosition="0">
        <references count="9">
          <reference field="0" count="1" selected="0">
            <x v="7"/>
          </reference>
          <reference field="3" count="1">
            <x v="7663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17">
      <pivotArea dataOnly="0" labelOnly="1" outline="0" fieldPosition="0">
        <references count="9">
          <reference field="0" count="1" selected="0">
            <x v="7"/>
          </reference>
          <reference field="3" count="1">
            <x v="7661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16">
      <pivotArea dataOnly="0" labelOnly="1" outline="0" fieldPosition="0">
        <references count="9">
          <reference field="0" count="1" selected="0">
            <x v="7"/>
          </reference>
          <reference field="3" count="1">
            <x v="7662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15">
      <pivotArea dataOnly="0" labelOnly="1" outline="0" fieldPosition="0">
        <references count="9">
          <reference field="0" count="1" selected="0">
            <x v="10"/>
          </reference>
          <reference field="3" count="1">
            <x v="7449"/>
          </reference>
          <reference field="5" count="1" selected="0">
            <x v="5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14">
      <pivotArea dataOnly="0" labelOnly="1" outline="0" fieldPosition="0">
        <references count="9">
          <reference field="0" count="1" selected="0">
            <x v="10"/>
          </reference>
          <reference field="3" count="1">
            <x v="7447"/>
          </reference>
          <reference field="5" count="1" selected="0">
            <x v="5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81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12">
      <pivotArea dataOnly="0" labelOnly="1" outline="0" fieldPosition="0">
        <references count="9">
          <reference field="0" count="1" selected="0">
            <x v="10"/>
          </reference>
          <reference field="3" count="1">
            <x v="7587"/>
          </reference>
          <reference field="5" count="1" selected="0">
            <x v="1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11">
      <pivotArea dataOnly="0" labelOnly="1" outline="0" fieldPosition="0">
        <references count="9">
          <reference field="0" count="1" selected="0">
            <x v="10"/>
          </reference>
          <reference field="3" count="1">
            <x v="7585"/>
          </reference>
          <reference field="5" count="1" selected="0">
            <x v="4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810">
      <pivotArea dataOnly="0" labelOnly="1" outline="0" fieldPosition="0">
        <references count="9">
          <reference field="0" count="1" selected="0">
            <x v="10"/>
          </reference>
          <reference field="3" count="1">
            <x v="7586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809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4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08">
      <pivotArea dataOnly="0" labelOnly="1" outline="0" fieldPosition="0">
        <references count="9">
          <reference field="0" count="1" selected="0">
            <x v="12"/>
          </reference>
          <reference field="3" count="1">
            <x v="7641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8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802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765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01">
      <pivotArea dataOnly="0" labelOnly="1" outline="0" fieldPosition="0">
        <references count="9">
          <reference field="0" count="1" selected="0">
            <x v="14"/>
          </reference>
          <reference field="3" count="1">
            <x v="7638"/>
          </reference>
          <reference field="5" count="1" selected="0">
            <x v="76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00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9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9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96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9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5"/>
          </reference>
          <reference field="5" count="1" selected="0">
            <x v="2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1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9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4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0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3"/>
          </reference>
          <reference field="5" count="1" selected="0">
            <x v="7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7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2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8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9"/>
          </reference>
          <reference field="5" count="1" selected="0">
            <x v="5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8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7"/>
          </reference>
          <reference field="5" count="1" selected="0">
            <x v="1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6"/>
          </reference>
          <reference field="5" count="1" selected="0">
            <x v="5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41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8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65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7650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64">
      <pivotArea dataOnly="0" labelOnly="1" outline="0" fieldPosition="0">
        <references count="11">
          <reference field="0" count="1" selected="0">
            <x v="10"/>
          </reference>
          <reference field="1" count="1">
            <x v="7350"/>
          </reference>
          <reference field="3" count="1" selected="0">
            <x v="7587"/>
          </reference>
          <reference field="5" count="1" selected="0">
            <x v="1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63">
      <pivotArea dataOnly="0" labelOnly="1" outline="0" fieldPosition="0">
        <references count="11">
          <reference field="0" count="1" selected="0">
            <x v="10"/>
          </reference>
          <reference field="1" count="1">
            <x v="7110"/>
          </reference>
          <reference field="3" count="1" selected="0">
            <x v="7448"/>
          </reference>
          <reference field="5" count="1" selected="0">
            <x v="4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62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0"/>
          </reference>
          <reference field="5" count="1" selected="0">
            <x v="76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61">
      <pivotArea dataOnly="0" labelOnly="1" outline="0" fieldPosition="0">
        <references count="11">
          <reference field="0" count="1" selected="0">
            <x v="14"/>
          </reference>
          <reference field="1" count="1">
            <x v="7341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60">
      <pivotArea dataOnly="0" labelOnly="1" outline="0" fieldPosition="0">
        <references count="11">
          <reference field="0" count="1" selected="0">
            <x v="14"/>
          </reference>
          <reference field="1" count="1">
            <x v="7346"/>
          </reference>
          <reference field="3" count="1" selected="0">
            <x v="7640"/>
          </reference>
          <reference field="5" count="1" selected="0">
            <x v="76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59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7638"/>
          </reference>
          <reference field="5" count="1" selected="0">
            <x v="76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58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57">
      <pivotArea dataOnly="0" labelOnly="1" outline="0" fieldPosition="0">
        <references count="11">
          <reference field="0" count="1" selected="0">
            <x v="15"/>
          </reference>
          <reference field="1" count="1">
            <x v="7343"/>
          </reference>
          <reference field="3" count="1" selected="0">
            <x v="0"/>
          </reference>
          <reference field="5" count="1" selected="0">
            <x v="76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756">
      <pivotArea outline="0" collapsedLevelsAreSubtotals="1" fieldPosition="0"/>
    </format>
    <format dxfId="8755">
      <pivotArea dataOnly="0" labelOnly="1" outline="0" axis="axisValues" fieldPosition="0"/>
    </format>
    <format dxfId="8754">
      <pivotArea dataOnly="0" outline="0" fieldPosition="0">
        <references count="1">
          <reference field="12" count="0" defaultSubtotal="1"/>
        </references>
      </pivotArea>
    </format>
    <format dxfId="8753">
      <pivotArea outline="0" collapsedLevelsAreSubtotals="1" fieldPosition="0"/>
    </format>
    <format dxfId="8752">
      <pivotArea dataOnly="0" labelOnly="1" outline="0" axis="axisValues" fieldPosition="0"/>
    </format>
    <format dxfId="8751">
      <pivotArea outline="0" collapsedLevelsAreSubtotals="1" fieldPosition="0"/>
    </format>
    <format dxfId="8750">
      <pivotArea dataOnly="0" labelOnly="1" outline="0" axis="axisValues" fieldPosition="0"/>
    </format>
    <format dxfId="8749">
      <pivotArea dataOnly="0" labelOnly="1" outline="0" axis="axisValues" fieldPosition="0"/>
    </format>
    <format dxfId="8748">
      <pivotArea outline="0" collapsedLevelsAreSubtotals="1" fieldPosition="0"/>
    </format>
    <format dxfId="8747">
      <pivotArea field="12" type="button" dataOnly="0" labelOnly="1" outline="0" axis="axisRow" fieldPosition="2"/>
    </format>
    <format dxfId="8746">
      <pivotArea field="10" type="button" dataOnly="0" labelOnly="1" outline="0" axis="axisRow" fieldPosition="3"/>
    </format>
    <format dxfId="8745">
      <pivotArea field="16" type="button" dataOnly="0" labelOnly="1" outline="0" axis="axisRow" fieldPosition="4"/>
    </format>
    <format dxfId="8744">
      <pivotArea field="18" type="button" dataOnly="0" labelOnly="1" outline="0" axis="axisRow" fieldPosition="5"/>
    </format>
    <format dxfId="8743">
      <pivotArea field="5" type="button" dataOnly="0" labelOnly="1" outline="0" axis="axisRow" fieldPosition="6"/>
    </format>
    <format dxfId="8742">
      <pivotArea field="9" type="button" dataOnly="0" labelOnly="1" outline="0" axis="axisRow" fieldPosition="7"/>
    </format>
    <format dxfId="8741">
      <pivotArea field="3" type="button" dataOnly="0" labelOnly="1" outline="0" axis="axisRow" fieldPosition="8"/>
    </format>
    <format dxfId="8740">
      <pivotArea field="7" type="button" dataOnly="0" labelOnly="1" outline="0" axis="axisRow" fieldPosition="9"/>
    </format>
    <format dxfId="8739">
      <pivotArea field="1" type="button" dataOnly="0" labelOnly="1" outline="0" axis="axisRow" fieldPosition="10"/>
    </format>
    <format dxfId="8738">
      <pivotArea dataOnly="0" labelOnly="1" outline="0" axis="axisValues" fieldPosition="0"/>
    </format>
    <format dxfId="8737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87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87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33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8732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8731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730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7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872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87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872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1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87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7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7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87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7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7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0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9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6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6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6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9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8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6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6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86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86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6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6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8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8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8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8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6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6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8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6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8614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13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1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611">
      <pivotArea dataOnly="0" labelOnly="1" outline="0" fieldPosition="0">
        <references count="7">
          <reference field="0" count="1" selected="0">
            <x v="13"/>
          </reference>
          <reference field="5" count="1">
            <x v="263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10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609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08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0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06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05">
      <pivotArea dataOnly="0" labelOnly="1" outline="0" fieldPosition="0">
        <references count="7">
          <reference field="0" count="1" selected="0">
            <x v="2"/>
          </reference>
          <reference field="5" count="1">
            <x v="20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604">
      <pivotArea dataOnly="0" labelOnly="1" outline="0" fieldPosition="0">
        <references count="7">
          <reference field="0" count="1" selected="0">
            <x v="2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603">
      <pivotArea dataOnly="0" labelOnly="1" outline="0" fieldPosition="0">
        <references count="7">
          <reference field="0" count="1" selected="0">
            <x v="2"/>
          </reference>
          <reference field="5" count="1">
            <x v="43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602">
      <pivotArea dataOnly="0" labelOnly="1" outline="0" fieldPosition="0">
        <references count="7">
          <reference field="0" count="1" selected="0">
            <x v="2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01">
      <pivotArea dataOnly="0" labelOnly="1" outline="0" fieldPosition="0">
        <references count="7">
          <reference field="0" count="1" selected="0">
            <x v="2"/>
          </reference>
          <reference field="5" count="1">
            <x v="76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00">
      <pivotArea dataOnly="0" labelOnly="1" outline="0" fieldPosition="0">
        <references count="7">
          <reference field="0" count="1" selected="0">
            <x v="12"/>
          </reference>
          <reference field="5" count="1">
            <x v="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99">
      <pivotArea dataOnly="0" labelOnly="1" outline="0" fieldPosition="0">
        <references count="7">
          <reference field="0" count="1" selected="0">
            <x v="12"/>
          </reference>
          <reference field="5" count="1">
            <x v="7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98">
      <pivotArea dataOnly="0" labelOnly="1" outline="0" fieldPosition="0">
        <references count="7">
          <reference field="0" count="1" selected="0">
            <x v="13"/>
          </reference>
          <reference field="5" count="1"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97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96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95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94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93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592">
      <pivotArea dataOnly="0" labelOnly="1" outline="0" fieldPosition="0">
        <references count="7">
          <reference field="0" count="1" selected="0">
            <x v="14"/>
          </reference>
          <reference field="5" count="1">
            <x v="216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91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90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589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88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8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86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85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84">
      <pivotArea dataOnly="0" labelOnly="1" outline="0" fieldPosition="0">
        <references count="7">
          <reference field="0" count="1" selected="0">
            <x v="15"/>
          </reference>
          <reference field="5" count="2">
            <x v="4723"/>
            <x v="76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5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5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5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5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59">
      <pivotArea dataOnly="0" labelOnly="1" outline="0" fieldPosition="0">
        <references count="9">
          <reference field="0" count="1" selected="0">
            <x v="7"/>
          </reference>
          <reference field="3" count="1">
            <x v="7670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5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56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55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55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552">
      <pivotArea dataOnly="0" labelOnly="1" outline="0" fieldPosition="0">
        <references count="9">
          <reference field="0" count="1" selected="0">
            <x v="2"/>
          </reference>
          <reference field="3" count="1">
            <x v="7605"/>
          </reference>
          <reference field="5" count="1" selected="0">
            <x v="4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551">
      <pivotArea dataOnly="0" labelOnly="1" outline="0" fieldPosition="0">
        <references count="9">
          <reference field="0" count="1" selected="0">
            <x v="2"/>
          </reference>
          <reference field="3" count="1">
            <x v="7604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7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44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543">
      <pivotArea dataOnly="0" labelOnly="1" outline="0" fieldPosition="0">
        <references count="9">
          <reference field="0" count="1" selected="0">
            <x v="14"/>
          </reference>
          <reference field="3" count="1">
            <x v="5899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42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41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4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39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38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0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5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5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5"/>
          </reference>
          <reference field="5" count="1" selected="0">
            <x v="4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5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4"/>
          </reference>
          <reference field="5" count="1" selected="0">
            <x v="6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99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15">
      <pivotArea dataOnly="0" labelOnly="1" outline="0" fieldPosition="0">
        <references count="11">
          <reference field="0" count="1" selected="0">
            <x v="7"/>
          </reference>
          <reference field="1" count="1">
            <x v="7359"/>
          </reference>
          <reference field="3" count="1" selected="0">
            <x v="7670"/>
          </reference>
          <reference field="5" count="1" selected="0">
            <x v="76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14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0"/>
          </reference>
          <reference field="5" count="1" selected="0">
            <x v="75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513">
      <pivotArea dataOnly="0" labelOnly="1" outline="0" fieldPosition="0">
        <references count="11">
          <reference field="0" count="1" selected="0">
            <x v="14"/>
          </reference>
          <reference field="1" count="1">
            <x v="7357"/>
          </reference>
          <reference field="3" count="1" selected="0">
            <x v="2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12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2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511">
      <pivotArea dataOnly="0" labelOnly="1" outline="0" fieldPosition="0">
        <references count="11">
          <reference field="0" count="1" selected="0">
            <x v="2"/>
          </reference>
          <reference field="1" count="1">
            <x v="7360"/>
          </reference>
          <reference field="3" count="1" selected="0">
            <x v="0"/>
          </reference>
          <reference field="5" count="1" selected="0">
            <x v="75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510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605"/>
          </reference>
          <reference field="5" count="1" selected="0">
            <x v="4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509">
      <pivotArea dataOnly="0" labelOnly="1" outline="0" fieldPosition="0">
        <references count="11">
          <reference field="0" count="1" selected="0">
            <x v="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76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08">
      <pivotArea dataOnly="0" labelOnly="1" outline="0" fieldPosition="0">
        <references count="11">
          <reference field="0" count="1" selected="0">
            <x v="14"/>
          </reference>
          <reference field="1" count="1">
            <x v="7341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07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06">
      <pivotArea dataOnly="0" labelOnly="1" outline="0" fieldPosition="0">
        <references count="11">
          <reference field="0" count="1" selected="0">
            <x v="15"/>
          </reference>
          <reference field="1" count="1">
            <x v="7343"/>
          </reference>
          <reference field="3" count="1" selected="0">
            <x v="0"/>
          </reference>
          <reference field="5" count="1" selected="0">
            <x v="76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505">
      <pivotArea outline="0" collapsedLevelsAreSubtotals="1" fieldPosition="0"/>
    </format>
    <format dxfId="8504">
      <pivotArea dataOnly="0" labelOnly="1" outline="0" axis="axisValues" fieldPosition="0"/>
    </format>
    <format dxfId="8503">
      <pivotArea dataOnly="0" outline="0" fieldPosition="0">
        <references count="1">
          <reference field="12" count="0" defaultSubtotal="1"/>
        </references>
      </pivotArea>
    </format>
    <format dxfId="8502">
      <pivotArea outline="0" collapsedLevelsAreSubtotals="1" fieldPosition="0"/>
    </format>
    <format dxfId="8501">
      <pivotArea dataOnly="0" labelOnly="1" outline="0" axis="axisValues" fieldPosition="0"/>
    </format>
    <format dxfId="8500">
      <pivotArea outline="0" collapsedLevelsAreSubtotals="1" fieldPosition="0"/>
    </format>
    <format dxfId="8499">
      <pivotArea dataOnly="0" labelOnly="1" outline="0" axis="axisValues" fieldPosition="0"/>
    </format>
    <format dxfId="8498">
      <pivotArea dataOnly="0" labelOnly="1" outline="0" axis="axisValues" fieldPosition="0"/>
    </format>
    <format dxfId="8497">
      <pivotArea outline="0" collapsedLevelsAreSubtotals="1" fieldPosition="0"/>
    </format>
    <format dxfId="8496">
      <pivotArea field="12" type="button" dataOnly="0" labelOnly="1" outline="0" axis="axisRow" fieldPosition="2"/>
    </format>
    <format dxfId="8495">
      <pivotArea field="10" type="button" dataOnly="0" labelOnly="1" outline="0" axis="axisRow" fieldPosition="3"/>
    </format>
    <format dxfId="8494">
      <pivotArea field="16" type="button" dataOnly="0" labelOnly="1" outline="0" axis="axisRow" fieldPosition="4"/>
    </format>
    <format dxfId="8493">
      <pivotArea field="18" type="button" dataOnly="0" labelOnly="1" outline="0" axis="axisRow" fieldPosition="5"/>
    </format>
    <format dxfId="8492">
      <pivotArea field="5" type="button" dataOnly="0" labelOnly="1" outline="0" axis="axisRow" fieldPosition="6"/>
    </format>
    <format dxfId="8491">
      <pivotArea field="9" type="button" dataOnly="0" labelOnly="1" outline="0" axis="axisRow" fieldPosition="7"/>
    </format>
    <format dxfId="8490">
      <pivotArea field="3" type="button" dataOnly="0" labelOnly="1" outline="0" axis="axisRow" fieldPosition="8"/>
    </format>
    <format dxfId="8489">
      <pivotArea field="7" type="button" dataOnly="0" labelOnly="1" outline="0" axis="axisRow" fieldPosition="9"/>
    </format>
    <format dxfId="8488">
      <pivotArea field="1" type="button" dataOnly="0" labelOnly="1" outline="0" axis="axisRow" fieldPosition="10"/>
    </format>
    <format dxfId="8487">
      <pivotArea dataOnly="0" labelOnly="1" outline="0" axis="axisValues" fieldPosition="0"/>
    </format>
    <format dxfId="848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4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48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48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4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4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4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7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847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84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4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7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6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4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4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4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4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45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45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4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84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43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843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8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4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8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8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841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13">
      <pivotArea dataOnly="0" labelOnly="1" outline="0" fieldPosition="0">
        <references count="7">
          <reference field="0" count="1" selected="0">
            <x v="0"/>
          </reference>
          <reference field="5" count="1">
            <x v="57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12">
      <pivotArea dataOnly="0" labelOnly="1" outline="0" fieldPosition="0">
        <references count="7">
          <reference field="0" count="1" selected="0">
            <x v="0"/>
          </reference>
          <reference field="5" count="1">
            <x v="604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411">
      <pivotArea dataOnly="0" labelOnly="1" outline="0" fieldPosition="0">
        <references count="7">
          <reference field="0" count="1" selected="0">
            <x v="0"/>
          </reference>
          <reference field="5" count="1">
            <x v="204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10">
      <pivotArea dataOnly="0" labelOnly="1" outline="0" fieldPosition="0">
        <references count="7">
          <reference field="0" count="1" selected="0">
            <x v="0"/>
          </reference>
          <reference field="5" count="1">
            <x v="23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409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08">
      <pivotArea dataOnly="0" labelOnly="1" outline="0" fieldPosition="0">
        <references count="7">
          <reference field="0" count="1" selected="0">
            <x v="12"/>
          </reference>
          <reference field="5" count="2">
            <x v="7679"/>
            <x v="76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07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06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05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404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03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02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01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00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9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98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97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96">
      <pivotArea dataOnly="0" labelOnly="1" outline="0" fieldPosition="0">
        <references count="7">
          <reference field="0" count="1" selected="0">
            <x v="15"/>
          </reference>
          <reference field="5" count="1">
            <x v="76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95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94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9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81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80">
      <pivotArea dataOnly="0" labelOnly="1" outline="0" fieldPosition="0">
        <references count="9">
          <reference field="0" count="1" selected="0">
            <x v="0"/>
          </reference>
          <reference field="3" count="1">
            <x v="7323"/>
          </reference>
          <reference field="5" count="1" selected="0">
            <x v="5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79">
      <pivotArea dataOnly="0" labelOnly="1" outline="0" fieldPosition="0">
        <references count="9">
          <reference field="0" count="1" selected="0">
            <x v="0"/>
          </reference>
          <reference field="3" count="1">
            <x v="7676"/>
          </reference>
          <reference field="5" count="1" selected="0">
            <x v="60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378">
      <pivotArea dataOnly="0" labelOnly="1" outline="0" fieldPosition="0">
        <references count="9">
          <reference field="0" count="1" selected="0">
            <x v="0"/>
          </reference>
          <reference field="3" count="1">
            <x v="7322"/>
          </reference>
          <reference field="5" count="1" selected="0">
            <x v="20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77">
      <pivotArea dataOnly="0" labelOnly="1" outline="0" fieldPosition="0">
        <references count="9">
          <reference field="0" count="1" selected="0">
            <x v="0"/>
          </reference>
          <reference field="3" count="1">
            <x v="7522"/>
          </reference>
          <reference field="5" count="1" selected="0">
            <x v="23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376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73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72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7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69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68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65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76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6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23"/>
          </reference>
          <reference field="5" count="1" selected="0">
            <x v="5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6"/>
          </reference>
          <reference field="5" count="1" selected="0">
            <x v="76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52">
      <pivotArea dataOnly="0" labelOnly="1" outline="0" fieldPosition="0">
        <references count="11">
          <reference field="0" count="1" selected="0">
            <x v="0"/>
          </reference>
          <reference field="1" count="1">
            <x v="7367"/>
          </reference>
          <reference field="3" count="1" selected="0">
            <x v="7522"/>
          </reference>
          <reference field="5" count="1" selected="0">
            <x v="23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351">
      <pivotArea dataOnly="0" labelOnly="1" outline="0" fieldPosition="0">
        <references count="11">
          <reference field="0" count="1" selected="0">
            <x v="7"/>
          </reference>
          <reference field="1" count="1">
            <x v="7366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50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49">
      <pivotArea dataOnly="0" labelOnly="1" outline="0" fieldPosition="0">
        <references count="11">
          <reference field="0" count="1" selected="0">
            <x v="14"/>
          </reference>
          <reference field="1" count="1">
            <x v="7365"/>
          </reference>
          <reference field="3" count="1" selected="0">
            <x v="2"/>
          </reference>
          <reference field="5" count="1" selected="0">
            <x v="76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48">
      <pivotArea outline="0" collapsedLevelsAreSubtotals="1" fieldPosition="0"/>
    </format>
    <format dxfId="8347">
      <pivotArea dataOnly="0" labelOnly="1" outline="0" axis="axisValues" fieldPosition="0"/>
    </format>
    <format dxfId="8346">
      <pivotArea dataOnly="0" outline="0" fieldPosition="0">
        <references count="1">
          <reference field="12" count="0" defaultSubtotal="1"/>
        </references>
      </pivotArea>
    </format>
    <format dxfId="8345">
      <pivotArea outline="0" collapsedLevelsAreSubtotals="1" fieldPosition="0"/>
    </format>
    <format dxfId="8344">
      <pivotArea dataOnly="0" labelOnly="1" outline="0" axis="axisValues" fieldPosition="0"/>
    </format>
    <format dxfId="8343">
      <pivotArea outline="0" collapsedLevelsAreSubtotals="1" fieldPosition="0"/>
    </format>
    <format dxfId="8342">
      <pivotArea dataOnly="0" labelOnly="1" outline="0" axis="axisValues" fieldPosition="0"/>
    </format>
    <format dxfId="8341">
      <pivotArea dataOnly="0" labelOnly="1" outline="0" axis="axisValues" fieldPosition="0"/>
    </format>
    <format dxfId="8340">
      <pivotArea outline="0" collapsedLevelsAreSubtotals="1" fieldPosition="0"/>
    </format>
    <format dxfId="8339">
      <pivotArea field="12" type="button" dataOnly="0" labelOnly="1" outline="0" axis="axisRow" fieldPosition="2"/>
    </format>
    <format dxfId="8338">
      <pivotArea field="10" type="button" dataOnly="0" labelOnly="1" outline="0" axis="axisRow" fieldPosition="3"/>
    </format>
    <format dxfId="8337">
      <pivotArea field="16" type="button" dataOnly="0" labelOnly="1" outline="0" axis="axisRow" fieldPosition="4"/>
    </format>
    <format dxfId="8336">
      <pivotArea field="18" type="button" dataOnly="0" labelOnly="1" outline="0" axis="axisRow" fieldPosition="5"/>
    </format>
    <format dxfId="8335">
      <pivotArea field="5" type="button" dataOnly="0" labelOnly="1" outline="0" axis="axisRow" fieldPosition="6"/>
    </format>
    <format dxfId="8334">
      <pivotArea field="9" type="button" dataOnly="0" labelOnly="1" outline="0" axis="axisRow" fieldPosition="7"/>
    </format>
    <format dxfId="8333">
      <pivotArea field="3" type="button" dataOnly="0" labelOnly="1" outline="0" axis="axisRow" fieldPosition="8"/>
    </format>
    <format dxfId="8332">
      <pivotArea field="7" type="button" dataOnly="0" labelOnly="1" outline="0" axis="axisRow" fieldPosition="9"/>
    </format>
    <format dxfId="8331">
      <pivotArea field="1" type="button" dataOnly="0" labelOnly="1" outline="0" axis="axisRow" fieldPosition="10"/>
    </format>
    <format dxfId="8330">
      <pivotArea dataOnly="0" labelOnly="1" outline="0" axis="axisValues" fieldPosition="0"/>
    </format>
    <format dxfId="83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3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32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32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32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832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83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1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31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3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3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3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1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30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2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29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29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2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2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8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8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2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82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82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8247">
      <pivotArea dataOnly="0" labelOnly="1" outline="0" fieldPosition="0">
        <references count="7">
          <reference field="0" count="1" selected="0">
            <x v="12"/>
          </reference>
          <reference field="5" count="1">
            <x v="76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4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45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44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43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42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4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40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39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38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37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36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35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34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233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3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31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230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29">
      <pivotArea dataOnly="0" labelOnly="1" outline="0" fieldPosition="0">
        <references count="7">
          <reference field="0" count="1" selected="0">
            <x v="15"/>
          </reference>
          <reference field="5" count="1">
            <x v="76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28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227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226">
      <pivotArea dataOnly="0" labelOnly="1" outline="0" fieldPosition="0">
        <references count="7">
          <reference field="0" count="1" selected="0">
            <x v="15"/>
          </reference>
          <reference field="5" count="1">
            <x v="1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25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2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2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2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08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07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06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03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02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01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00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199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98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97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196">
      <pivotArea dataOnly="0" labelOnly="1" outline="0" fieldPosition="0">
        <references count="9">
          <reference field="0" count="1" selected="0">
            <x v="14"/>
          </reference>
          <reference field="3" count="1">
            <x v="7680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1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94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76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93">
      <pivotArea dataOnly="0" labelOnly="1" outline="0" fieldPosition="0">
        <references count="9">
          <reference field="0" count="1" selected="0">
            <x v="15"/>
          </reference>
          <reference field="3" count="1">
            <x v="7617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192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112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91">
      <pivotArea dataOnly="0" labelOnly="1" outline="0" fieldPosition="0">
        <references count="9">
          <reference field="0" count="1" selected="0">
            <x v="15"/>
          </reference>
          <reference field="3" count="1">
            <x v="7678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1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2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0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1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6"/>
          </reference>
          <reference field="5" count="1" selected="0">
            <x v="76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7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175">
      <pivotArea dataOnly="0" labelOnly="1" outline="0" fieldPosition="0">
        <references count="11">
          <reference field="0" count="1" selected="0">
            <x v="14"/>
          </reference>
          <reference field="1" count="1">
            <x v="7372"/>
          </reference>
          <reference field="3" count="1" selected="0">
            <x v="2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74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73">
      <pivotArea dataOnly="0" labelOnly="1" outline="0" fieldPosition="0">
        <references count="11">
          <reference field="0" count="1" selected="0">
            <x v="14"/>
          </reference>
          <reference field="1" count="1">
            <x v="7373"/>
          </reference>
          <reference field="3" count="1" selected="0">
            <x v="7680"/>
          </reference>
          <reference field="5" count="1" selected="0">
            <x v="23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172">
      <pivotArea outline="0" collapsedLevelsAreSubtotals="1" fieldPosition="0"/>
    </format>
    <format dxfId="8171">
      <pivotArea dataOnly="0" labelOnly="1" outline="0" axis="axisValues" fieldPosition="0"/>
    </format>
    <format dxfId="8170">
      <pivotArea dataOnly="0" outline="0" fieldPosition="0">
        <references count="1">
          <reference field="12" count="0" defaultSubtotal="1"/>
        </references>
      </pivotArea>
    </format>
    <format dxfId="8169">
      <pivotArea outline="0" collapsedLevelsAreSubtotals="1" fieldPosition="0"/>
    </format>
    <format dxfId="8168">
      <pivotArea dataOnly="0" labelOnly="1" outline="0" axis="axisValues" fieldPosition="0"/>
    </format>
    <format dxfId="8167">
      <pivotArea outline="0" collapsedLevelsAreSubtotals="1" fieldPosition="0"/>
    </format>
    <format dxfId="8166">
      <pivotArea dataOnly="0" labelOnly="1" outline="0" axis="axisValues" fieldPosition="0"/>
    </format>
    <format dxfId="8165">
      <pivotArea dataOnly="0" labelOnly="1" outline="0" axis="axisValues" fieldPosition="0"/>
    </format>
    <format dxfId="8164">
      <pivotArea outline="0" collapsedLevelsAreSubtotals="1" fieldPosition="0"/>
    </format>
    <format dxfId="8163">
      <pivotArea field="12" type="button" dataOnly="0" labelOnly="1" outline="0" axis="axisRow" fieldPosition="2"/>
    </format>
    <format dxfId="8162">
      <pivotArea field="10" type="button" dataOnly="0" labelOnly="1" outline="0" axis="axisRow" fieldPosition="3"/>
    </format>
    <format dxfId="8161">
      <pivotArea field="16" type="button" dataOnly="0" labelOnly="1" outline="0" axis="axisRow" fieldPosition="4"/>
    </format>
    <format dxfId="8160">
      <pivotArea field="18" type="button" dataOnly="0" labelOnly="1" outline="0" axis="axisRow" fieldPosition="5"/>
    </format>
    <format dxfId="8159">
      <pivotArea field="5" type="button" dataOnly="0" labelOnly="1" outline="0" axis="axisRow" fieldPosition="6"/>
    </format>
    <format dxfId="8158">
      <pivotArea field="9" type="button" dataOnly="0" labelOnly="1" outline="0" axis="axisRow" fieldPosition="7"/>
    </format>
    <format dxfId="8157">
      <pivotArea field="3" type="button" dataOnly="0" labelOnly="1" outline="0" axis="axisRow" fieldPosition="8"/>
    </format>
    <format dxfId="8156">
      <pivotArea field="7" type="button" dataOnly="0" labelOnly="1" outline="0" axis="axisRow" fieldPosition="9"/>
    </format>
    <format dxfId="8155">
      <pivotArea field="1" type="button" dataOnly="0" labelOnly="1" outline="0" axis="axisRow" fieldPosition="10"/>
    </format>
    <format dxfId="8154">
      <pivotArea dataOnly="0" labelOnly="1" outline="0" axis="axisValues" fieldPosition="0"/>
    </format>
    <format dxfId="815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5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51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815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8149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148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1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4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814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81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3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1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81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3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1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1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1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21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1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1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1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1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1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0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81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1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1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1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1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1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0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0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8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80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7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8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0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80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0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0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0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80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0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80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0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80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80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80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8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8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0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80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80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803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038">
      <pivotArea dataOnly="0" labelOnly="1" outline="0" fieldPosition="0">
        <references count="7">
          <reference field="0" count="1" selected="0">
            <x v="14"/>
          </reference>
          <reference field="5" count="1">
            <x v="615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037">
      <pivotArea dataOnly="0" labelOnly="1" outline="0" fieldPosition="0">
        <references count="7">
          <reference field="0" count="1" selected="0">
            <x v="7"/>
          </reference>
          <reference field="5" count="1">
            <x v="18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36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035">
      <pivotArea dataOnly="0" labelOnly="1" outline="0" fieldPosition="0">
        <references count="7">
          <reference field="0" count="1" selected="0">
            <x v="7"/>
          </reference>
          <reference field="5" count="1">
            <x v="45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34">
      <pivotArea dataOnly="0" labelOnly="1" outline="0" fieldPosition="0">
        <references count="7">
          <reference field="0" count="1" selected="0">
            <x v="7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033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32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31">
      <pivotArea dataOnly="0" labelOnly="1" outline="0" fieldPosition="0">
        <references count="7">
          <reference field="0" count="1" selected="0">
            <x v="7"/>
          </reference>
          <reference field="5" count="1">
            <x v="458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30">
      <pivotArea dataOnly="0" labelOnly="1" outline="0" fieldPosition="0">
        <references count="7">
          <reference field="0" count="1" selected="0">
            <x v="7"/>
          </reference>
          <reference field="5" count="1">
            <x v="274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29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28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27">
      <pivotArea dataOnly="0" labelOnly="1" outline="0" fieldPosition="0">
        <references count="7">
          <reference field="0" count="1" selected="0">
            <x v="12"/>
          </reference>
          <reference field="5" count="1">
            <x v="8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26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25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2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02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22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21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020">
      <pivotArea dataOnly="0" labelOnly="1" outline="0" fieldPosition="0">
        <references count="7">
          <reference field="0" count="1" selected="0">
            <x v="14"/>
          </reference>
          <reference field="5" count="1">
            <x v="7686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019">
      <pivotArea dataOnly="0" labelOnly="1" outline="0" fieldPosition="0">
        <references count="7">
          <reference field="0" count="1" selected="0">
            <x v="14"/>
          </reference>
          <reference field="5" count="1">
            <x v="618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018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17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16">
      <pivotArea dataOnly="0" labelOnly="1" outline="0" fieldPosition="0">
        <references count="7">
          <reference field="0" count="1" selected="0">
            <x v="14"/>
          </reference>
          <reference field="5" count="1">
            <x v="457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15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14">
      <pivotArea dataOnly="0" labelOnly="1" outline="0" fieldPosition="0">
        <references count="7">
          <reference field="0" count="1" selected="0">
            <x v="14"/>
          </reference>
          <reference field="5" count="1">
            <x v="744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13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01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011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10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009">
      <pivotArea dataOnly="0" labelOnly="1" outline="0" fieldPosition="0">
        <references count="7">
          <reference field="0" count="1" selected="0">
            <x v="15"/>
          </reference>
          <reference field="5" count="1">
            <x v="76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8008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8007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8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0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0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9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89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988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18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987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986">
      <pivotArea dataOnly="0" labelOnly="1" outline="0" fieldPosition="0">
        <references count="9">
          <reference field="0" count="1" selected="0">
            <x v="7"/>
          </reference>
          <reference field="3" count="1">
            <x v="7698"/>
          </reference>
          <reference field="5" count="1" selected="0">
            <x v="4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85">
      <pivotArea dataOnly="0" labelOnly="1" outline="0" fieldPosition="0">
        <references count="9">
          <reference field="0" count="1" selected="0">
            <x v="7"/>
          </reference>
          <reference field="3" count="1">
            <x v="7702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984">
      <pivotArea dataOnly="0" labelOnly="1" outline="0" fieldPosition="0">
        <references count="9">
          <reference field="0" count="1" selected="0">
            <x v="7"/>
          </reference>
          <reference field="3" count="1">
            <x v="768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83">
      <pivotArea dataOnly="0" labelOnly="1" outline="0" fieldPosition="0">
        <references count="9">
          <reference field="0" count="1" selected="0">
            <x v="7"/>
          </reference>
          <reference field="3" count="1">
            <x v="7701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982">
      <pivotArea dataOnly="0" labelOnly="1" outline="0" fieldPosition="0">
        <references count="9">
          <reference field="0" count="1" selected="0">
            <x v="7"/>
          </reference>
          <reference field="3" count="1">
            <x v="7696"/>
          </reference>
          <reference field="5" count="1" selected="0">
            <x v="45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981">
      <pivotArea dataOnly="0" labelOnly="1" outline="0" fieldPosition="0">
        <references count="9">
          <reference field="0" count="1" selected="0">
            <x v="7"/>
          </reference>
          <reference field="3" count="1">
            <x v="7685"/>
          </reference>
          <reference field="5" count="1" selected="0">
            <x v="27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980">
      <pivotArea dataOnly="0" labelOnly="1" outline="0" fieldPosition="0">
        <references count="9">
          <reference field="0" count="1" selected="0">
            <x v="7"/>
          </reference>
          <reference field="3" count="1">
            <x v="7699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9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9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976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975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61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9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73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972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971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97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969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968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9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9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9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8"/>
          </reference>
          <reference field="5" count="1" selected="0">
            <x v="4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2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9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8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7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61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9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51">
      <pivotArea dataOnly="0" labelOnly="1" outline="0" fieldPosition="0">
        <references count="11">
          <reference field="0" count="1" selected="0">
            <x v="7"/>
          </reference>
          <reference field="1" count="1">
            <x v="7386"/>
          </reference>
          <reference field="3" count="1" selected="0">
            <x v="7702"/>
          </reference>
          <reference field="5" count="1" selected="0">
            <x v="61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950">
      <pivotArea dataOnly="0" labelOnly="1" outline="0" fieldPosition="0">
        <references count="11">
          <reference field="0" count="1" selected="0">
            <x v="7"/>
          </reference>
          <reference field="1" count="1">
            <x v="7385"/>
          </reference>
          <reference field="3" count="1" selected="0">
            <x v="7701"/>
          </reference>
          <reference field="5" count="1" selected="0">
            <x v="76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949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2"/>
          </reference>
          <reference field="5" count="1" selected="0">
            <x v="76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948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947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946">
      <pivotArea dataOnly="0" labelOnly="1" outline="0" fieldPosition="0">
        <references count="11">
          <reference field="0" count="1" selected="0">
            <x v="15"/>
          </reference>
          <reference field="1" count="1">
            <x v="7343"/>
          </reference>
          <reference field="3" count="1" selected="0">
            <x v="0"/>
          </reference>
          <reference field="5" count="1" selected="0">
            <x v="76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7945">
      <pivotArea outline="0" collapsedLevelsAreSubtotals="1" fieldPosition="0"/>
    </format>
    <format dxfId="7944">
      <pivotArea dataOnly="0" labelOnly="1" outline="0" axis="axisValues" fieldPosition="0"/>
    </format>
    <format dxfId="7943">
      <pivotArea dataOnly="0" outline="0" fieldPosition="0">
        <references count="1">
          <reference field="12" count="0" defaultSubtotal="1"/>
        </references>
      </pivotArea>
    </format>
    <format dxfId="7942">
      <pivotArea outline="0" collapsedLevelsAreSubtotals="1" fieldPosition="0"/>
    </format>
    <format dxfId="7941">
      <pivotArea dataOnly="0" labelOnly="1" outline="0" axis="axisValues" fieldPosition="0"/>
    </format>
    <format dxfId="7940">
      <pivotArea outline="0" collapsedLevelsAreSubtotals="1" fieldPosition="0"/>
    </format>
    <format dxfId="7939">
      <pivotArea dataOnly="0" labelOnly="1" outline="0" axis="axisValues" fieldPosition="0"/>
    </format>
    <format dxfId="7938">
      <pivotArea dataOnly="0" labelOnly="1" outline="0" axis="axisValues" fieldPosition="0"/>
    </format>
    <format dxfId="7937">
      <pivotArea outline="0" collapsedLevelsAreSubtotals="1" fieldPosition="0"/>
    </format>
    <format dxfId="7936">
      <pivotArea field="12" type="button" dataOnly="0" labelOnly="1" outline="0" axis="axisRow" fieldPosition="2"/>
    </format>
    <format dxfId="7935">
      <pivotArea field="10" type="button" dataOnly="0" labelOnly="1" outline="0" axis="axisRow" fieldPosition="3"/>
    </format>
    <format dxfId="7934">
      <pivotArea field="16" type="button" dataOnly="0" labelOnly="1" outline="0" axis="axisRow" fieldPosition="4"/>
    </format>
    <format dxfId="7933">
      <pivotArea field="18" type="button" dataOnly="0" labelOnly="1" outline="0" axis="axisRow" fieldPosition="5"/>
    </format>
    <format dxfId="7932">
      <pivotArea field="5" type="button" dataOnly="0" labelOnly="1" outline="0" axis="axisRow" fieldPosition="6"/>
    </format>
    <format dxfId="7931">
      <pivotArea field="9" type="button" dataOnly="0" labelOnly="1" outline="0" axis="axisRow" fieldPosition="7"/>
    </format>
    <format dxfId="7930">
      <pivotArea field="3" type="button" dataOnly="0" labelOnly="1" outline="0" axis="axisRow" fieldPosition="8"/>
    </format>
    <format dxfId="7929">
      <pivotArea field="7" type="button" dataOnly="0" labelOnly="1" outline="0" axis="axisRow" fieldPosition="9"/>
    </format>
    <format dxfId="7928">
      <pivotArea field="1" type="button" dataOnly="0" labelOnly="1" outline="0" axis="axisRow" fieldPosition="10"/>
    </format>
    <format dxfId="7927">
      <pivotArea dataOnly="0" labelOnly="1" outline="0" axis="axisValues" fieldPosition="0"/>
    </format>
    <format dxfId="792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792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792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9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92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92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9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1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91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9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9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9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9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9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0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8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8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8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89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7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8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8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8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8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8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8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7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8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8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8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78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78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7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8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78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784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845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844">
      <pivotArea dataOnly="0" labelOnly="1" outline="0" fieldPosition="0">
        <references count="7">
          <reference field="0" count="1" selected="0">
            <x v="11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843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71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42">
      <pivotArea dataOnly="0" labelOnly="1" outline="0" fieldPosition="0">
        <references count="7">
          <reference field="0" count="1" selected="0">
            <x v="11"/>
          </reference>
          <reference field="5" count="1">
            <x v="62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841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840">
      <pivotArea dataOnly="0" labelOnly="1" outline="0" fieldPosition="0">
        <references count="7">
          <reference field="0" count="1" selected="0">
            <x v="11"/>
          </reference>
          <reference field="5" count="1">
            <x v="53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39">
      <pivotArea dataOnly="0" labelOnly="1" outline="0" fieldPosition="0">
        <references count="7">
          <reference field="0" count="1" selected="0">
            <x v="12"/>
          </reference>
          <reference field="5" count="1">
            <x v="76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38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837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36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835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34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833">
      <pivotArea dataOnly="0" labelOnly="1" outline="0" fieldPosition="0">
        <references count="7">
          <reference field="0" count="1" selected="0">
            <x v="14"/>
          </reference>
          <reference field="5" count="1">
            <x v="769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32">
      <pivotArea dataOnly="0" labelOnly="1" outline="0" fieldPosition="0">
        <references count="7">
          <reference field="0" count="1" selected="0">
            <x v="14"/>
          </reference>
          <reference field="5" count="1">
            <x v="445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31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83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829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28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827">
      <pivotArea dataOnly="0" labelOnly="1" outline="0" fieldPosition="0">
        <references count="7">
          <reference field="0" count="1" selected="0">
            <x v="15"/>
          </reference>
          <reference field="5" count="1">
            <x v="26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826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8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82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8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8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814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813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812">
      <pivotArea dataOnly="0" labelOnly="1" outline="0" fieldPosition="0">
        <references count="9">
          <reference field="0" count="1" selected="0">
            <x v="11"/>
          </reference>
          <reference field="3" count="1">
            <x v="7634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811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10">
      <pivotArea dataOnly="0" labelOnly="1" outline="0" fieldPosition="0">
        <references count="9">
          <reference field="0" count="1" selected="0">
            <x v="11"/>
          </reference>
          <reference field="3" count="1">
            <x v="7505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09">
      <pivotArea dataOnly="0" labelOnly="1" outline="0" fieldPosition="0">
        <references count="9">
          <reference field="0" count="1" selected="0">
            <x v="11"/>
          </reference>
          <reference field="3" count="1">
            <x v="7632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808">
      <pivotArea dataOnly="0" labelOnly="1" outline="0" fieldPosition="0">
        <references count="9">
          <reference field="0" count="1" selected="0">
            <x v="11"/>
          </reference>
          <reference field="3" count="1">
            <x v="7631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807">
      <pivotArea dataOnly="0" labelOnly="1" outline="0" fieldPosition="0">
        <references count="9">
          <reference field="0" count="1" selected="0">
            <x v="11"/>
          </reference>
          <reference field="3" count="1">
            <x v="7630"/>
          </reference>
          <reference field="5" count="1" selected="0">
            <x v="5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8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02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4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01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800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99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7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97">
      <pivotArea dataOnly="0" labelOnly="1" outline="0" fieldPosition="0">
        <references count="9">
          <reference field="0" count="1" selected="0">
            <x v="15"/>
          </reference>
          <reference field="3" count="1">
            <x v="7703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9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34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7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7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4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3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785">
      <pivotArea dataOnly="0" labelOnly="1" outline="0" fieldPosition="0">
        <references count="11">
          <reference field="0" count="1" selected="0">
            <x v="11"/>
          </reference>
          <reference field="1" count="1">
            <x v="7336"/>
          </reference>
          <reference field="3" count="1" selected="0">
            <x v="7632"/>
          </reference>
          <reference field="5" count="1" selected="0">
            <x v="62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784">
      <pivotArea dataOnly="0" labelOnly="1" outline="0" fieldPosition="0">
        <references count="11">
          <reference field="0" count="1" selected="0">
            <x v="11"/>
          </reference>
          <reference field="1" count="1">
            <x v="7335"/>
          </reference>
          <reference field="3" count="1" selected="0">
            <x v="7630"/>
          </reference>
          <reference field="5" count="1" selected="0">
            <x v="53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783">
      <pivotArea dataOnly="0" labelOnly="1" outline="0" fieldPosition="0">
        <references count="11">
          <reference field="0" count="1" selected="0">
            <x v="14"/>
          </reference>
          <reference field="1" count="1">
            <x v="7395"/>
          </reference>
          <reference field="3" count="1" selected="0">
            <x v="7628"/>
          </reference>
          <reference field="5" count="1" selected="0">
            <x v="4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82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81">
      <pivotArea outline="0" collapsedLevelsAreSubtotals="1" fieldPosition="0"/>
    </format>
    <format dxfId="7780">
      <pivotArea dataOnly="0" labelOnly="1" outline="0" axis="axisValues" fieldPosition="0"/>
    </format>
    <format dxfId="7779">
      <pivotArea dataOnly="0" outline="0" fieldPosition="0">
        <references count="1">
          <reference field="12" count="0" defaultSubtotal="1"/>
        </references>
      </pivotArea>
    </format>
    <format dxfId="7778">
      <pivotArea outline="0" collapsedLevelsAreSubtotals="1" fieldPosition="0"/>
    </format>
    <format dxfId="7777">
      <pivotArea dataOnly="0" labelOnly="1" outline="0" axis="axisValues" fieldPosition="0"/>
    </format>
    <format dxfId="7776">
      <pivotArea outline="0" collapsedLevelsAreSubtotals="1" fieldPosition="0"/>
    </format>
    <format dxfId="7775">
      <pivotArea dataOnly="0" labelOnly="1" outline="0" axis="axisValues" fieldPosition="0"/>
    </format>
    <format dxfId="7774">
      <pivotArea dataOnly="0" labelOnly="1" outline="0" axis="axisValues" fieldPosition="0"/>
    </format>
    <format dxfId="7773">
      <pivotArea outline="0" collapsedLevelsAreSubtotals="1" fieldPosition="0"/>
    </format>
    <format dxfId="7772">
      <pivotArea field="12" type="button" dataOnly="0" labelOnly="1" outline="0" axis="axisRow" fieldPosition="2"/>
    </format>
    <format dxfId="7771">
      <pivotArea field="10" type="button" dataOnly="0" labelOnly="1" outline="0" axis="axisRow" fieldPosition="3"/>
    </format>
    <format dxfId="7770">
      <pivotArea field="16" type="button" dataOnly="0" labelOnly="1" outline="0" axis="axisRow" fieldPosition="4"/>
    </format>
    <format dxfId="7769">
      <pivotArea field="18" type="button" dataOnly="0" labelOnly="1" outline="0" axis="axisRow" fieldPosition="5"/>
    </format>
    <format dxfId="7768">
      <pivotArea field="5" type="button" dataOnly="0" labelOnly="1" outline="0" axis="axisRow" fieldPosition="6"/>
    </format>
    <format dxfId="7767">
      <pivotArea field="9" type="button" dataOnly="0" labelOnly="1" outline="0" axis="axisRow" fieldPosition="7"/>
    </format>
    <format dxfId="7766">
      <pivotArea field="3" type="button" dataOnly="0" labelOnly="1" outline="0" axis="axisRow" fieldPosition="8"/>
    </format>
    <format dxfId="7765">
      <pivotArea field="7" type="button" dataOnly="0" labelOnly="1" outline="0" axis="axisRow" fieldPosition="9"/>
    </format>
    <format dxfId="7764">
      <pivotArea field="1" type="button" dataOnly="0" labelOnly="1" outline="0" axis="axisRow" fieldPosition="10"/>
    </format>
    <format dxfId="7763">
      <pivotArea dataOnly="0" labelOnly="1" outline="0" axis="axisValues" fieldPosition="0"/>
    </format>
    <format dxfId="776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776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77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7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7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5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75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7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50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7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7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4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7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7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7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7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7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7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7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7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7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7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72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7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6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6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7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7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7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7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7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7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76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6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76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7669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6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67">
      <pivotArea dataOnly="0" labelOnly="1" outline="0" fieldPosition="0">
        <references count="7">
          <reference field="0" count="1" selected="0">
            <x v="14"/>
          </reference>
          <reference field="5" count="1">
            <x v="136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66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65">
      <pivotArea dataOnly="0" labelOnly="1" outline="0" fieldPosition="0">
        <references count="7">
          <reference field="0" count="1" selected="0">
            <x v="12"/>
          </reference>
          <reference field="5" count="1">
            <x v="76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64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63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62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61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60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59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58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657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56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7655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54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53">
      <pivotArea dataOnly="0" labelOnly="1" outline="0" fieldPosition="0">
        <references count="7">
          <reference field="0" count="1" selected="0">
            <x v="14"/>
          </reference>
          <reference field="5" count="1">
            <x v="445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52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5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50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649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48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7647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646">
      <pivotArea dataOnly="0" labelOnly="1" outline="0" fieldPosition="0">
        <references count="7">
          <reference field="0" count="1" selected="0">
            <x v="15"/>
          </reference>
          <reference field="5" count="1">
            <x v="26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7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6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29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28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27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26">
      <pivotArea dataOnly="0" labelOnly="1" outline="0" fieldPosition="0">
        <references count="9">
          <reference field="0" count="1" selected="0">
            <x v="12"/>
          </reference>
          <reference field="3" count="1">
            <x v="771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23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6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20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76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18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17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4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1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15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14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13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5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0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7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4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2"/>
          </reference>
          <reference field="5" count="1" selected="0">
            <x v="7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598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97">
      <pivotArea dataOnly="0" labelOnly="1" outline="0" fieldPosition="0">
        <references count="11">
          <reference field="0" count="1" selected="0">
            <x v="14"/>
          </reference>
          <reference field="1" count="1">
            <x v="7406"/>
          </reference>
          <reference field="3" count="1" selected="0">
            <x v="2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96">
      <pivotArea dataOnly="0" labelOnly="1" outline="0" fieldPosition="0">
        <references count="11">
          <reference field="0" count="1" selected="0">
            <x v="14"/>
          </reference>
          <reference field="1" count="1">
            <x v="7404"/>
          </reference>
          <reference field="3" count="1" selected="0">
            <x v="0"/>
          </reference>
          <reference field="5" count="1" selected="0">
            <x v="75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95">
      <pivotArea dataOnly="0" labelOnly="1" outline="0" fieldPosition="0">
        <references count="11">
          <reference field="0" count="1" selected="0">
            <x v="14"/>
          </reference>
          <reference field="1" count="1">
            <x v="7405"/>
          </reference>
          <reference field="3" count="1" selected="0">
            <x v="7707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94">
      <pivotArea dataOnly="0" labelOnly="1" outline="0" fieldPosition="0">
        <references count="11">
          <reference field="0" count="1" selected="0">
            <x v="14"/>
          </reference>
          <reference field="1" count="1">
            <x v="7395"/>
          </reference>
          <reference field="3" count="1" selected="0">
            <x v="7628"/>
          </reference>
          <reference field="5" count="1" selected="0">
            <x v="4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93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92">
      <pivotArea outline="0" collapsedLevelsAreSubtotals="1" fieldPosition="0"/>
    </format>
    <format dxfId="7591">
      <pivotArea dataOnly="0" labelOnly="1" outline="0" axis="axisValues" fieldPosition="0"/>
    </format>
    <format dxfId="7590">
      <pivotArea dataOnly="0" outline="0" fieldPosition="0">
        <references count="1">
          <reference field="12" count="0" defaultSubtotal="1"/>
        </references>
      </pivotArea>
    </format>
    <format dxfId="7589">
      <pivotArea outline="0" collapsedLevelsAreSubtotals="1" fieldPosition="0"/>
    </format>
    <format dxfId="7588">
      <pivotArea dataOnly="0" labelOnly="1" outline="0" axis="axisValues" fieldPosition="0"/>
    </format>
    <format dxfId="7587">
      <pivotArea outline="0" collapsedLevelsAreSubtotals="1" fieldPosition="0"/>
    </format>
    <format dxfId="7586">
      <pivotArea dataOnly="0" labelOnly="1" outline="0" axis="axisValues" fieldPosition="0"/>
    </format>
    <format dxfId="7585">
      <pivotArea dataOnly="0" labelOnly="1" outline="0" axis="axisValues" fieldPosition="0"/>
    </format>
    <format dxfId="7584">
      <pivotArea outline="0" collapsedLevelsAreSubtotals="1" fieldPosition="0"/>
    </format>
    <format dxfId="7583">
      <pivotArea field="12" type="button" dataOnly="0" labelOnly="1" outline="0" axis="axisRow" fieldPosition="2"/>
    </format>
    <format dxfId="7582">
      <pivotArea field="10" type="button" dataOnly="0" labelOnly="1" outline="0" axis="axisRow" fieldPosition="3"/>
    </format>
    <format dxfId="7581">
      <pivotArea field="16" type="button" dataOnly="0" labelOnly="1" outline="0" axis="axisRow" fieldPosition="4"/>
    </format>
    <format dxfId="7580">
      <pivotArea field="18" type="button" dataOnly="0" labelOnly="1" outline="0" axis="axisRow" fieldPosition="5"/>
    </format>
    <format dxfId="7579">
      <pivotArea field="5" type="button" dataOnly="0" labelOnly="1" outline="0" axis="axisRow" fieldPosition="6"/>
    </format>
    <format dxfId="7578">
      <pivotArea field="9" type="button" dataOnly="0" labelOnly="1" outline="0" axis="axisRow" fieldPosition="7"/>
    </format>
    <format dxfId="7577">
      <pivotArea field="3" type="button" dataOnly="0" labelOnly="1" outline="0" axis="axisRow" fieldPosition="8"/>
    </format>
    <format dxfId="7576">
      <pivotArea field="7" type="button" dataOnly="0" labelOnly="1" outline="0" axis="axisRow" fieldPosition="9"/>
    </format>
    <format dxfId="7575">
      <pivotArea field="1" type="button" dataOnly="0" labelOnly="1" outline="0" axis="axisRow" fieldPosition="10"/>
    </format>
    <format dxfId="7574">
      <pivotArea dataOnly="0" labelOnly="1" outline="0" axis="axisValues" fieldPosition="0"/>
    </format>
    <format dxfId="757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57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571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75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756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756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7567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566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5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6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756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75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5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75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5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5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5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5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5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5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5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5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5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5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75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5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5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5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5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5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5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5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5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5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7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4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74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74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4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74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74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7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4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7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74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74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74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746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462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461">
      <pivotArea dataOnly="0" labelOnly="1" outline="0" fieldPosition="0">
        <references count="7">
          <reference field="0" count="1" selected="0">
            <x v="7"/>
          </reference>
          <reference field="5" count="1">
            <x v="676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60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459">
      <pivotArea dataOnly="0" labelOnly="1" outline="0" fieldPosition="0">
        <references count="7">
          <reference field="0" count="1" selected="0">
            <x v="10"/>
          </reference>
          <reference field="5" count="1">
            <x v="19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58">
      <pivotArea dataOnly="0" labelOnly="1" outline="0" fieldPosition="0">
        <references count="7">
          <reference field="0" count="1" selected="0">
            <x v="10"/>
          </reference>
          <reference field="5" count="1">
            <x v="45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57">
      <pivotArea dataOnly="0" labelOnly="1" outline="0" fieldPosition="0">
        <references count="7">
          <reference field="0" count="1" selected="0">
            <x v="10"/>
          </reference>
          <reference field="5" count="1">
            <x v="46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456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55">
      <pivotArea dataOnly="0" labelOnly="1" outline="0" fieldPosition="0">
        <references count="7">
          <reference field="0" count="1" selected="0">
            <x v="10"/>
          </reference>
          <reference field="5" count="1">
            <x v="683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54">
      <pivotArea dataOnly="0" labelOnly="1" outline="0" fieldPosition="0">
        <references count="7">
          <reference field="0" count="1" selected="0">
            <x v="10"/>
          </reference>
          <reference field="5" count="1">
            <x v="578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7453">
      <pivotArea dataOnly="0" labelOnly="1" outline="0" fieldPosition="0">
        <references count="7">
          <reference field="0" count="1" selected="0">
            <x v="12"/>
          </reference>
          <reference field="5" count="1">
            <x v="77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52">
      <pivotArea dataOnly="0" labelOnly="1" outline="0" fieldPosition="0">
        <references count="7">
          <reference field="0" count="1" selected="0">
            <x v="12"/>
          </reference>
          <reference field="5" count="1">
            <x v="77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451">
      <pivotArea dataOnly="0" labelOnly="1" outline="0" fieldPosition="0">
        <references count="7">
          <reference field="0" count="1" selected="0">
            <x v="12"/>
          </reference>
          <reference field="5" count="1">
            <x v="77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50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449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48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47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46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45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44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43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42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441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440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439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38">
      <pivotArea dataOnly="0" labelOnly="1" outline="0" fieldPosition="0">
        <references count="7">
          <reference field="0" count="1" selected="0">
            <x v="14"/>
          </reference>
          <reference field="5" count="1">
            <x v="769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437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36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35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43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433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32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431">
      <pivotArea dataOnly="0" labelOnly="1" outline="0" fieldPosition="0">
        <references count="7">
          <reference field="0" count="1" selected="0">
            <x v="15"/>
          </reference>
          <reference field="5" count="2">
            <x v="3175"/>
            <x v="76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430">
      <pivotArea dataOnly="0" labelOnly="1" outline="0" fieldPosition="0">
        <references count="7">
          <reference field="0" count="1" selected="0">
            <x v="15"/>
          </reference>
          <reference field="5" count="1">
            <x v="26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4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4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4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4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4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406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405">
      <pivotArea dataOnly="0" labelOnly="1" outline="0" fieldPosition="0">
        <references count="9">
          <reference field="0" count="1" selected="0">
            <x v="14"/>
          </reference>
          <reference field="3" count="1">
            <x v="7717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404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67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03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402">
      <pivotArea dataOnly="0" labelOnly="1" outline="0" fieldPosition="0">
        <references count="9">
          <reference field="0" count="1" selected="0">
            <x v="10"/>
          </reference>
          <reference field="3" count="1">
            <x v="7587"/>
          </reference>
          <reference field="5" count="1" selected="0">
            <x v="1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01">
      <pivotArea dataOnly="0" labelOnly="1" outline="0" fieldPosition="0">
        <references count="9">
          <reference field="0" count="1" selected="0">
            <x v="10"/>
          </reference>
          <reference field="3" count="1">
            <x v="7585"/>
          </reference>
          <reference field="5" count="1" selected="0">
            <x v="4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00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4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399">
      <pivotArea dataOnly="0" labelOnly="1" outline="0" fieldPosition="0">
        <references count="9">
          <reference field="0" count="1" selected="0">
            <x v="10"/>
          </reference>
          <reference field="3" count="1">
            <x v="7586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9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97">
      <pivotArea dataOnly="0" labelOnly="1" outline="0" fieldPosition="0">
        <references count="9">
          <reference field="0" count="1" selected="0">
            <x v="10"/>
          </reference>
          <reference field="3" count="1">
            <x v="7447"/>
          </reference>
          <reference field="5" count="1" selected="0">
            <x v="5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73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95">
      <pivotArea dataOnly="0" labelOnly="1" outline="0" fieldPosition="0">
        <references count="9">
          <reference field="0" count="1" selected="0">
            <x v="12"/>
          </reference>
          <reference field="3" count="1">
            <x v="7718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90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88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87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86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85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84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8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8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81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380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7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3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4"/>
          </reference>
          <reference field="5" count="1" selected="0">
            <x v="6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3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7"/>
          </reference>
          <reference field="5" count="1" selected="0">
            <x v="1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8"/>
          </reference>
          <reference field="5" count="1" selected="0">
            <x v="4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37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6"/>
          </reference>
          <reference field="5" count="1" selected="0">
            <x v="5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7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8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6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7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56">
      <pivotArea dataOnly="0" labelOnly="1" outline="0" fieldPosition="0">
        <references count="11">
          <reference field="0" count="1" selected="0">
            <x v="14"/>
          </reference>
          <reference field="1" count="1">
            <x v="7413"/>
          </reference>
          <reference field="3" count="1" selected="0">
            <x v="7717"/>
          </reference>
          <reference field="5" count="1" selected="0">
            <x v="23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355">
      <pivotArea dataOnly="0" labelOnly="1" outline="0" fieldPosition="0">
        <references count="11">
          <reference field="0" count="1" selected="0">
            <x v="10"/>
          </reference>
          <reference field="1" count="1">
            <x v="7415"/>
          </reference>
          <reference field="3" count="1" selected="0">
            <x v="7587"/>
          </reference>
          <reference field="5" count="1" selected="0">
            <x v="1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54">
      <pivotArea dataOnly="0" labelOnly="1" outline="0" fieldPosition="0">
        <references count="11">
          <reference field="0" count="1" selected="0">
            <x v="10"/>
          </reference>
          <reference field="1" count="1">
            <x v="7110"/>
          </reference>
          <reference field="3" count="1" selected="0">
            <x v="7448"/>
          </reference>
          <reference field="5" count="1" selected="0">
            <x v="4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353">
      <pivotArea dataOnly="0" labelOnly="1" outline="0" fieldPosition="0">
        <references count="11">
          <reference field="0" count="1" selected="0">
            <x v="12"/>
          </reference>
          <reference field="1" count="1">
            <x v="7414"/>
          </reference>
          <reference field="3" count="1" selected="0">
            <x v="0"/>
          </reference>
          <reference field="5" count="1" selected="0">
            <x v="77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52">
      <pivotArea dataOnly="0" labelOnly="1" outline="0" fieldPosition="0">
        <references count="11">
          <reference field="0" count="1" selected="0">
            <x v="14"/>
          </reference>
          <reference field="1" count="1">
            <x v="7411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51">
      <pivotArea dataOnly="0" labelOnly="1" outline="0" fieldPosition="0">
        <references count="11">
          <reference field="0" count="1" selected="0">
            <x v="14"/>
          </reference>
          <reference field="1" count="1">
            <x v="7412"/>
          </reference>
          <reference field="3" count="1" selected="0">
            <x v="2"/>
          </reference>
          <reference field="5" count="1" selected="0">
            <x v="7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50">
      <pivotArea dataOnly="0" labelOnly="1" outline="0" fieldPosition="0">
        <references count="11">
          <reference field="0" count="1" selected="0">
            <x v="14"/>
          </reference>
          <reference field="1" count="1">
            <x v="7410"/>
          </reference>
          <reference field="3" count="1" selected="0">
            <x v="7714"/>
          </reference>
          <reference field="5" count="1" selected="0">
            <x v="76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49">
      <pivotArea dataOnly="0" labelOnly="1" outline="0" fieldPosition="0">
        <references count="11">
          <reference field="0" count="1" selected="0">
            <x v="14"/>
          </reference>
          <reference field="1" count="1">
            <x v="7405"/>
          </reference>
          <reference field="3" count="1" selected="0">
            <x v="7707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48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47">
      <pivotArea outline="0" collapsedLevelsAreSubtotals="1" fieldPosition="0"/>
    </format>
    <format dxfId="7346">
      <pivotArea dataOnly="0" labelOnly="1" outline="0" axis="axisValues" fieldPosition="0"/>
    </format>
    <format dxfId="7345">
      <pivotArea dataOnly="0" outline="0" fieldPosition="0">
        <references count="1">
          <reference field="12" count="0" defaultSubtotal="1"/>
        </references>
      </pivotArea>
    </format>
    <format dxfId="7344">
      <pivotArea outline="0" collapsedLevelsAreSubtotals="1" fieldPosition="0"/>
    </format>
    <format dxfId="7343">
      <pivotArea dataOnly="0" labelOnly="1" outline="0" axis="axisValues" fieldPosition="0"/>
    </format>
    <format dxfId="7342">
      <pivotArea outline="0" collapsedLevelsAreSubtotals="1" fieldPosition="0"/>
    </format>
    <format dxfId="7341">
      <pivotArea dataOnly="0" labelOnly="1" outline="0" axis="axisValues" fieldPosition="0"/>
    </format>
    <format dxfId="7340">
      <pivotArea dataOnly="0" labelOnly="1" outline="0" axis="axisValues" fieldPosition="0"/>
    </format>
    <format dxfId="7339">
      <pivotArea outline="0" collapsedLevelsAreSubtotals="1" fieldPosition="0"/>
    </format>
    <format dxfId="7338">
      <pivotArea field="12" type="button" dataOnly="0" labelOnly="1" outline="0" axis="axisRow" fieldPosition="2"/>
    </format>
    <format dxfId="7337">
      <pivotArea field="10" type="button" dataOnly="0" labelOnly="1" outline="0" axis="axisRow" fieldPosition="3"/>
    </format>
    <format dxfId="7336">
      <pivotArea field="16" type="button" dataOnly="0" labelOnly="1" outline="0" axis="axisRow" fieldPosition="4"/>
    </format>
    <format dxfId="7335">
      <pivotArea field="18" type="button" dataOnly="0" labelOnly="1" outline="0" axis="axisRow" fieldPosition="5"/>
    </format>
    <format dxfId="7334">
      <pivotArea field="5" type="button" dataOnly="0" labelOnly="1" outline="0" axis="axisRow" fieldPosition="6"/>
    </format>
    <format dxfId="7333">
      <pivotArea field="9" type="button" dataOnly="0" labelOnly="1" outline="0" axis="axisRow" fieldPosition="7"/>
    </format>
    <format dxfId="7332">
      <pivotArea field="3" type="button" dataOnly="0" labelOnly="1" outline="0" axis="axisRow" fieldPosition="8"/>
    </format>
    <format dxfId="7331">
      <pivotArea field="7" type="button" dataOnly="0" labelOnly="1" outline="0" axis="axisRow" fieldPosition="9"/>
    </format>
    <format dxfId="7330">
      <pivotArea field="1" type="button" dataOnly="0" labelOnly="1" outline="0" axis="axisRow" fieldPosition="10"/>
    </format>
    <format dxfId="7329">
      <pivotArea dataOnly="0" labelOnly="1" outline="0" axis="axisValues" fieldPosition="0"/>
    </format>
    <format dxfId="7328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732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7326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32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32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3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3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1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731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73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3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3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3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3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95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2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2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2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2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2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2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2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2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2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2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2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7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7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7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7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7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2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2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7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720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04">
      <pivotArea dataOnly="0" labelOnly="1" outline="0" fieldPosition="0">
        <references count="7">
          <reference field="0" count="1" selected="0">
            <x v="2"/>
          </reference>
          <reference field="5" count="1">
            <x v="43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203">
      <pivotArea dataOnly="0" labelOnly="1" outline="0" fieldPosition="0">
        <references count="7">
          <reference field="0" count="1" selected="0">
            <x v="2"/>
          </reference>
          <reference field="5" count="1">
            <x v="20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02">
      <pivotArea dataOnly="0" labelOnly="1" outline="0" fieldPosition="0">
        <references count="7">
          <reference field="0" count="1" selected="0">
            <x v="2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01">
      <pivotArea dataOnly="0" labelOnly="1" outline="0" fieldPosition="0">
        <references count="7">
          <reference field="0" count="1" selected="0">
            <x v="2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00">
      <pivotArea dataOnly="0" labelOnly="1" outline="0" fieldPosition="0">
        <references count="7">
          <reference field="0" count="1" selected="0">
            <x v="2"/>
          </reference>
          <reference field="5" count="1">
            <x v="75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99">
      <pivotArea dataOnly="0" labelOnly="1" outline="0" fieldPosition="0">
        <references count="7">
          <reference field="0" count="1" selected="0">
            <x v="2"/>
          </reference>
          <reference field="5" count="1">
            <x v="771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98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97">
      <pivotArea dataOnly="0" labelOnly="1" outline="0" fieldPosition="0">
        <references count="7">
          <reference field="0" count="1" selected="0">
            <x v="12"/>
          </reference>
          <reference field="5" count="2">
            <x v="7710"/>
            <x v="77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96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95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94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9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92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91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90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189">
      <pivotArea dataOnly="0" labelOnly="1" outline="0" fieldPosition="0">
        <references count="7">
          <reference field="0" count="1" selected="0">
            <x v="14"/>
          </reference>
          <reference field="5" count="1">
            <x v="770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188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87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86">
      <pivotArea dataOnly="0" labelOnly="1" outline="0" fieldPosition="0">
        <references count="7">
          <reference field="0" count="1" selected="0">
            <x v="14"/>
          </reference>
          <reference field="5" count="1">
            <x v="7707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85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84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83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82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81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80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79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78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77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7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75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74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73">
      <pivotArea dataOnly="0" labelOnly="1" outline="0" fieldPosition="0">
        <references count="7">
          <reference field="0" count="1" selected="0">
            <x v="15"/>
          </reference>
          <reference field="5" count="3">
            <x v="3175"/>
            <x v="7695"/>
            <x v="77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172">
      <pivotArea dataOnly="0" labelOnly="1" outline="0" fieldPosition="0">
        <references count="7">
          <reference field="0" count="1" selected="0">
            <x v="15"/>
          </reference>
          <reference field="5" count="2">
            <x v="4723"/>
            <x v="7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171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7170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169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68">
      <pivotArea dataOnly="0" labelOnly="1" outline="0" fieldPosition="0">
        <references count="7">
          <reference field="0" count="1" selected="0">
            <x v="15"/>
          </reference>
          <reference field="5" count="1">
            <x v="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167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1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16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41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0">
      <pivotArea dataOnly="0" labelOnly="1" outline="0" fieldPosition="0">
        <references count="9">
          <reference field="0" count="1" selected="0">
            <x v="2"/>
          </reference>
          <reference field="3" count="1">
            <x v="7605"/>
          </reference>
          <reference field="5" count="1" selected="0">
            <x v="4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13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138">
      <pivotArea dataOnly="0" labelOnly="1" outline="0" fieldPosition="0">
        <references count="9">
          <reference field="0" count="1" selected="0">
            <x v="2"/>
          </reference>
          <reference field="3" count="1">
            <x v="7604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3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3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35">
      <pivotArea dataOnly="0" labelOnly="1" outline="0" fieldPosition="0">
        <references count="9">
          <reference field="0" count="1" selected="0">
            <x v="2"/>
          </reference>
          <reference field="3" count="1">
            <x v="7521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34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33">
      <pivotArea dataOnly="0" labelOnly="1" outline="0" fieldPosition="0">
        <references count="9">
          <reference field="0" count="1" selected="0">
            <x v="12"/>
          </reference>
          <reference field="3" count="1">
            <x v="7728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30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26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5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24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23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22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21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0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1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1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1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16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15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1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1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5"/>
          </reference>
          <reference field="5" count="1" selected="0">
            <x v="4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1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1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4"/>
          </reference>
          <reference field="5" count="1" selected="0">
            <x v="6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21"/>
          </reference>
          <reference field="5" count="1" selected="0">
            <x v="77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8"/>
          </reference>
          <reference field="5" count="1" selected="0">
            <x v="7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77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7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6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7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0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086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605"/>
          </reference>
          <reference field="5" count="1" selected="0">
            <x v="4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085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2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084">
      <pivotArea dataOnly="0" labelOnly="1" outline="0" fieldPosition="0">
        <references count="11">
          <reference field="0" count="1" selected="0">
            <x v="14"/>
          </reference>
          <reference field="1" count="1">
            <x v="7410"/>
          </reference>
          <reference field="3" count="1" selected="0">
            <x v="7714"/>
          </reference>
          <reference field="5" count="1" selected="0">
            <x v="76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83">
      <pivotArea dataOnly="0" labelOnly="1" outline="0" fieldPosition="0">
        <references count="11">
          <reference field="0" count="1" selected="0">
            <x v="14"/>
          </reference>
          <reference field="1" count="1">
            <x v="7405"/>
          </reference>
          <reference field="3" count="1" selected="0">
            <x v="7707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82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81">
      <pivotArea dataOnly="0" labelOnly="1" outline="0" fieldPosition="0">
        <references count="11">
          <reference field="0" count="1" selected="0">
            <x v="15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77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80">
      <pivotArea outline="0" collapsedLevelsAreSubtotals="1" fieldPosition="0"/>
    </format>
    <format dxfId="7079">
      <pivotArea dataOnly="0" labelOnly="1" outline="0" axis="axisValues" fieldPosition="0"/>
    </format>
    <format dxfId="7078">
      <pivotArea dataOnly="0" outline="0" fieldPosition="0">
        <references count="1">
          <reference field="12" count="0" defaultSubtotal="1"/>
        </references>
      </pivotArea>
    </format>
    <format dxfId="7077">
      <pivotArea outline="0" collapsedLevelsAreSubtotals="1" fieldPosition="0"/>
    </format>
    <format dxfId="7076">
      <pivotArea dataOnly="0" labelOnly="1" outline="0" axis="axisValues" fieldPosition="0"/>
    </format>
    <format dxfId="7075">
      <pivotArea outline="0" collapsedLevelsAreSubtotals="1" fieldPosition="0"/>
    </format>
    <format dxfId="7074">
      <pivotArea dataOnly="0" labelOnly="1" outline="0" axis="axisValues" fieldPosition="0"/>
    </format>
    <format dxfId="7073">
      <pivotArea dataOnly="0" labelOnly="1" outline="0" axis="axisValues" fieldPosition="0"/>
    </format>
    <format dxfId="7072">
      <pivotArea outline="0" collapsedLevelsAreSubtotals="1" fieldPosition="0"/>
    </format>
    <format dxfId="7071">
      <pivotArea field="12" type="button" dataOnly="0" labelOnly="1" outline="0" axis="axisRow" fieldPosition="2"/>
    </format>
    <format dxfId="7070">
      <pivotArea field="10" type="button" dataOnly="0" labelOnly="1" outline="0" axis="axisRow" fieldPosition="3"/>
    </format>
    <format dxfId="7069">
      <pivotArea field="16" type="button" dataOnly="0" labelOnly="1" outline="0" axis="axisRow" fieldPosition="4"/>
    </format>
    <format dxfId="7068">
      <pivotArea field="18" type="button" dataOnly="0" labelOnly="1" outline="0" axis="axisRow" fieldPosition="5"/>
    </format>
    <format dxfId="7067">
      <pivotArea field="5" type="button" dataOnly="0" labelOnly="1" outline="0" axis="axisRow" fieldPosition="6"/>
    </format>
    <format dxfId="7066">
      <pivotArea field="9" type="button" dataOnly="0" labelOnly="1" outline="0" axis="axisRow" fieldPosition="7"/>
    </format>
    <format dxfId="7065">
      <pivotArea field="3" type="button" dataOnly="0" labelOnly="1" outline="0" axis="axisRow" fieldPosition="8"/>
    </format>
    <format dxfId="7064">
      <pivotArea field="7" type="button" dataOnly="0" labelOnly="1" outline="0" axis="axisRow" fieldPosition="9"/>
    </format>
    <format dxfId="7063">
      <pivotArea field="1" type="button" dataOnly="0" labelOnly="1" outline="0" axis="axisRow" fieldPosition="10"/>
    </format>
    <format dxfId="7062">
      <pivotArea dataOnly="0" labelOnly="1" outline="0" axis="axisValues" fieldPosition="0"/>
    </format>
    <format dxfId="706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0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705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05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0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0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0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5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05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0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04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4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4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0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0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02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02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02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0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0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00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700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7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0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7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69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69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698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81">
      <pivotArea dataOnly="0" labelOnly="1" outline="0" fieldPosition="0">
        <references count="7">
          <reference field="0" count="1" selected="0">
            <x v="0"/>
          </reference>
          <reference field="5" count="1">
            <x v="20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80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79">
      <pivotArea dataOnly="0" labelOnly="1" outline="0" fieldPosition="0">
        <references count="7">
          <reference field="0" count="1" selected="0">
            <x v="0"/>
          </reference>
          <reference field="5" count="1">
            <x v="57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78">
      <pivotArea dataOnly="0" labelOnly="1" outline="0" fieldPosition="0">
        <references count="7">
          <reference field="0" count="1" selected="0">
            <x v="0"/>
          </reference>
          <reference field="5" count="1">
            <x v="604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77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76">
      <pivotArea dataOnly="0" labelOnly="1" outline="0" fieldPosition="0">
        <references count="7">
          <reference field="0" count="1" selected="0">
            <x v="12"/>
          </reference>
          <reference field="5" count="2">
            <x v="7716"/>
            <x v="77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75">
      <pivotArea dataOnly="0" labelOnly="1" outline="0" fieldPosition="0">
        <references count="7">
          <reference field="0" count="1" selected="0">
            <x v="12"/>
          </reference>
          <reference field="5" count="1">
            <x v="77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74">
      <pivotArea dataOnly="0" labelOnly="1" outline="0" fieldPosition="0">
        <references count="7">
          <reference field="0" count="1" selected="0">
            <x v="12"/>
          </reference>
          <reference field="5" count="1">
            <x v="7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973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72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71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70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69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68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67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66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65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64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63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6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961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60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59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958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957">
      <pivotArea dataOnly="0" labelOnly="1" outline="0" fieldPosition="0">
        <references count="7">
          <reference field="0" count="1" selected="0">
            <x v="15"/>
          </reference>
          <reference field="5" count="2">
            <x v="2660"/>
            <x v="77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56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5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941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40">
      <pivotArea dataOnly="0" labelOnly="1" outline="0" fieldPosition="0">
        <references count="9">
          <reference field="0" count="1" selected="0">
            <x v="0"/>
          </reference>
          <reference field="3" count="1">
            <x v="7322"/>
          </reference>
          <reference field="5" count="1" selected="0">
            <x v="20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3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38">
      <pivotArea dataOnly="0" labelOnly="1" outline="0" fieldPosition="0">
        <references count="9">
          <reference field="0" count="1" selected="0">
            <x v="0"/>
          </reference>
          <reference field="3" count="1">
            <x v="7323"/>
          </reference>
          <reference field="5" count="1" selected="0">
            <x v="5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37">
      <pivotArea dataOnly="0" labelOnly="1" outline="0" fieldPosition="0">
        <references count="9">
          <reference field="0" count="1" selected="0">
            <x v="0"/>
          </reference>
          <reference field="3" count="1">
            <x v="7676"/>
          </reference>
          <reference field="5" count="1" selected="0">
            <x v="60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36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32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30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29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28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27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926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25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2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2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22"/>
          </reference>
          <reference field="5" count="1" selected="0">
            <x v="2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2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909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08">
      <pivotArea dataOnly="0" labelOnly="1" outline="0" fieldPosition="0">
        <references count="11">
          <reference field="0" count="1" selected="0">
            <x v="12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7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07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0"/>
          </reference>
          <reference field="5" count="1" selected="0">
            <x v="75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06">
      <pivotArea dataOnly="0" labelOnly="1" outline="0" fieldPosition="0">
        <references count="11">
          <reference field="0" count="1" selected="0">
            <x v="14"/>
          </reference>
          <reference field="1" count="1">
            <x v="7405"/>
          </reference>
          <reference field="3" count="1" selected="0">
            <x v="7707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05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04">
      <pivotArea dataOnly="0" labelOnly="1" outline="0" fieldPosition="0">
        <references count="11">
          <reference field="0" count="1" selected="0">
            <x v="15"/>
          </reference>
          <reference field="1" count="1">
            <x v="7424"/>
          </reference>
          <reference field="3" count="1" selected="0">
            <x v="7730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03">
      <pivotArea dataOnly="0" labelOnly="1" outline="0" fieldPosition="0">
        <references count="11">
          <reference field="0" count="1" selected="0">
            <x v="15"/>
          </reference>
          <reference field="1" count="1">
            <x v="7423"/>
          </reference>
          <reference field="3" count="1" selected="0">
            <x v="0"/>
          </reference>
          <reference field="5" count="1" selected="0">
            <x v="26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02">
      <pivotArea outline="0" collapsedLevelsAreSubtotals="1" fieldPosition="0"/>
    </format>
    <format dxfId="6901">
      <pivotArea dataOnly="0" labelOnly="1" outline="0" axis="axisValues" fieldPosition="0"/>
    </format>
    <format dxfId="6900">
      <pivotArea dataOnly="0" outline="0" fieldPosition="0">
        <references count="1">
          <reference field="12" count="0" defaultSubtotal="1"/>
        </references>
      </pivotArea>
    </format>
    <format dxfId="6899">
      <pivotArea outline="0" collapsedLevelsAreSubtotals="1" fieldPosition="0"/>
    </format>
    <format dxfId="6898">
      <pivotArea dataOnly="0" labelOnly="1" outline="0" axis="axisValues" fieldPosition="0"/>
    </format>
    <format dxfId="6897">
      <pivotArea outline="0" collapsedLevelsAreSubtotals="1" fieldPosition="0"/>
    </format>
    <format dxfId="6896">
      <pivotArea dataOnly="0" labelOnly="1" outline="0" axis="axisValues" fieldPosition="0"/>
    </format>
    <format dxfId="6895">
      <pivotArea dataOnly="0" labelOnly="1" outline="0" axis="axisValues" fieldPosition="0"/>
    </format>
    <format dxfId="6894">
      <pivotArea outline="0" collapsedLevelsAreSubtotals="1" fieldPosition="0"/>
    </format>
    <format dxfId="6893">
      <pivotArea field="12" type="button" dataOnly="0" labelOnly="1" outline="0" axis="axisRow" fieldPosition="2"/>
    </format>
    <format dxfId="6892">
      <pivotArea field="10" type="button" dataOnly="0" labelOnly="1" outline="0" axis="axisRow" fieldPosition="3"/>
    </format>
    <format dxfId="6891">
      <pivotArea field="16" type="button" dataOnly="0" labelOnly="1" outline="0" axis="axisRow" fieldPosition="4"/>
    </format>
    <format dxfId="6890">
      <pivotArea field="18" type="button" dataOnly="0" labelOnly="1" outline="0" axis="axisRow" fieldPosition="5"/>
    </format>
    <format dxfId="6889">
      <pivotArea field="5" type="button" dataOnly="0" labelOnly="1" outline="0" axis="axisRow" fieldPosition="6"/>
    </format>
    <format dxfId="6888">
      <pivotArea field="9" type="button" dataOnly="0" labelOnly="1" outline="0" axis="axisRow" fieldPosition="7"/>
    </format>
    <format dxfId="6887">
      <pivotArea field="3" type="button" dataOnly="0" labelOnly="1" outline="0" axis="axisRow" fieldPosition="8"/>
    </format>
    <format dxfId="6886">
      <pivotArea field="7" type="button" dataOnly="0" labelOnly="1" outline="0" axis="axisRow" fieldPosition="9"/>
    </format>
    <format dxfId="6885">
      <pivotArea field="1" type="button" dataOnly="0" labelOnly="1" outline="0" axis="axisRow" fieldPosition="10"/>
    </format>
    <format dxfId="6884">
      <pivotArea dataOnly="0" labelOnly="1" outline="0" axis="axisValues" fieldPosition="0"/>
    </format>
    <format dxfId="688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8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881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68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68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7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87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8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8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8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6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85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8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8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8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8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8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8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6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6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6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6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68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80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06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05">
      <pivotArea dataOnly="0" labelOnly="1" outline="0" fieldPosition="0">
        <references count="7">
          <reference field="0" count="1" selected="0">
            <x v="12"/>
          </reference>
          <reference field="5" count="1">
            <x v="8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04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03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02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01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00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99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98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97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796">
      <pivotArea dataOnly="0" labelOnly="1" outline="0" fieldPosition="0">
        <references count="7">
          <reference field="0" count="1" selected="0">
            <x v="14"/>
          </reference>
          <reference field="5" count="1">
            <x v="77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795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9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793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92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91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90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789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788">
      <pivotArea dataOnly="0" labelOnly="1" outline="0" fieldPosition="0">
        <references count="7">
          <reference field="0" count="1" selected="0">
            <x v="15"/>
          </reference>
          <reference field="5" count="1">
            <x v="1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6787">
      <pivotArea dataOnly="0" labelOnly="1" outline="0" fieldPosition="0">
        <references count="7">
          <reference field="0" count="1" selected="0">
            <x v="15"/>
          </reference>
          <reference field="5" count="2">
            <x v="7721"/>
            <x v="77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74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73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69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67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766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76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64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63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762">
      <pivotArea dataOnly="0" labelOnly="1" outline="0" fieldPosition="0">
        <references count="9">
          <reference field="0" count="1" selected="0">
            <x v="14"/>
          </reference>
          <reference field="3" count="1">
            <x v="7735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61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60">
      <pivotArea dataOnly="0" labelOnly="1" outline="0" fieldPosition="0">
        <references count="9">
          <reference field="0" count="1" selected="0">
            <x v="15"/>
          </reference>
          <reference field="3" count="1">
            <x v="7617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75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758">
      <pivotArea dataOnly="0" labelOnly="1" outline="0" fieldPosition="0">
        <references count="9">
          <reference field="0" count="1" selected="0">
            <x v="15"/>
          </reference>
          <reference field="3" count="1">
            <x v="7731"/>
          </reference>
          <reference field="5" count="1" selected="0">
            <x v="112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6757">
      <pivotArea dataOnly="0" labelOnly="1" outline="0" fieldPosition="0">
        <references count="9">
          <reference field="0" count="1" selected="0">
            <x v="15"/>
          </reference>
          <reference field="3" count="1">
            <x v="7579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7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5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7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7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7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40">
      <pivotArea dataOnly="0" labelOnly="1" outline="0" fieldPosition="0">
        <references count="11">
          <reference field="0" count="1" selected="0">
            <x v="14"/>
          </reference>
          <reference field="1" count="1">
            <x v="7433"/>
          </reference>
          <reference field="3" count="1" selected="0">
            <x v="2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9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38">
      <pivotArea dataOnly="0" labelOnly="1" outline="0" fieldPosition="0">
        <references count="11">
          <reference field="0" count="1" selected="0">
            <x v="15"/>
          </reference>
          <reference field="1" count="1">
            <x v="7424"/>
          </reference>
          <reference field="3" count="1" selected="0">
            <x v="7730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37">
      <pivotArea dataOnly="0" labelOnly="1" outline="0" fieldPosition="0">
        <references count="11">
          <reference field="0" count="1" selected="0">
            <x v="15"/>
          </reference>
          <reference field="1" count="1">
            <x v="7430"/>
          </reference>
          <reference field="3" count="1" selected="0">
            <x v="7731"/>
          </reference>
          <reference field="5" count="1" selected="0">
            <x v="11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6736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7579"/>
          </reference>
          <reference field="5" count="1" selected="0">
            <x v="77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35">
      <pivotArea dataOnly="0" labelOnly="1" outline="0" fieldPosition="0">
        <references count="11">
          <reference field="0" count="1" selected="0">
            <x v="15"/>
          </reference>
          <reference field="1" count="1">
            <x v="7432"/>
          </reference>
          <reference field="3" count="1" selected="0">
            <x v="0"/>
          </reference>
          <reference field="5" count="1" selected="0">
            <x v="77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34">
      <pivotArea outline="0" collapsedLevelsAreSubtotals="1" fieldPosition="0"/>
    </format>
    <format dxfId="6733">
      <pivotArea dataOnly="0" labelOnly="1" outline="0" axis="axisValues" fieldPosition="0"/>
    </format>
    <format dxfId="6732">
      <pivotArea dataOnly="0" outline="0" fieldPosition="0">
        <references count="1">
          <reference field="12" count="0" defaultSubtotal="1"/>
        </references>
      </pivotArea>
    </format>
    <format dxfId="6731">
      <pivotArea outline="0" collapsedLevelsAreSubtotals="1" fieldPosition="0"/>
    </format>
    <format dxfId="6730">
      <pivotArea dataOnly="0" labelOnly="1" outline="0" axis="axisValues" fieldPosition="0"/>
    </format>
    <format dxfId="6729">
      <pivotArea outline="0" collapsedLevelsAreSubtotals="1" fieldPosition="0"/>
    </format>
    <format dxfId="6728">
      <pivotArea dataOnly="0" labelOnly="1" outline="0" axis="axisValues" fieldPosition="0"/>
    </format>
    <format dxfId="6727">
      <pivotArea dataOnly="0" labelOnly="1" outline="0" axis="axisValues" fieldPosition="0"/>
    </format>
    <format dxfId="6726">
      <pivotArea outline="0" collapsedLevelsAreSubtotals="1" fieldPosition="0"/>
    </format>
    <format dxfId="6725">
      <pivotArea field="12" type="button" dataOnly="0" labelOnly="1" outline="0" axis="axisRow" fieldPosition="2"/>
    </format>
    <format dxfId="6724">
      <pivotArea field="10" type="button" dataOnly="0" labelOnly="1" outline="0" axis="axisRow" fieldPosition="3"/>
    </format>
    <format dxfId="6723">
      <pivotArea field="16" type="button" dataOnly="0" labelOnly="1" outline="0" axis="axisRow" fieldPosition="4"/>
    </format>
    <format dxfId="6722">
      <pivotArea field="18" type="button" dataOnly="0" labelOnly="1" outline="0" axis="axisRow" fieldPosition="5"/>
    </format>
    <format dxfId="6721">
      <pivotArea field="5" type="button" dataOnly="0" labelOnly="1" outline="0" axis="axisRow" fieldPosition="6"/>
    </format>
    <format dxfId="6720">
      <pivotArea field="9" type="button" dataOnly="0" labelOnly="1" outline="0" axis="axisRow" fieldPosition="7"/>
    </format>
    <format dxfId="6719">
      <pivotArea field="3" type="button" dataOnly="0" labelOnly="1" outline="0" axis="axisRow" fieldPosition="8"/>
    </format>
    <format dxfId="6718">
      <pivotArea field="7" type="button" dataOnly="0" labelOnly="1" outline="0" axis="axisRow" fieldPosition="9"/>
    </format>
    <format dxfId="6717">
      <pivotArea field="1" type="button" dataOnly="0" labelOnly="1" outline="0" axis="axisRow" fieldPosition="10"/>
    </format>
    <format dxfId="6716">
      <pivotArea dataOnly="0" labelOnly="1" outline="0" axis="axisValues" fieldPosition="0"/>
    </format>
    <format dxfId="671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71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71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67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67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0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670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67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0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7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7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7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9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9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6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6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6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8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8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6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6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6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6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6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6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6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6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635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63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633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632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31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30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29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28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27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626">
      <pivotArea dataOnly="0" labelOnly="1" outline="0" fieldPosition="0">
        <references count="7">
          <reference field="0" count="1" selected="0">
            <x v="14"/>
          </reference>
          <reference field="5" count="1">
            <x v="618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25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24">
      <pivotArea dataOnly="0" labelOnly="1" outline="0" fieldPosition="0">
        <references count="7">
          <reference field="0" count="1" selected="0">
            <x v="14"/>
          </reference>
          <reference field="5" count="1">
            <x v="457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623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22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621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20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619">
      <pivotArea dataOnly="0" labelOnly="1" outline="0" fieldPosition="0">
        <references count="7">
          <reference field="0" count="1" selected="0">
            <x v="14"/>
          </reference>
          <reference field="5" count="1">
            <x v="744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618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61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616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15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14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613">
      <pivotArea dataOnly="0" labelOnly="1" outline="0" fieldPosition="0">
        <references count="7">
          <reference field="0" count="1" selected="0">
            <x v="15"/>
          </reference>
          <reference field="5" count="1">
            <x v="77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6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595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94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5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91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90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88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61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86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85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84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583">
      <pivotArea dataOnly="0" labelOnly="1" outline="0" fieldPosition="0">
        <references count="9">
          <reference field="0" count="1" selected="0">
            <x v="14"/>
          </reference>
          <reference field="3" count="1">
            <x v="7733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82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81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80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79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578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77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76">
      <pivotArea dataOnly="0" labelOnly="1" outline="0" fieldPosition="0">
        <references count="9">
          <reference field="0" count="1" selected="0">
            <x v="15"/>
          </reference>
          <reference field="3" count="1">
            <x v="7579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5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61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3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9"/>
          </reference>
          <reference field="5" count="1" selected="0">
            <x v="77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57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56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55">
      <pivotArea dataOnly="0" labelOnly="1" outline="0" fieldPosition="0">
        <references count="11">
          <reference field="0" count="1" selected="0">
            <x v="15"/>
          </reference>
          <reference field="1" count="1">
            <x v="7424"/>
          </reference>
          <reference field="3" count="1" selected="0">
            <x v="7730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54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7579"/>
          </reference>
          <reference field="5" count="1" selected="0">
            <x v="77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53">
      <pivotArea outline="0" collapsedLevelsAreSubtotals="1" fieldPosition="0"/>
    </format>
    <format dxfId="6552">
      <pivotArea dataOnly="0" labelOnly="1" outline="0" axis="axisValues" fieldPosition="0"/>
    </format>
    <format dxfId="6551">
      <pivotArea dataOnly="0" outline="0" fieldPosition="0">
        <references count="1">
          <reference field="12" count="0" defaultSubtotal="1"/>
        </references>
      </pivotArea>
    </format>
    <format dxfId="6550">
      <pivotArea outline="0" collapsedLevelsAreSubtotals="1" fieldPosition="0"/>
    </format>
    <format dxfId="6549">
      <pivotArea dataOnly="0" labelOnly="1" outline="0" axis="axisValues" fieldPosition="0"/>
    </format>
    <format dxfId="6548">
      <pivotArea outline="0" collapsedLevelsAreSubtotals="1" fieldPosition="0"/>
    </format>
    <format dxfId="6547">
      <pivotArea dataOnly="0" labelOnly="1" outline="0" axis="axisValues" fieldPosition="0"/>
    </format>
    <format dxfId="6546">
      <pivotArea dataOnly="0" labelOnly="1" outline="0" axis="axisValues" fieldPosition="0"/>
    </format>
    <format dxfId="6545">
      <pivotArea outline="0" collapsedLevelsAreSubtotals="1" fieldPosition="0"/>
    </format>
    <format dxfId="6544">
      <pivotArea field="12" type="button" dataOnly="0" labelOnly="1" outline="0" axis="axisRow" fieldPosition="2"/>
    </format>
    <format dxfId="6543">
      <pivotArea field="10" type="button" dataOnly="0" labelOnly="1" outline="0" axis="axisRow" fieldPosition="3"/>
    </format>
    <format dxfId="6542">
      <pivotArea field="16" type="button" dataOnly="0" labelOnly="1" outline="0" axis="axisRow" fieldPosition="4"/>
    </format>
    <format dxfId="6541">
      <pivotArea field="18" type="button" dataOnly="0" labelOnly="1" outline="0" axis="axisRow" fieldPosition="5"/>
    </format>
    <format dxfId="6540">
      <pivotArea field="5" type="button" dataOnly="0" labelOnly="1" outline="0" axis="axisRow" fieldPosition="6"/>
    </format>
    <format dxfId="6539">
      <pivotArea field="9" type="button" dataOnly="0" labelOnly="1" outline="0" axis="axisRow" fieldPosition="7"/>
    </format>
    <format dxfId="6538">
      <pivotArea field="3" type="button" dataOnly="0" labelOnly="1" outline="0" axis="axisRow" fieldPosition="8"/>
    </format>
    <format dxfId="6537">
      <pivotArea field="7" type="button" dataOnly="0" labelOnly="1" outline="0" axis="axisRow" fieldPosition="9"/>
    </format>
    <format dxfId="6536">
      <pivotArea field="1" type="button" dataOnly="0" labelOnly="1" outline="0" axis="axisRow" fieldPosition="10"/>
    </format>
    <format dxfId="6535">
      <pivotArea dataOnly="0" labelOnly="1" outline="0" axis="axisValues" fieldPosition="0"/>
    </format>
    <format dxfId="653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653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6532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531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5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2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652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65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5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5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5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5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1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0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5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5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5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5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50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5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64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4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4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4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4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4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4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4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64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4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64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6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4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64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45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57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56">
      <pivotArea dataOnly="0" labelOnly="1" outline="0" fieldPosition="0">
        <references count="7">
          <reference field="0" count="1" selected="0">
            <x v="11"/>
          </reference>
          <reference field="5" count="1">
            <x v="51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55">
      <pivotArea dataOnly="0" labelOnly="1" outline="0" fieldPosition="0">
        <references count="7">
          <reference field="0" count="1" selected="0">
            <x v="11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54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53">
      <pivotArea dataOnly="0" labelOnly="1" outline="0" fieldPosition="0">
        <references count="7">
          <reference field="0" count="1" selected="0">
            <x v="11"/>
          </reference>
          <reference field="5" count="1">
            <x v="62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452">
      <pivotArea dataOnly="0" labelOnly="1" outline="0" fieldPosition="0">
        <references count="7">
          <reference field="0" count="1" selected="0">
            <x v="11"/>
          </reference>
          <reference field="5" count="1">
            <x v="71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51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53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50">
      <pivotArea dataOnly="0" labelOnly="1" outline="0" fieldPosition="0">
        <references count="7">
          <reference field="0" count="1" selected="0">
            <x v="12"/>
          </reference>
          <reference field="5" count="1">
            <x v="77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449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48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47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46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45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44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43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42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441">
      <pivotArea dataOnly="0" labelOnly="1" outline="0" fieldPosition="0">
        <references count="7">
          <reference field="0" count="1" selected="0">
            <x v="14"/>
          </reference>
          <reference field="5" count="1">
            <x v="772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40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3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438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37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436">
      <pivotArea dataOnly="0" labelOnly="1" outline="0" fieldPosition="0">
        <references count="7">
          <reference field="0" count="1" selected="0">
            <x v="15"/>
          </reference>
          <reference field="5" count="1">
            <x v="77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4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422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21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20">
      <pivotArea dataOnly="0" labelOnly="1" outline="0" fieldPosition="0">
        <references count="9">
          <reference field="0" count="1" selected="0">
            <x v="11"/>
          </reference>
          <reference field="3" count="1">
            <x v="7737"/>
          </reference>
          <reference field="5" count="1" selected="0">
            <x v="51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19">
      <pivotArea dataOnly="0" labelOnly="1" outline="0" fieldPosition="0">
        <references count="9">
          <reference field="0" count="1" selected="0">
            <x v="11"/>
          </reference>
          <reference field="3" count="1">
            <x v="7634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18">
      <pivotArea dataOnly="0" labelOnly="1" outline="0" fieldPosition="0">
        <references count="9">
          <reference field="0" count="1" selected="0">
            <x v="11"/>
          </reference>
          <reference field="3" count="1">
            <x v="7631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17">
      <pivotArea dataOnly="0" labelOnly="1" outline="0" fieldPosition="0">
        <references count="9">
          <reference field="0" count="1" selected="0">
            <x v="11"/>
          </reference>
          <reference field="3" count="1">
            <x v="7632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416">
      <pivotArea dataOnly="0" labelOnly="1" outline="0" fieldPosition="0">
        <references count="9">
          <reference field="0" count="1" selected="0">
            <x v="11"/>
          </reference>
          <reference field="3" count="1">
            <x v="7505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15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14">
      <pivotArea dataOnly="0" labelOnly="1" outline="0" fieldPosition="0">
        <references count="9">
          <reference field="0" count="1" selected="0">
            <x v="11"/>
          </reference>
          <reference field="3" count="1">
            <x v="7630"/>
          </reference>
          <reference field="5" count="1" selected="0">
            <x v="5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13">
      <pivotArea dataOnly="0" labelOnly="1" outline="0" fieldPosition="0">
        <references count="9">
          <reference field="0" count="1" selected="0">
            <x v="12"/>
          </reference>
          <reference field="3" count="1">
            <x v="7736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4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09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0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406">
      <pivotArea dataOnly="0" labelOnly="1" outline="0" fieldPosition="0">
        <references count="9">
          <reference field="0" count="1" selected="0">
            <x v="14"/>
          </reference>
          <reference field="3" count="1">
            <x v="7733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0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04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03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402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01">
      <pivotArea dataOnly="0" labelOnly="1" outline="0" fieldPosition="0">
        <references count="9">
          <reference field="0" count="1" selected="0">
            <x v="15"/>
          </reference>
          <reference field="3" count="1">
            <x v="7579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39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7"/>
          </reference>
          <reference field="5" count="1" selected="0">
            <x v="5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3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34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3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6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3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3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3"/>
          </reference>
          <reference field="5" count="1" selected="0">
            <x v="77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9"/>
          </reference>
          <reference field="5" count="1" selected="0">
            <x v="77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85">
      <pivotArea dataOnly="0" labelOnly="1" outline="0" fieldPosition="0">
        <references count="11">
          <reference field="0" count="1" selected="0">
            <x v="11"/>
          </reference>
          <reference field="1" count="1">
            <x v="7443"/>
          </reference>
          <reference field="3" count="1" selected="0">
            <x v="7737"/>
          </reference>
          <reference field="5" count="1" selected="0">
            <x v="5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384">
      <pivotArea dataOnly="0" labelOnly="1" outline="0" fieldPosition="0">
        <references count="11">
          <reference field="0" count="1" selected="0">
            <x v="11"/>
          </reference>
          <reference field="1" count="1">
            <x v="7336"/>
          </reference>
          <reference field="3" count="1" selected="0">
            <x v="7632"/>
          </reference>
          <reference field="5" count="1" selected="0">
            <x v="62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383">
      <pivotArea dataOnly="0" labelOnly="1" outline="0" fieldPosition="0">
        <references count="11">
          <reference field="0" count="1" selected="0">
            <x v="11"/>
          </reference>
          <reference field="1" count="1">
            <x v="7335"/>
          </reference>
          <reference field="3" count="1" selected="0">
            <x v="7630"/>
          </reference>
          <reference field="5" count="1" selected="0">
            <x v="53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82">
      <pivotArea dataOnly="0" labelOnly="1" outline="0" fieldPosition="0">
        <references count="11">
          <reference field="0" count="1" selected="0">
            <x v="14"/>
          </reference>
          <reference field="1" count="1">
            <x v="7441"/>
          </reference>
          <reference field="3" count="1" selected="0">
            <x v="2"/>
          </reference>
          <reference field="5" count="1" selected="0">
            <x v="76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381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80">
      <pivotArea dataOnly="0" labelOnly="1" outline="0" fieldPosition="0">
        <references count="11">
          <reference field="0" count="1" selected="0">
            <x v="15"/>
          </reference>
          <reference field="1" count="1">
            <x v="7424"/>
          </reference>
          <reference field="3" count="1" selected="0">
            <x v="7730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79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7579"/>
          </reference>
          <reference field="5" count="1" selected="0">
            <x v="77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78">
      <pivotArea outline="0" collapsedLevelsAreSubtotals="1" fieldPosition="0"/>
    </format>
    <format dxfId="6377">
      <pivotArea dataOnly="0" labelOnly="1" outline="0" axis="axisValues" fieldPosition="0"/>
    </format>
    <format dxfId="6376">
      <pivotArea dataOnly="0" outline="0" fieldPosition="0">
        <references count="1">
          <reference field="12" count="0" defaultSubtotal="1"/>
        </references>
      </pivotArea>
    </format>
    <format dxfId="6375">
      <pivotArea outline="0" collapsedLevelsAreSubtotals="1" fieldPosition="0"/>
    </format>
    <format dxfId="6374">
      <pivotArea dataOnly="0" labelOnly="1" outline="0" axis="axisValues" fieldPosition="0"/>
    </format>
    <format dxfId="6373">
      <pivotArea outline="0" collapsedLevelsAreSubtotals="1" fieldPosition="0"/>
    </format>
    <format dxfId="6372">
      <pivotArea dataOnly="0" labelOnly="1" outline="0" axis="axisValues" fieldPosition="0"/>
    </format>
    <format dxfId="6371">
      <pivotArea dataOnly="0" labelOnly="1" outline="0" axis="axisValues" fieldPosition="0"/>
    </format>
    <format dxfId="6370">
      <pivotArea outline="0" collapsedLevelsAreSubtotals="1" fieldPosition="0"/>
    </format>
    <format dxfId="6369">
      <pivotArea field="12" type="button" dataOnly="0" labelOnly="1" outline="0" axis="axisRow" fieldPosition="2"/>
    </format>
    <format dxfId="6368">
      <pivotArea field="10" type="button" dataOnly="0" labelOnly="1" outline="0" axis="axisRow" fieldPosition="3"/>
    </format>
    <format dxfId="6367">
      <pivotArea field="16" type="button" dataOnly="0" labelOnly="1" outline="0" axis="axisRow" fieldPosition="4"/>
    </format>
    <format dxfId="6366">
      <pivotArea field="18" type="button" dataOnly="0" labelOnly="1" outline="0" axis="axisRow" fieldPosition="5"/>
    </format>
    <format dxfId="6365">
      <pivotArea field="5" type="button" dataOnly="0" labelOnly="1" outline="0" axis="axisRow" fieldPosition="6"/>
    </format>
    <format dxfId="6364">
      <pivotArea field="9" type="button" dataOnly="0" labelOnly="1" outline="0" axis="axisRow" fieldPosition="7"/>
    </format>
    <format dxfId="6363">
      <pivotArea field="3" type="button" dataOnly="0" labelOnly="1" outline="0" axis="axisRow" fieldPosition="8"/>
    </format>
    <format dxfId="6362">
      <pivotArea field="7" type="button" dataOnly="0" labelOnly="1" outline="0" axis="axisRow" fieldPosition="9"/>
    </format>
    <format dxfId="6361">
      <pivotArea field="1" type="button" dataOnly="0" labelOnly="1" outline="0" axis="axisRow" fieldPosition="10"/>
    </format>
    <format dxfId="6360">
      <pivotArea dataOnly="0" labelOnly="1" outline="0" axis="axisValues" fieldPosition="0"/>
    </format>
    <format dxfId="6359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635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63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5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35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3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63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6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3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3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3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3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3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3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3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33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2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62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6284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8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82">
      <pivotArea dataOnly="0" labelOnly="1" outline="0" fieldPosition="0">
        <references count="7">
          <reference field="0" count="1" selected="0">
            <x v="12"/>
          </reference>
          <reference field="5" count="1">
            <x v="77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81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80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79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78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77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6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5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4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73">
      <pivotArea dataOnly="0" labelOnly="1" outline="0" fieldPosition="0">
        <references count="7">
          <reference field="0" count="1" selected="0">
            <x v="14"/>
          </reference>
          <reference field="5" count="1">
            <x v="276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72">
      <pivotArea dataOnly="0" labelOnly="1" outline="0" fieldPosition="0">
        <references count="7">
          <reference field="0" count="1" selected="0">
            <x v="14"/>
          </reference>
          <reference field="5" count="1">
            <x v="173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71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70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69">
      <pivotArea dataOnly="0" labelOnly="1" outline="0" fieldPosition="0">
        <references count="7">
          <reference field="0" count="1" selected="0">
            <x v="14"/>
          </reference>
          <reference field="5" count="1">
            <x v="445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8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6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66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65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64">
      <pivotArea dataOnly="0" labelOnly="1" outline="0" fieldPosition="0">
        <references count="7">
          <reference field="0" count="1" selected="0">
            <x v="15"/>
          </reference>
          <reference field="5" count="1">
            <x v="77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63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62">
      <pivotArea dataOnly="0" labelOnly="1" outline="0" fieldPosition="0">
        <references count="7">
          <reference field="0" count="1" selected="0">
            <x v="15"/>
          </reference>
          <reference field="5" count="2">
            <x v="3175"/>
            <x v="76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61">
      <pivotArea dataOnly="0" labelOnly="1" outline="0" fieldPosition="0">
        <references count="7">
          <reference field="0" count="1" selected="0">
            <x v="15"/>
          </reference>
          <reference field="5" count="2">
            <x v="7704"/>
            <x v="77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4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6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5">
      <pivotArea dataOnly="0" labelOnly="1" outline="0" fieldPosition="0">
        <references count="9">
          <reference field="0" count="1" selected="0">
            <x v="12"/>
          </reference>
          <reference field="3" count="1">
            <x v="7743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42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3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38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27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37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36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35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4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3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33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32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31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30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2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2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4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12">
      <pivotArea dataOnly="0" labelOnly="1" outline="0" fieldPosition="0">
        <references count="11">
          <reference field="0" count="1" selected="0">
            <x v="12"/>
          </reference>
          <reference field="1" count="1">
            <x v="7451"/>
          </reference>
          <reference field="3" count="1" selected="0">
            <x v="7743"/>
          </reference>
          <reference field="5" count="1" selected="0">
            <x v="77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11">
      <pivotArea dataOnly="0" labelOnly="1" outline="0" fieldPosition="0">
        <references count="11">
          <reference field="0" count="1" selected="0">
            <x v="14"/>
          </reference>
          <reference field="1" count="1">
            <x v="7447"/>
          </reference>
          <reference field="3" count="1" selected="0">
            <x v="2"/>
          </reference>
          <reference field="5" count="1" selected="0">
            <x v="7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0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09">
      <pivotArea dataOnly="0" labelOnly="1" outline="0" fieldPosition="0">
        <references count="11">
          <reference field="0" count="1" selected="0">
            <x v="14"/>
          </reference>
          <reference field="1" count="1">
            <x v="7446"/>
          </reference>
          <reference field="3" count="1" selected="0">
            <x v="7628"/>
          </reference>
          <reference field="5" count="1" selected="0">
            <x v="4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08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07">
      <pivotArea dataOnly="0" labelOnly="1" outline="0" fieldPosition="0">
        <references count="11">
          <reference field="0" count="1" selected="0">
            <x v="15"/>
          </reference>
          <reference field="1" count="1">
            <x v="7424"/>
          </reference>
          <reference field="3" count="1" selected="0">
            <x v="7730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06">
      <pivotArea dataOnly="0" labelOnly="1" outline="0" fieldPosition="0">
        <references count="11">
          <reference field="0" count="1" selected="0">
            <x v="15"/>
          </reference>
          <reference field="1" count="1">
            <x v="7445"/>
          </reference>
          <reference field="3" count="1" selected="0">
            <x v="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05">
      <pivotArea dataOnly="0" labelOnly="1" outline="0" fieldPosition="0">
        <references count="11">
          <reference field="0" count="1" selected="0">
            <x v="15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7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204">
      <pivotArea outline="0" collapsedLevelsAreSubtotals="1" fieldPosition="0"/>
    </format>
    <format dxfId="6203">
      <pivotArea dataOnly="0" labelOnly="1" outline="0" axis="axisValues" fieldPosition="0"/>
    </format>
    <format dxfId="6202">
      <pivotArea dataOnly="0" outline="0" fieldPosition="0">
        <references count="1">
          <reference field="12" count="0" defaultSubtotal="1"/>
        </references>
      </pivotArea>
    </format>
    <format dxfId="6201">
      <pivotArea outline="0" collapsedLevelsAreSubtotals="1" fieldPosition="0"/>
    </format>
    <format dxfId="6200">
      <pivotArea dataOnly="0" labelOnly="1" outline="0" axis="axisValues" fieldPosition="0"/>
    </format>
    <format dxfId="6199">
      <pivotArea outline="0" collapsedLevelsAreSubtotals="1" fieldPosition="0"/>
    </format>
    <format dxfId="6198">
      <pivotArea dataOnly="0" labelOnly="1" outline="0" axis="axisValues" fieldPosition="0"/>
    </format>
    <format dxfId="6197">
      <pivotArea dataOnly="0" labelOnly="1" outline="0" axis="axisValues" fieldPosition="0"/>
    </format>
    <format dxfId="6196">
      <pivotArea outline="0" collapsedLevelsAreSubtotals="1" fieldPosition="0"/>
    </format>
    <format dxfId="6195">
      <pivotArea field="12" type="button" dataOnly="0" labelOnly="1" outline="0" axis="axisRow" fieldPosition="2"/>
    </format>
    <format dxfId="6194">
      <pivotArea field="10" type="button" dataOnly="0" labelOnly="1" outline="0" axis="axisRow" fieldPosition="3"/>
    </format>
    <format dxfId="6193">
      <pivotArea field="16" type="button" dataOnly="0" labelOnly="1" outline="0" axis="axisRow" fieldPosition="4"/>
    </format>
    <format dxfId="6192">
      <pivotArea field="18" type="button" dataOnly="0" labelOnly="1" outline="0" axis="axisRow" fieldPosition="5"/>
    </format>
    <format dxfId="6191">
      <pivotArea field="5" type="button" dataOnly="0" labelOnly="1" outline="0" axis="axisRow" fieldPosition="6"/>
    </format>
    <format dxfId="6190">
      <pivotArea field="9" type="button" dataOnly="0" labelOnly="1" outline="0" axis="axisRow" fieldPosition="7"/>
    </format>
    <format dxfId="6189">
      <pivotArea field="3" type="button" dataOnly="0" labelOnly="1" outline="0" axis="axisRow" fieldPosition="8"/>
    </format>
    <format dxfId="6188">
      <pivotArea field="7" type="button" dataOnly="0" labelOnly="1" outline="0" axis="axisRow" fieldPosition="9"/>
    </format>
    <format dxfId="6187">
      <pivotArea field="1" type="button" dataOnly="0" labelOnly="1" outline="0" axis="axisRow" fieldPosition="10"/>
    </format>
    <format dxfId="6186">
      <pivotArea dataOnly="0" labelOnly="1" outline="0" axis="axisValues" fieldPosition="0"/>
    </format>
    <format dxfId="618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61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6183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618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6181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18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1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7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617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61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61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61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61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1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1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1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1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6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1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5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1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1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1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14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6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6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61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1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1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1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1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1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1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1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1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6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1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61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1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1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1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61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61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61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6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6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0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60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60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6096">
      <pivotArea dataOnly="0" labelOnly="1" outline="0" fieldPosition="0">
        <references count="7">
          <reference field="0" count="1" selected="0">
            <x v="7"/>
          </reference>
          <reference field="5" count="1">
            <x v="676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6095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9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93">
      <pivotArea dataOnly="0" labelOnly="1" outline="0" fieldPosition="0">
        <references count="7">
          <reference field="0" count="1" selected="0">
            <x v="10"/>
          </reference>
          <reference field="5" count="1">
            <x v="19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92">
      <pivotArea dataOnly="0" labelOnly="1" outline="0" fieldPosition="0">
        <references count="7">
          <reference field="0" count="1" selected="0">
            <x v="10"/>
          </reference>
          <reference field="5" count="1">
            <x v="68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91">
      <pivotArea dataOnly="0" labelOnly="1" outline="0" fieldPosition="0">
        <references count="7">
          <reference field="0" count="1" selected="0">
            <x v="10"/>
          </reference>
          <reference field="5" count="1">
            <x v="50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090">
      <pivotArea dataOnly="0" labelOnly="1" outline="0" fieldPosition="0">
        <references count="7">
          <reference field="0" count="1" selected="0">
            <x v="10"/>
          </reference>
          <reference field="5" count="1">
            <x v="578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089">
      <pivotArea dataOnly="0" labelOnly="1" outline="0" fieldPosition="0">
        <references count="7">
          <reference field="0" count="1" selected="0">
            <x v="10"/>
          </reference>
          <reference field="5" count="1">
            <x v="469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088">
      <pivotArea dataOnly="0" labelOnly="1" outline="0" fieldPosition="0">
        <references count="7">
          <reference field="0" count="1" selected="0">
            <x v="10"/>
          </reference>
          <reference field="5" count="2">
            <x v="4579"/>
            <x v="50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87">
      <pivotArea dataOnly="0" labelOnly="1" outline="0" fieldPosition="0">
        <references count="7">
          <reference field="0" count="1" selected="0">
            <x v="12"/>
          </reference>
          <reference field="5" count="1">
            <x v="77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86">
      <pivotArea dataOnly="0" labelOnly="1" outline="0" fieldPosition="0">
        <references count="7">
          <reference field="0" count="1" selected="0">
            <x v="12"/>
          </reference>
          <reference field="5" count="1">
            <x v="77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85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84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8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82">
      <pivotArea dataOnly="0" labelOnly="1" outline="0" fieldPosition="0">
        <references count="7">
          <reference field="0" count="1" selected="0">
            <x v="13"/>
          </reference>
          <reference field="5" count="1"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81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80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079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78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77">
      <pivotArea dataOnly="0" labelOnly="1" outline="0" fieldPosition="0">
        <references count="7">
          <reference field="0" count="1" selected="0">
            <x v="14"/>
          </reference>
          <reference field="5" count="1">
            <x v="676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76">
      <pivotArea dataOnly="0" labelOnly="1" outline="0" fieldPosition="0">
        <references count="7">
          <reference field="0" count="1" selected="0">
            <x v="14"/>
          </reference>
          <reference field="5" count="1">
            <x v="216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75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74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7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072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71">
      <pivotArea dataOnly="0" labelOnly="1" outline="0" fieldPosition="0">
        <references count="7">
          <reference field="0" count="1" selected="0">
            <x v="15"/>
          </reference>
          <reference field="5" count="1">
            <x v="77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070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069">
      <pivotArea dataOnly="0" labelOnly="1" outline="0" fieldPosition="0">
        <references count="7">
          <reference field="0" count="1" selected="0">
            <x v="15"/>
          </reference>
          <reference field="5" count="1">
            <x v="31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068">
      <pivotArea dataOnly="0" labelOnly="1" outline="0" fieldPosition="0">
        <references count="7">
          <reference field="0" count="1" selected="0">
            <x v="15"/>
          </reference>
          <reference field="5" count="1">
            <x v="46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6067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6066">
      <pivotArea dataOnly="0" labelOnly="1" outline="0" fieldPosition="0">
        <references count="7">
          <reference field="0" count="1" selected="0">
            <x v="15"/>
          </reference>
          <reference field="5" count="1">
            <x v="77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65">
      <pivotArea dataOnly="0" labelOnly="1" outline="0" fieldPosition="0">
        <references count="7">
          <reference field="0" count="1" selected="0">
            <x v="15"/>
          </reference>
          <reference field="5" count="1">
            <x v="77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6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0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0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1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047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67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6046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45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44">
      <pivotArea dataOnly="0" labelOnly="1" outline="0" fieldPosition="0">
        <references count="9">
          <reference field="0" count="1" selected="0">
            <x v="10"/>
          </reference>
          <reference field="3" count="1">
            <x v="7587"/>
          </reference>
          <reference field="5" count="1" selected="0">
            <x v="1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4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42">
      <pivotArea dataOnly="0" labelOnly="1" outline="0" fieldPosition="0">
        <references count="9">
          <reference field="0" count="1" selected="0">
            <x v="10"/>
          </reference>
          <reference field="3" count="1">
            <x v="7449"/>
          </reference>
          <reference field="5" count="1" selected="0">
            <x v="5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041">
      <pivotArea dataOnly="0" labelOnly="1" outline="0" fieldPosition="0">
        <references count="9">
          <reference field="0" count="1" selected="0">
            <x v="10"/>
          </reference>
          <reference field="3" count="1">
            <x v="7447"/>
          </reference>
          <reference field="5" count="1" selected="0">
            <x v="5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040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4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039">
      <pivotArea dataOnly="0" labelOnly="1" outline="0" fieldPosition="0">
        <references count="9">
          <reference field="0" count="1" selected="0">
            <x v="10"/>
          </reference>
          <reference field="3" count="1">
            <x v="7585"/>
          </reference>
          <reference field="5" count="1" selected="0">
            <x v="4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38">
      <pivotArea dataOnly="0" labelOnly="1" outline="0" fieldPosition="0">
        <references count="9">
          <reference field="0" count="1" selected="0">
            <x v="10"/>
          </reference>
          <reference field="3" count="1">
            <x v="7586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34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0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32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31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76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30">
      <pivotArea dataOnly="0" labelOnly="1" outline="0" fieldPosition="0">
        <references count="9">
          <reference field="0" count="1" selected="0">
            <x v="14"/>
          </reference>
          <reference field="3" count="1">
            <x v="5899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2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2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26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025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2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0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022">
      <pivotArea dataOnly="0" labelOnly="1" outline="0" fieldPosition="0">
        <references count="9">
          <reference field="0" count="1" selected="0">
            <x v="15"/>
          </reference>
          <reference field="3" count="1">
            <x v="7746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4"/>
          </reference>
          <reference field="5" count="1" selected="0">
            <x v="6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6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7"/>
          </reference>
          <reference field="5" count="1" selected="0">
            <x v="1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9"/>
          </reference>
          <reference field="5" count="1" selected="0">
            <x v="5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0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8"/>
          </reference>
          <reference field="5" count="1" selected="0">
            <x v="4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0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7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7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0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6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01">
      <pivotArea dataOnly="0" labelOnly="1" outline="0" fieldPosition="0">
        <references count="11">
          <reference field="0" count="1" selected="0">
            <x v="10"/>
          </reference>
          <reference field="1" count="1">
            <x v="7466"/>
          </reference>
          <reference field="3" count="1" selected="0">
            <x v="7587"/>
          </reference>
          <reference field="5" count="1" selected="0">
            <x v="1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00">
      <pivotArea dataOnly="0" labelOnly="1" outline="0" fieldPosition="0">
        <references count="11">
          <reference field="0" count="1" selected="0">
            <x v="10"/>
          </reference>
          <reference field="1" count="1">
            <x v="7110"/>
          </reference>
          <reference field="3" count="1" selected="0">
            <x v="7448"/>
          </reference>
          <reference field="5" count="1" selected="0">
            <x v="4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999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98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2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97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7747"/>
          </reference>
          <reference field="5" count="1" selected="0">
            <x v="773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96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7644"/>
          </reference>
          <reference field="5" count="1" selected="0">
            <x v="67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95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5899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994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0"/>
          </reference>
          <reference field="5" count="1" selected="0">
            <x v="77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93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92">
      <pivotArea dataOnly="0" labelOnly="1" outline="0" fieldPosition="0">
        <references count="11">
          <reference field="0" count="1" selected="0">
            <x v="15"/>
          </reference>
          <reference field="1" count="1">
            <x v="7424"/>
          </reference>
          <reference field="3" count="1" selected="0">
            <x v="7730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91">
      <pivotArea dataOnly="0" labelOnly="1" outline="0" fieldPosition="0">
        <references count="11">
          <reference field="0" count="1" selected="0">
            <x v="15"/>
          </reference>
          <reference field="1" count="1">
            <x v="7445"/>
          </reference>
          <reference field="3" count="1" selected="0">
            <x v="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990">
      <pivotArea dataOnly="0" labelOnly="1" outline="0" fieldPosition="0">
        <references count="11">
          <reference field="0" count="1" selected="0">
            <x v="15"/>
          </reference>
          <reference field="1" count="1">
            <x v="7457"/>
          </reference>
          <reference field="3" count="1" selected="0">
            <x v="0"/>
          </reference>
          <reference field="5" count="1" selected="0">
            <x v="31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989">
      <pivotArea dataOnly="0" labelOnly="1" outline="0" fieldPosition="0">
        <references count="11">
          <reference field="0" count="1" selected="0">
            <x v="15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7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988">
      <pivotArea outline="0" collapsedLevelsAreSubtotals="1" fieldPosition="0"/>
    </format>
    <format dxfId="5987">
      <pivotArea dataOnly="0" labelOnly="1" outline="0" axis="axisValues" fieldPosition="0"/>
    </format>
    <format dxfId="5986">
      <pivotArea dataOnly="0" outline="0" fieldPosition="0">
        <references count="1">
          <reference field="12" count="0" defaultSubtotal="1"/>
        </references>
      </pivotArea>
    </format>
    <format dxfId="5985">
      <pivotArea outline="0" collapsedLevelsAreSubtotals="1" fieldPosition="0"/>
    </format>
    <format dxfId="5984">
      <pivotArea dataOnly="0" labelOnly="1" outline="0" axis="axisValues" fieldPosition="0"/>
    </format>
    <format dxfId="5983">
      <pivotArea outline="0" collapsedLevelsAreSubtotals="1" fieldPosition="0"/>
    </format>
    <format dxfId="5982">
      <pivotArea dataOnly="0" labelOnly="1" outline="0" axis="axisValues" fieldPosition="0"/>
    </format>
    <format dxfId="5981">
      <pivotArea dataOnly="0" labelOnly="1" outline="0" axis="axisValues" fieldPosition="0"/>
    </format>
    <format dxfId="5980">
      <pivotArea outline="0" collapsedLevelsAreSubtotals="1" fieldPosition="0"/>
    </format>
    <format dxfId="5979">
      <pivotArea field="12" type="button" dataOnly="0" labelOnly="1" outline="0" axis="axisRow" fieldPosition="2"/>
    </format>
    <format dxfId="5978">
      <pivotArea field="10" type="button" dataOnly="0" labelOnly="1" outline="0" axis="axisRow" fieldPosition="3"/>
    </format>
    <format dxfId="5977">
      <pivotArea field="16" type="button" dataOnly="0" labelOnly="1" outline="0" axis="axisRow" fieldPosition="4"/>
    </format>
    <format dxfId="5976">
      <pivotArea field="18" type="button" dataOnly="0" labelOnly="1" outline="0" axis="axisRow" fieldPosition="5"/>
    </format>
    <format dxfId="5975">
      <pivotArea field="5" type="button" dataOnly="0" labelOnly="1" outline="0" axis="axisRow" fieldPosition="6"/>
    </format>
    <format dxfId="5974">
      <pivotArea field="9" type="button" dataOnly="0" labelOnly="1" outline="0" axis="axisRow" fieldPosition="7"/>
    </format>
    <format dxfId="5973">
      <pivotArea field="3" type="button" dataOnly="0" labelOnly="1" outline="0" axis="axisRow" fieldPosition="8"/>
    </format>
    <format dxfId="5972">
      <pivotArea field="7" type="button" dataOnly="0" labelOnly="1" outline="0" axis="axisRow" fieldPosition="9"/>
    </format>
    <format dxfId="5971">
      <pivotArea field="1" type="button" dataOnly="0" labelOnly="1" outline="0" axis="axisRow" fieldPosition="10"/>
    </format>
    <format dxfId="5970">
      <pivotArea dataOnly="0" labelOnly="1" outline="0" axis="axisValues" fieldPosition="0"/>
    </format>
    <format dxfId="5969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5968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5967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5966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5965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596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5963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962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9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5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595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59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5952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9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9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9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59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2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9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9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9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9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9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9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9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8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8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8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58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58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58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5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8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8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5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5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58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5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5840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3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38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37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836">
      <pivotArea dataOnly="0" labelOnly="1" outline="0" fieldPosition="0">
        <references count="7">
          <reference field="0" count="1" selected="0">
            <x v="2"/>
          </reference>
          <reference field="5" count="1">
            <x v="20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35">
      <pivotArea dataOnly="0" labelOnly="1" outline="0" fieldPosition="0">
        <references count="7">
          <reference field="0" count="1" selected="0">
            <x v="2"/>
          </reference>
          <reference field="5" count="1">
            <x v="43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834">
      <pivotArea dataOnly="0" labelOnly="1" outline="0" fieldPosition="0">
        <references count="7">
          <reference field="0" count="1" selected="0">
            <x v="2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33">
      <pivotArea dataOnly="0" labelOnly="1" outline="0" fieldPosition="0">
        <references count="7">
          <reference field="0" count="1" selected="0">
            <x v="7"/>
          </reference>
          <reference field="5" count="1">
            <x v="28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32">
      <pivotArea dataOnly="0" labelOnly="1" outline="0" fieldPosition="0">
        <references count="7">
          <reference field="0" count="1" selected="0">
            <x v="7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31">
      <pivotArea dataOnly="0" labelOnly="1" outline="0" fieldPosition="0">
        <references count="7">
          <reference field="0" count="1" selected="0">
            <x v="7"/>
          </reference>
          <reference field="5" count="1">
            <x v="77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30">
      <pivotArea dataOnly="0" labelOnly="1" outline="0" fieldPosition="0">
        <references count="7">
          <reference field="0" count="1" selected="0">
            <x v="7"/>
          </reference>
          <reference field="5" count="1">
            <x v="774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29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28">
      <pivotArea dataOnly="0" labelOnly="1" outline="0" fieldPosition="0">
        <references count="7">
          <reference field="0" count="1" selected="0">
            <x v="7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27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26">
      <pivotArea dataOnly="0" labelOnly="1" outline="0" fieldPosition="0">
        <references count="7">
          <reference field="0" count="1" selected="0">
            <x v="7"/>
          </reference>
          <reference field="5" count="1">
            <x v="609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25">
      <pivotArea dataOnly="0" labelOnly="1" outline="0" fieldPosition="0">
        <references count="7">
          <reference field="0" count="1" selected="0">
            <x v="12"/>
          </reference>
          <reference field="5" count="1">
            <x v="60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24">
      <pivotArea dataOnly="0" labelOnly="1" outline="0" fieldPosition="0">
        <references count="7">
          <reference field="0" count="1" selected="0">
            <x v="12"/>
          </reference>
          <reference field="5" count="1">
            <x v="40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23">
      <pivotArea dataOnly="0" labelOnly="1" outline="0" fieldPosition="0">
        <references count="7">
          <reference field="0" count="1" selected="0">
            <x v="12"/>
          </reference>
          <reference field="5" count="1">
            <x v="7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22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21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2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19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18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17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16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815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14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13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12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11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810">
      <pivotArea dataOnly="0" labelOnly="1" outline="0" fieldPosition="0">
        <references count="7">
          <reference field="0" count="1" selected="0">
            <x v="14"/>
          </reference>
          <reference field="5" count="1">
            <x v="2162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09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08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07">
      <pivotArea dataOnly="0" labelOnly="1" outline="0" fieldPosition="0">
        <references count="7">
          <reference field="0" count="1" selected="0">
            <x v="14"/>
          </reference>
          <reference field="5" count="1">
            <x v="618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806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805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04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0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802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01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00">
      <pivotArea dataOnly="0" labelOnly="1" outline="0" fieldPosition="0">
        <references count="7">
          <reference field="0" count="1" selected="0">
            <x v="15"/>
          </reference>
          <reference field="5" count="1">
            <x v="77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99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98">
      <pivotArea dataOnly="0" labelOnly="1" outline="0" fieldPosition="0">
        <references count="7">
          <reference field="0" count="1" selected="0">
            <x v="15"/>
          </reference>
          <reference field="5" count="2">
            <x v="3175"/>
            <x v="31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797">
      <pivotArea dataOnly="0" labelOnly="1" outline="0" fieldPosition="0">
        <references count="7">
          <reference field="0" count="1" selected="0">
            <x v="15"/>
          </reference>
          <reference field="5" count="1">
            <x v="46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796">
      <pivotArea dataOnly="0" labelOnly="1" outline="0" fieldPosition="0">
        <references count="7">
          <reference field="0" count="1" selected="0">
            <x v="15"/>
          </reference>
          <reference field="5" count="2">
            <x v="4723"/>
            <x v="77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795">
      <pivotArea dataOnly="0" labelOnly="1" outline="0" fieldPosition="0">
        <references count="7">
          <reference field="0" count="1" selected="0">
            <x v="15"/>
          </reference>
          <reference field="5" count="1">
            <x v="77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79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8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78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64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63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62">
      <pivotArea dataOnly="0" labelOnly="1" outline="0" fieldPosition="0">
        <references count="9">
          <reference field="0" count="1" selected="0">
            <x v="14"/>
          </reference>
          <reference field="3" count="1">
            <x v="7756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76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60">
      <pivotArea dataOnly="0" labelOnly="1" outline="0" fieldPosition="0">
        <references count="9">
          <reference field="0" count="1" selected="0">
            <x v="2"/>
          </reference>
          <reference field="3" count="1">
            <x v="7605"/>
          </reference>
          <reference field="5" count="1" selected="0">
            <x v="4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759">
      <pivotArea dataOnly="0" labelOnly="1" outline="0" fieldPosition="0">
        <references count="9">
          <reference field="0" count="1" selected="0">
            <x v="2"/>
          </reference>
          <reference field="3" count="1">
            <x v="7604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58">
      <pivotArea dataOnly="0" labelOnly="1" outline="0" fieldPosition="0">
        <references count="9">
          <reference field="0" count="1" selected="0">
            <x v="7"/>
          </reference>
          <reference field="3" count="1">
            <x v="7762"/>
          </reference>
          <reference field="5" count="1" selected="0">
            <x v="2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57">
      <pivotArea dataOnly="0" labelOnly="1" outline="0" fieldPosition="0">
        <references count="9">
          <reference field="0" count="1" selected="0">
            <x v="7"/>
          </reference>
          <reference field="3" count="1">
            <x v="7133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56">
      <pivotArea dataOnly="0" labelOnly="1" outline="0" fieldPosition="0">
        <references count="9">
          <reference field="0" count="1" selected="0">
            <x v="7"/>
          </reference>
          <reference field="3" count="1">
            <x v="7761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55">
      <pivotArea dataOnly="0" labelOnly="1" outline="0" fieldPosition="0">
        <references count="9">
          <reference field="0" count="1" selected="0">
            <x v="7"/>
          </reference>
          <reference field="3" count="1">
            <x v="776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54">
      <pivotArea dataOnly="0" labelOnly="1" outline="0" fieldPosition="0">
        <references count="9">
          <reference field="0" count="1" selected="0">
            <x v="7"/>
          </reference>
          <reference field="3" count="1">
            <x v="7763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53">
      <pivotArea dataOnly="0" labelOnly="1" outline="0" fieldPosition="0">
        <references count="9">
          <reference field="0" count="1" selected="0">
            <x v="7"/>
          </reference>
          <reference field="3" count="1">
            <x v="7759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49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7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47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46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45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44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743">
      <pivotArea dataOnly="0" labelOnly="1" outline="0" fieldPosition="0">
        <references count="9">
          <reference field="0" count="1" selected="0">
            <x v="14"/>
          </reference>
          <reference field="3" count="1">
            <x v="5899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42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41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40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61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3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3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3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36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35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34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3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6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7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5"/>
          </reference>
          <reference field="5" count="1" selected="0">
            <x v="4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7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4"/>
          </reference>
          <reference field="5" count="1" selected="0">
            <x v="6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2"/>
          </reference>
          <reference field="5" count="1" selected="0">
            <x v="28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3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1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9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7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77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77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4"/>
          </reference>
          <reference field="5" count="1" selected="0">
            <x v="7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99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6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61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01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2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00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7756"/>
          </reference>
          <reference field="5" count="1" selected="0">
            <x v="23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699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20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698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605"/>
          </reference>
          <reference field="5" count="1" selected="0">
            <x v="4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697">
      <pivotArea dataOnly="0" labelOnly="1" outline="0" fieldPosition="0">
        <references count="11">
          <reference field="0" count="1" selected="0">
            <x v="7"/>
          </reference>
          <reference field="1" count="1">
            <x v="7485"/>
          </reference>
          <reference field="3" count="1" selected="0">
            <x v="7133"/>
          </reference>
          <reference field="5" count="1" selected="0">
            <x v="77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96">
      <pivotArea dataOnly="0" labelOnly="1" outline="0" fieldPosition="0">
        <references count="11">
          <reference field="0" count="1" selected="0">
            <x v="7"/>
          </reference>
          <reference field="1" count="1">
            <x v="7486"/>
          </reference>
          <reference field="3" count="1" selected="0">
            <x v="7764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695">
      <pivotArea dataOnly="0" labelOnly="1" outline="0" fieldPosition="0">
        <references count="11">
          <reference field="0" count="1" selected="0">
            <x v="7"/>
          </reference>
          <reference field="1" count="1">
            <x v="7482"/>
          </reference>
          <reference field="3" count="1" selected="0">
            <x v="7759"/>
          </reference>
          <reference field="5" count="1" selected="0">
            <x v="77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94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93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92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91">
      <pivotArea dataOnly="0" labelOnly="1" outline="0" fieldPosition="0">
        <references count="11">
          <reference field="0" count="1" selected="0">
            <x v="14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90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7747"/>
          </reference>
          <reference field="5" count="1" selected="0">
            <x v="773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89">
      <pivotArea dataOnly="0" labelOnly="1" outline="0" fieldPosition="0">
        <references count="11">
          <reference field="0" count="1" selected="0">
            <x v="14"/>
          </reference>
          <reference field="1" count="1">
            <x v="7472"/>
          </reference>
          <reference field="3" count="1" selected="0">
            <x v="7714"/>
          </reference>
          <reference field="5" count="1" selected="0">
            <x v="76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88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687">
      <pivotArea dataOnly="0" labelOnly="1" outline="0" fieldPosition="0">
        <references count="11">
          <reference field="0" count="1" selected="0">
            <x v="15"/>
          </reference>
          <reference field="1" count="1">
            <x v="7424"/>
          </reference>
          <reference field="3" count="1" selected="0">
            <x v="7730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86">
      <pivotArea dataOnly="0" labelOnly="1" outline="0" fieldPosition="0">
        <references count="11">
          <reference field="0" count="1" selected="0">
            <x v="15"/>
          </reference>
          <reference field="1" count="1">
            <x v="7445"/>
          </reference>
          <reference field="3" count="1" selected="0">
            <x v="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685">
      <pivotArea dataOnly="0" labelOnly="1" outline="0" fieldPosition="0">
        <references count="11">
          <reference field="0" count="1" selected="0">
            <x v="15"/>
          </reference>
          <reference field="1" count="1">
            <x v="7457"/>
          </reference>
          <reference field="3" count="1" selected="0">
            <x v="0"/>
          </reference>
          <reference field="5" count="1" selected="0">
            <x v="31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684">
      <pivotArea dataOnly="0" labelOnly="1" outline="0" fieldPosition="0">
        <references count="11">
          <reference field="0" count="1" selected="0">
            <x v="15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31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683">
      <pivotArea dataOnly="0" labelOnly="1" outline="0" fieldPosition="0">
        <references count="11">
          <reference field="0" count="1" selected="0">
            <x v="15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7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682">
      <pivotArea outline="0" collapsedLevelsAreSubtotals="1" fieldPosition="0"/>
    </format>
    <format dxfId="5681">
      <pivotArea dataOnly="0" labelOnly="1" outline="0" axis="axisValues" fieldPosition="0"/>
    </format>
    <format dxfId="5680">
      <pivotArea dataOnly="0" outline="0" fieldPosition="0">
        <references count="1">
          <reference field="12" count="0" defaultSubtotal="1"/>
        </references>
      </pivotArea>
    </format>
    <format dxfId="5679">
      <pivotArea outline="0" collapsedLevelsAreSubtotals="1" fieldPosition="0"/>
    </format>
    <format dxfId="5678">
      <pivotArea dataOnly="0" labelOnly="1" outline="0" axis="axisValues" fieldPosition="0"/>
    </format>
    <format dxfId="5677">
      <pivotArea outline="0" collapsedLevelsAreSubtotals="1" fieldPosition="0"/>
    </format>
    <format dxfId="5676">
      <pivotArea dataOnly="0" labelOnly="1" outline="0" axis="axisValues" fieldPosition="0"/>
    </format>
    <format dxfId="5675">
      <pivotArea dataOnly="0" labelOnly="1" outline="0" axis="axisValues" fieldPosition="0"/>
    </format>
    <format dxfId="5674">
      <pivotArea outline="0" collapsedLevelsAreSubtotals="1" fieldPosition="0"/>
    </format>
    <format dxfId="5673">
      <pivotArea field="12" type="button" dataOnly="0" labelOnly="1" outline="0" axis="axisRow" fieldPosition="2"/>
    </format>
    <format dxfId="5672">
      <pivotArea field="10" type="button" dataOnly="0" labelOnly="1" outline="0" axis="axisRow" fieldPosition="3"/>
    </format>
    <format dxfId="5671">
      <pivotArea field="16" type="button" dataOnly="0" labelOnly="1" outline="0" axis="axisRow" fieldPosition="4"/>
    </format>
    <format dxfId="5670">
      <pivotArea field="18" type="button" dataOnly="0" labelOnly="1" outline="0" axis="axisRow" fieldPosition="5"/>
    </format>
    <format dxfId="5669">
      <pivotArea field="5" type="button" dataOnly="0" labelOnly="1" outline="0" axis="axisRow" fieldPosition="6"/>
    </format>
    <format dxfId="5668">
      <pivotArea field="9" type="button" dataOnly="0" labelOnly="1" outline="0" axis="axisRow" fieldPosition="7"/>
    </format>
    <format dxfId="5667">
      <pivotArea field="3" type="button" dataOnly="0" labelOnly="1" outline="0" axis="axisRow" fieldPosition="8"/>
    </format>
    <format dxfId="5666">
      <pivotArea field="7" type="button" dataOnly="0" labelOnly="1" outline="0" axis="axisRow" fieldPosition="9"/>
    </format>
    <format dxfId="5665">
      <pivotArea field="1" type="button" dataOnly="0" labelOnly="1" outline="0" axis="axisRow" fieldPosition="10"/>
    </format>
    <format dxfId="5664">
      <pivotArea dataOnly="0" labelOnly="1" outline="0" axis="axisValues" fieldPosition="0"/>
    </format>
    <format dxfId="566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56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566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66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6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6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6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5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565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56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6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4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6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6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2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62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62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6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60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560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56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6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5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5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5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5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558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79">
      <pivotArea dataOnly="0" labelOnly="1" outline="0" fieldPosition="0">
        <references count="7">
          <reference field="0" count="1" selected="0">
            <x v="0"/>
          </reference>
          <reference field="5" count="1">
            <x v="20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78">
      <pivotArea dataOnly="0" labelOnly="1" outline="0" fieldPosition="0">
        <references count="7">
          <reference field="0" count="1" selected="0">
            <x v="0"/>
          </reference>
          <reference field="5" count="1">
            <x v="57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77">
      <pivotArea dataOnly="0" labelOnly="1" outline="0" fieldPosition="0">
        <references count="7">
          <reference field="0" count="1" selected="0">
            <x v="0"/>
          </reference>
          <reference field="5" count="1">
            <x v="604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76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75">
      <pivotArea dataOnly="0" labelOnly="1" outline="0" fieldPosition="0">
        <references count="7">
          <reference field="0" count="1" selected="0">
            <x v="12"/>
          </reference>
          <reference field="5" count="1">
            <x v="77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74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73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7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71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70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69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68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67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66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65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64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63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62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61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60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59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5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57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56">
      <pivotArea dataOnly="0" labelOnly="1" outline="0" fieldPosition="0">
        <references count="7">
          <reference field="0" count="1" selected="0">
            <x v="15"/>
          </reference>
          <reference field="5" count="1">
            <x v="31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555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54">
      <pivotArea dataOnly="0" labelOnly="1" outline="0" fieldPosition="0">
        <references count="7">
          <reference field="0" count="1" selected="0">
            <x v="15"/>
          </reference>
          <reference field="5" count="1">
            <x v="1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5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38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37">
      <pivotArea dataOnly="0" labelOnly="1" outline="0" fieldPosition="0">
        <references count="9">
          <reference field="0" count="1" selected="0">
            <x v="0"/>
          </reference>
          <reference field="3" count="1">
            <x v="7322"/>
          </reference>
          <reference field="5" count="1" selected="0">
            <x v="20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36">
      <pivotArea dataOnly="0" labelOnly="1" outline="0" fieldPosition="0">
        <references count="9">
          <reference field="0" count="1" selected="0">
            <x v="0"/>
          </reference>
          <reference field="3" count="1">
            <x v="7323"/>
          </reference>
          <reference field="5" count="1" selected="0">
            <x v="5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35">
      <pivotArea dataOnly="0" labelOnly="1" outline="0" fieldPosition="0">
        <references count="9">
          <reference field="0" count="1" selected="0">
            <x v="0"/>
          </reference>
          <reference field="3" count="1">
            <x v="7676"/>
          </reference>
          <reference field="5" count="1" selected="0">
            <x v="60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34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28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25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24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23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22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21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20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19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18">
      <pivotArea dataOnly="0" labelOnly="1" outline="0" fieldPosition="0">
        <references count="9">
          <reference field="0" count="1" selected="0">
            <x v="15"/>
          </reference>
          <reference field="3" count="1">
            <x v="7768"/>
          </reference>
          <reference field="5" count="1" selected="0">
            <x v="14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1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23"/>
          </reference>
          <reference field="5" count="1" selected="0">
            <x v="5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7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77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8"/>
          </reference>
          <reference field="5" count="1" selected="0">
            <x v="14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501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00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99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98">
      <pivotArea dataOnly="0" labelOnly="1" outline="0" fieldPosition="0">
        <references count="11">
          <reference field="0" count="1" selected="0">
            <x v="14"/>
          </reference>
          <reference field="1" count="1">
            <x v="7497"/>
          </reference>
          <reference field="3" count="1" selected="0">
            <x v="2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97">
      <pivotArea dataOnly="0" labelOnly="1" outline="0" fieldPosition="0">
        <references count="11">
          <reference field="0" count="1" selected="0">
            <x v="14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96">
      <pivotArea dataOnly="0" labelOnly="1" outline="0" fieldPosition="0">
        <references count="11">
          <reference field="0" count="1" selected="0">
            <x v="14"/>
          </reference>
          <reference field="1" count="1">
            <x v="7496"/>
          </reference>
          <reference field="3" count="1" selected="0">
            <x v="2"/>
          </reference>
          <reference field="5" count="1" selected="0">
            <x v="77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95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7747"/>
          </reference>
          <reference field="5" count="1" selected="0">
            <x v="773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94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7770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93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92">
      <pivotArea dataOnly="0" labelOnly="1" outline="0" fieldPosition="0">
        <references count="11">
          <reference field="0" count="1" selected="0">
            <x v="15"/>
          </reference>
          <reference field="1" count="1">
            <x v="7457"/>
          </reference>
          <reference field="3" count="1" selected="0">
            <x v="0"/>
          </reference>
          <reference field="5" count="1" selected="0">
            <x v="31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491">
      <pivotArea outline="0" collapsedLevelsAreSubtotals="1" fieldPosition="0"/>
    </format>
    <format dxfId="5490">
      <pivotArea dataOnly="0" labelOnly="1" outline="0" axis="axisValues" fieldPosition="0"/>
    </format>
    <format dxfId="5489">
      <pivotArea dataOnly="0" outline="0" fieldPosition="0">
        <references count="1">
          <reference field="12" count="0" defaultSubtotal="1"/>
        </references>
      </pivotArea>
    </format>
    <format dxfId="5488">
      <pivotArea outline="0" collapsedLevelsAreSubtotals="1" fieldPosition="0"/>
    </format>
    <format dxfId="5487">
      <pivotArea dataOnly="0" labelOnly="1" outline="0" axis="axisValues" fieldPosition="0"/>
    </format>
    <format dxfId="5486">
      <pivotArea outline="0" collapsedLevelsAreSubtotals="1" fieldPosition="0"/>
    </format>
    <format dxfId="5485">
      <pivotArea dataOnly="0" labelOnly="1" outline="0" axis="axisValues" fieldPosition="0"/>
    </format>
    <format dxfId="5484">
      <pivotArea dataOnly="0" labelOnly="1" outline="0" axis="axisValues" fieldPosition="0"/>
    </format>
    <format dxfId="5483">
      <pivotArea outline="0" collapsedLevelsAreSubtotals="1" fieldPosition="0"/>
    </format>
    <format dxfId="5482">
      <pivotArea field="12" type="button" dataOnly="0" labelOnly="1" outline="0" axis="axisRow" fieldPosition="2"/>
    </format>
    <format dxfId="5481">
      <pivotArea field="10" type="button" dataOnly="0" labelOnly="1" outline="0" axis="axisRow" fieldPosition="3"/>
    </format>
    <format dxfId="5480">
      <pivotArea field="16" type="button" dataOnly="0" labelOnly="1" outline="0" axis="axisRow" fieldPosition="4"/>
    </format>
    <format dxfId="5479">
      <pivotArea field="18" type="button" dataOnly="0" labelOnly="1" outline="0" axis="axisRow" fieldPosition="5"/>
    </format>
    <format dxfId="5478">
      <pivotArea field="5" type="button" dataOnly="0" labelOnly="1" outline="0" axis="axisRow" fieldPosition="6"/>
    </format>
    <format dxfId="5477">
      <pivotArea field="9" type="button" dataOnly="0" labelOnly="1" outline="0" axis="axisRow" fieldPosition="7"/>
    </format>
    <format dxfId="5476">
      <pivotArea field="3" type="button" dataOnly="0" labelOnly="1" outline="0" axis="axisRow" fieldPosition="8"/>
    </format>
    <format dxfId="5475">
      <pivotArea field="7" type="button" dataOnly="0" labelOnly="1" outline="0" axis="axisRow" fieldPosition="9"/>
    </format>
    <format dxfId="5474">
      <pivotArea field="1" type="button" dataOnly="0" labelOnly="1" outline="0" axis="axisRow" fieldPosition="10"/>
    </format>
    <format dxfId="5473">
      <pivotArea dataOnly="0" labelOnly="1" outline="0" axis="axisValues" fieldPosition="0"/>
    </format>
    <format dxfId="547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4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47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546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54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64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5463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54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4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4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4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4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4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4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4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4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4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4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4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5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5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4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4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5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5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5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3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38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81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80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379">
      <pivotArea dataOnly="0" labelOnly="1" outline="0" fieldPosition="0">
        <references count="7">
          <reference field="0" count="1" selected="0">
            <x v="12"/>
          </reference>
          <reference field="5" count="3">
            <x v="7756"/>
            <x v="7757"/>
            <x v="77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78">
      <pivotArea dataOnly="0" labelOnly="1" outline="0" fieldPosition="0">
        <references count="7">
          <reference field="0" count="1" selected="0">
            <x v="12"/>
          </reference>
          <reference field="5" count="2">
            <x v="7754"/>
            <x v="77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77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76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75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74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73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72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71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70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69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68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67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66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65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364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363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36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361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60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59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358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357">
      <pivotArea dataOnly="0" labelOnly="1" outline="0" fieldPosition="0">
        <references count="7">
          <reference field="0" count="1" selected="0">
            <x v="15"/>
          </reference>
          <reference field="5" count="1">
            <x v="1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3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3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37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36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35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334">
      <pivotArea dataOnly="0" labelOnly="1" outline="0" fieldPosition="0">
        <references count="9">
          <reference field="0" count="1" selected="0">
            <x v="12"/>
          </reference>
          <reference field="3" count="1">
            <x v="7775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33">
      <pivotArea dataOnly="0" labelOnly="1" outline="0" fieldPosition="0">
        <references count="9">
          <reference field="0" count="1" selected="0">
            <x v="12"/>
          </reference>
          <reference field="3" count="1">
            <x v="7776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32">
      <pivotArea dataOnly="0" labelOnly="1" outline="0" fieldPosition="0">
        <references count="9">
          <reference field="0" count="1" selected="0">
            <x v="12"/>
          </reference>
          <reference field="3" count="1">
            <x v="7777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27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26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25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24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23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321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320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319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318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317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16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15">
      <pivotArea dataOnly="0" labelOnly="1" outline="0" fieldPosition="0">
        <references count="9">
          <reference field="0" count="1" selected="0">
            <x v="15"/>
          </reference>
          <reference field="3" count="1">
            <x v="7617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314">
      <pivotArea dataOnly="0" labelOnly="1" outline="0" fieldPosition="0">
        <references count="9">
          <reference field="0" count="1" selected="0">
            <x v="15"/>
          </reference>
          <reference field="3" count="1">
            <x v="7772"/>
          </reference>
          <reference field="5" count="1" selected="0">
            <x v="112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3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5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7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77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7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294">
      <pivotArea dataOnly="0" labelOnly="1" outline="0" fieldPosition="0">
        <references count="11">
          <reference field="0" count="1" selected="0">
            <x v="7"/>
          </reference>
          <reference field="1" count="1">
            <x v="7509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293">
      <pivotArea dataOnly="0" labelOnly="1" outline="0" fieldPosition="0">
        <references count="11">
          <reference field="0" count="1" selected="0">
            <x v="12"/>
          </reference>
          <reference field="1" count="1">
            <x v="7508"/>
          </reference>
          <reference field="3" count="1" selected="0">
            <x v="7776"/>
          </reference>
          <reference field="5" count="1" selected="0">
            <x v="7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292">
      <pivotArea dataOnly="0" labelOnly="1" outline="0" fieldPosition="0">
        <references count="11">
          <reference field="0" count="1" selected="0">
            <x v="12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291">
      <pivotArea dataOnly="0" labelOnly="1" outline="0" fieldPosition="0">
        <references count="11">
          <reference field="0" count="1" selected="0">
            <x v="12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77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290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289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88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87">
      <pivotArea dataOnly="0" labelOnly="1" outline="0" fieldPosition="0">
        <references count="11">
          <reference field="0" count="1" selected="0">
            <x v="14"/>
          </reference>
          <reference field="1" count="1">
            <x v="7505"/>
          </reference>
          <reference field="3" count="1" selected="0">
            <x v="7747"/>
          </reference>
          <reference field="5" count="1" selected="0">
            <x v="773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86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76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285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84">
      <pivotArea outline="0" collapsedLevelsAreSubtotals="1" fieldPosition="0"/>
    </format>
    <format dxfId="5283">
      <pivotArea dataOnly="0" labelOnly="1" outline="0" axis="axisValues" fieldPosition="0"/>
    </format>
    <format dxfId="5282">
      <pivotArea dataOnly="0" outline="0" fieldPosition="0">
        <references count="1">
          <reference field="12" count="0" defaultSubtotal="1"/>
        </references>
      </pivotArea>
    </format>
    <format dxfId="5281">
      <pivotArea outline="0" collapsedLevelsAreSubtotals="1" fieldPosition="0"/>
    </format>
    <format dxfId="5280">
      <pivotArea dataOnly="0" labelOnly="1" outline="0" axis="axisValues" fieldPosition="0"/>
    </format>
    <format dxfId="5279">
      <pivotArea outline="0" collapsedLevelsAreSubtotals="1" fieldPosition="0"/>
    </format>
    <format dxfId="5278">
      <pivotArea dataOnly="0" labelOnly="1" outline="0" axis="axisValues" fieldPosition="0"/>
    </format>
    <format dxfId="5277">
      <pivotArea dataOnly="0" labelOnly="1" outline="0" axis="axisValues" fieldPosition="0"/>
    </format>
    <format dxfId="5276">
      <pivotArea outline="0" collapsedLevelsAreSubtotals="1" fieldPosition="0"/>
    </format>
    <format dxfId="5275">
      <pivotArea field="12" type="button" dataOnly="0" labelOnly="1" outline="0" axis="axisRow" fieldPosition="2"/>
    </format>
    <format dxfId="5274">
      <pivotArea field="10" type="button" dataOnly="0" labelOnly="1" outline="0" axis="axisRow" fieldPosition="3"/>
    </format>
    <format dxfId="5273">
      <pivotArea field="16" type="button" dataOnly="0" labelOnly="1" outline="0" axis="axisRow" fieldPosition="4"/>
    </format>
    <format dxfId="5272">
      <pivotArea field="18" type="button" dataOnly="0" labelOnly="1" outline="0" axis="axisRow" fieldPosition="5"/>
    </format>
    <format dxfId="5271">
      <pivotArea field="5" type="button" dataOnly="0" labelOnly="1" outline="0" axis="axisRow" fieldPosition="6"/>
    </format>
    <format dxfId="5270">
      <pivotArea field="9" type="button" dataOnly="0" labelOnly="1" outline="0" axis="axisRow" fieldPosition="7"/>
    </format>
    <format dxfId="5269">
      <pivotArea field="3" type="button" dataOnly="0" labelOnly="1" outline="0" axis="axisRow" fieldPosition="8"/>
    </format>
    <format dxfId="5268">
      <pivotArea field="7" type="button" dataOnly="0" labelOnly="1" outline="0" axis="axisRow" fieldPosition="9"/>
    </format>
    <format dxfId="5267">
      <pivotArea field="1" type="button" dataOnly="0" labelOnly="1" outline="0" axis="axisRow" fieldPosition="10"/>
    </format>
    <format dxfId="5266">
      <pivotArea dataOnly="0" labelOnly="1" outline="0" axis="axisValues" fieldPosition="0"/>
    </format>
    <format dxfId="526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26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26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52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526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2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2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5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25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2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5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2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2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2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2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2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2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22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2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52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2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5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5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5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2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0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1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5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5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5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51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51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51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516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66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65">
      <pivotArea dataOnly="0" labelOnly="1" outline="0" fieldPosition="0">
        <references count="7">
          <reference field="0" count="1" selected="0">
            <x v="12"/>
          </reference>
          <reference field="5" count="2">
            <x v="7762"/>
            <x v="77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64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63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6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61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60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59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58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57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56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55">
      <pivotArea dataOnly="0" labelOnly="1" outline="0" fieldPosition="0">
        <references count="7">
          <reference field="0" count="1" selected="0">
            <x v="14"/>
          </reference>
          <reference field="5" count="1">
            <x v="457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54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53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52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51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50">
      <pivotArea dataOnly="0" labelOnly="1" outline="0" fieldPosition="0">
        <references count="7">
          <reference field="0" count="1" selected="0">
            <x v="14"/>
          </reference>
          <reference field="5" count="1">
            <x v="112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49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48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47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46">
      <pivotArea dataOnly="0" labelOnly="1" outline="0" fieldPosition="0">
        <references count="7">
          <reference field="0" count="1" selected="0">
            <x v="14"/>
          </reference>
          <reference field="5" count="1">
            <x v="744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45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4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143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42">
      <pivotArea dataOnly="0" labelOnly="1" outline="0" fieldPosition="0">
        <references count="7">
          <reference field="0" count="1" selected="0">
            <x v="15"/>
          </reference>
          <reference field="5" count="1">
            <x v="31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141">
      <pivotArea dataOnly="0" labelOnly="1" outline="0" fieldPosition="0">
        <references count="7">
          <reference field="0" count="1" selected="0">
            <x v="15"/>
          </reference>
          <reference field="5" count="1">
            <x v="77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140">
      <pivotArea dataOnly="0" labelOnly="1" outline="0" fieldPosition="0">
        <references count="7">
          <reference field="0" count="1" selected="0">
            <x v="15"/>
          </reference>
          <reference field="5" count="1">
            <x v="46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139">
      <pivotArea dataOnly="0" labelOnly="1" outline="0" fieldPosition="0">
        <references count="7">
          <reference field="0" count="1" selected="0">
            <x v="15"/>
          </reference>
          <reference field="5" count="1">
            <x v="77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22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21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16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15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14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12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11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10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11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08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0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0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05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04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77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11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87">
      <pivotArea dataOnly="0" labelOnly="1" outline="0" fieldPosition="0">
        <references count="11">
          <reference field="0" count="1" selected="0">
            <x v="7"/>
          </reference>
          <reference field="1" count="1">
            <x v="7509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86">
      <pivotArea dataOnly="0" labelOnly="1" outline="0" fieldPosition="0">
        <references count="11">
          <reference field="0" count="1" selected="0">
            <x v="12"/>
          </reference>
          <reference field="1" count="1">
            <x v="7521"/>
          </reference>
          <reference field="3" count="1" selected="0">
            <x v="0"/>
          </reference>
          <reference field="5" count="1" selected="0">
            <x v="77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85">
      <pivotArea dataOnly="0" labelOnly="1" outline="0" fieldPosition="0">
        <references count="11">
          <reference field="0" count="1" selected="0">
            <x v="12"/>
          </reference>
          <reference field="1" count="1">
            <x v="7523"/>
          </reference>
          <reference field="3" count="1" selected="0">
            <x v="0"/>
          </reference>
          <reference field="5" count="1" selected="0">
            <x v="77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84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83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82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81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2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80">
      <pivotArea dataOnly="0" labelOnly="1" outline="0" fieldPosition="0">
        <references count="11">
          <reference field="0" count="1" selected="0">
            <x v="14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79">
      <pivotArea dataOnly="0" labelOnly="1" outline="0" fieldPosition="0">
        <references count="11">
          <reference field="0" count="1" selected="0">
            <x v="14"/>
          </reference>
          <reference field="1" count="1">
            <x v="7518"/>
          </reference>
          <reference field="3" count="1" selected="0">
            <x v="0"/>
          </reference>
          <reference field="5" count="1" selected="0">
            <x v="77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78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7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0"/>
          </reference>
          <reference field="5" count="1" selected="0">
            <x v="76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76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7635"/>
          </reference>
          <reference field="5" count="1" selected="0">
            <x v="40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075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74">
      <pivotArea dataOnly="0" labelOnly="1" outline="0" fieldPosition="0">
        <references count="11">
          <reference field="0" count="1" selected="0">
            <x v="15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31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073">
      <pivotArea outline="0" collapsedLevelsAreSubtotals="1" fieldPosition="0"/>
    </format>
    <format dxfId="5072">
      <pivotArea dataOnly="0" labelOnly="1" outline="0" axis="axisValues" fieldPosition="0"/>
    </format>
    <format dxfId="5071">
      <pivotArea dataOnly="0" outline="0" fieldPosition="0">
        <references count="1">
          <reference field="12" count="0" defaultSubtotal="1"/>
        </references>
      </pivotArea>
    </format>
    <format dxfId="5070">
      <pivotArea outline="0" collapsedLevelsAreSubtotals="1" fieldPosition="0"/>
    </format>
    <format dxfId="5069">
      <pivotArea dataOnly="0" labelOnly="1" outline="0" axis="axisValues" fieldPosition="0"/>
    </format>
    <format dxfId="5068">
      <pivotArea outline="0" collapsedLevelsAreSubtotals="1" fieldPosition="0"/>
    </format>
    <format dxfId="5067">
      <pivotArea dataOnly="0" labelOnly="1" outline="0" axis="axisValues" fieldPosition="0"/>
    </format>
    <format dxfId="5066">
      <pivotArea dataOnly="0" labelOnly="1" outline="0" axis="axisValues" fieldPosition="0"/>
    </format>
    <format dxfId="5065">
      <pivotArea outline="0" collapsedLevelsAreSubtotals="1" fieldPosition="0"/>
    </format>
    <format dxfId="5064">
      <pivotArea field="12" type="button" dataOnly="0" labelOnly="1" outline="0" axis="axisRow" fieldPosition="2"/>
    </format>
    <format dxfId="5063">
      <pivotArea field="10" type="button" dataOnly="0" labelOnly="1" outline="0" axis="axisRow" fieldPosition="3"/>
    </format>
    <format dxfId="5062">
      <pivotArea field="16" type="button" dataOnly="0" labelOnly="1" outline="0" axis="axisRow" fieldPosition="4"/>
    </format>
    <format dxfId="5061">
      <pivotArea field="18" type="button" dataOnly="0" labelOnly="1" outline="0" axis="axisRow" fieldPosition="5"/>
    </format>
    <format dxfId="5060">
      <pivotArea field="5" type="button" dataOnly="0" labelOnly="1" outline="0" axis="axisRow" fieldPosition="6"/>
    </format>
    <format dxfId="5059">
      <pivotArea field="9" type="button" dataOnly="0" labelOnly="1" outline="0" axis="axisRow" fieldPosition="7"/>
    </format>
    <format dxfId="5058">
      <pivotArea field="3" type="button" dataOnly="0" labelOnly="1" outline="0" axis="axisRow" fieldPosition="8"/>
    </format>
    <format dxfId="5057">
      <pivotArea field="7" type="button" dataOnly="0" labelOnly="1" outline="0" axis="axisRow" fieldPosition="9"/>
    </format>
    <format dxfId="5056">
      <pivotArea field="1" type="button" dataOnly="0" labelOnly="1" outline="0" axis="axisRow" fieldPosition="10"/>
    </format>
    <format dxfId="5055">
      <pivotArea dataOnly="0" labelOnly="1" outline="0" axis="axisValues" fieldPosition="0"/>
    </format>
    <format dxfId="505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0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0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0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050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049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0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4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504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50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0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0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0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0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0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0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0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0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0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9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9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9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49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49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49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4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4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4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9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9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49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496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5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64">
      <pivotArea dataOnly="0" labelOnly="1" outline="0" fieldPosition="0">
        <references count="7">
          <reference field="0" count="1" selected="0">
            <x v="11"/>
          </reference>
          <reference field="5" count="1">
            <x v="515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63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53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62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61">
      <pivotArea dataOnly="0" labelOnly="1" outline="0" fieldPosition="0">
        <references count="7">
          <reference field="0" count="1" selected="0">
            <x v="11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60">
      <pivotArea dataOnly="0" labelOnly="1" outline="0" fieldPosition="0">
        <references count="7">
          <reference field="0" count="1" selected="0">
            <x v="11"/>
          </reference>
          <reference field="5" count="1">
            <x v="71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59">
      <pivotArea dataOnly="0" labelOnly="1" outline="0" fieldPosition="0">
        <references count="7">
          <reference field="0" count="1" selected="0">
            <x v="11"/>
          </reference>
          <reference field="5" count="1">
            <x v="62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958">
      <pivotArea dataOnly="0" labelOnly="1" outline="0" fieldPosition="0">
        <references count="7">
          <reference field="0" count="1" selected="0">
            <x v="12"/>
          </reference>
          <reference field="5" count="1">
            <x v="60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57">
      <pivotArea dataOnly="0" labelOnly="1" outline="0" fieldPosition="0">
        <references count="7">
          <reference field="0" count="1" selected="0">
            <x v="12"/>
          </reference>
          <reference field="5" count="1">
            <x v="7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56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55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5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5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52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51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50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49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48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47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46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5">
      <pivotArea dataOnly="0" labelOnly="1" outline="0" fieldPosition="0">
        <references count="7">
          <reference field="0" count="1" selected="0">
            <x v="14"/>
          </reference>
          <reference field="5" count="1">
            <x v="112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44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4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42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41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40">
      <pivotArea dataOnly="0" labelOnly="1" outline="0" fieldPosition="0">
        <references count="7">
          <reference field="0" count="1" selected="0">
            <x v="15"/>
          </reference>
          <reference field="5" count="1">
            <x v="3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39">
      <pivotArea dataOnly="0" labelOnly="1" outline="0" fieldPosition="0">
        <references count="7">
          <reference field="0" count="1" selected="0">
            <x v="15"/>
          </reference>
          <reference field="5" count="1">
            <x v="77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938">
      <pivotArea dataOnly="0" labelOnly="1" outline="0" fieldPosition="0">
        <references count="7">
          <reference field="0" count="1" selected="0">
            <x v="15"/>
          </reference>
          <reference field="5" count="1">
            <x v="46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937">
      <pivotArea dataOnly="0" labelOnly="1" outline="0" fieldPosition="0">
        <references count="7">
          <reference field="0" count="1" selected="0">
            <x v="15"/>
          </reference>
          <reference field="5" count="1">
            <x v="14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36">
      <pivotArea dataOnly="0" labelOnly="1" outline="0" fieldPosition="0">
        <references count="7">
          <reference field="0" count="1" selected="0">
            <x v="15"/>
          </reference>
          <reference field="5" count="1">
            <x v="77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22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1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20">
      <pivotArea dataOnly="0" labelOnly="1" outline="0" fieldPosition="0">
        <references count="9">
          <reference field="0" count="1" selected="0">
            <x v="11"/>
          </reference>
          <reference field="3" count="1">
            <x v="7737"/>
          </reference>
          <reference field="5" count="1" selected="0">
            <x v="51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19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18">
      <pivotArea dataOnly="0" labelOnly="1" outline="0" fieldPosition="0">
        <references count="9">
          <reference field="0" count="1" selected="0">
            <x v="11"/>
          </reference>
          <reference field="3" count="1">
            <x v="7630"/>
          </reference>
          <reference field="5" count="1" selected="0">
            <x v="5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17">
      <pivotArea dataOnly="0" labelOnly="1" outline="0" fieldPosition="0">
        <references count="9">
          <reference field="0" count="1" selected="0">
            <x v="11"/>
          </reference>
          <reference field="3" count="1">
            <x v="7631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16">
      <pivotArea dataOnly="0" labelOnly="1" outline="0" fieldPosition="0">
        <references count="9">
          <reference field="0" count="1" selected="0">
            <x v="11"/>
          </reference>
          <reference field="3" count="1">
            <x v="7634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15">
      <pivotArea dataOnly="0" labelOnly="1" outline="0" fieldPosition="0">
        <references count="9">
          <reference field="0" count="1" selected="0">
            <x v="11"/>
          </reference>
          <reference field="3" count="1">
            <x v="7505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14">
      <pivotArea dataOnly="0" labelOnly="1" outline="0" fieldPosition="0">
        <references count="9">
          <reference field="0" count="1" selected="0">
            <x v="11"/>
          </reference>
          <reference field="3" count="1">
            <x v="7632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9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08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0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6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11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05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04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03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02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01">
      <pivotArea dataOnly="0" labelOnly="1" outline="0" fieldPosition="0">
        <references count="9">
          <reference field="0" count="1" selected="0">
            <x v="15"/>
          </reference>
          <reference field="3" count="1">
            <x v="2970"/>
          </reference>
          <reference field="5" count="1" selected="0">
            <x v="148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0">
      <pivotArea dataOnly="0" labelOnly="1" outline="0" fieldPosition="0">
        <references count="9">
          <reference field="0" count="1" selected="0">
            <x v="15"/>
          </reference>
          <reference field="3" count="1">
            <x v="7746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7"/>
          </reference>
          <reference field="5" count="1" selected="0">
            <x v="5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11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66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8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70"/>
          </reference>
          <reference field="5" count="1" selected="0">
            <x v="14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6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83">
      <pivotArea dataOnly="0" labelOnly="1" outline="0" fieldPosition="0">
        <references count="11">
          <reference field="0" count="1" selected="0">
            <x v="7"/>
          </reference>
          <reference field="1" count="1">
            <x v="7537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82">
      <pivotArea dataOnly="0" labelOnly="1" outline="0" fieldPosition="0">
        <references count="11">
          <reference field="0" count="1" selected="0">
            <x v="11"/>
          </reference>
          <reference field="1" count="1">
            <x v="7536"/>
          </reference>
          <reference field="3" count="1" selected="0">
            <x v="7737"/>
          </reference>
          <reference field="5" count="1" selected="0">
            <x v="5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81">
      <pivotArea dataOnly="0" labelOnly="1" outline="0" fieldPosition="0">
        <references count="11">
          <reference field="0" count="1" selected="0">
            <x v="11"/>
          </reference>
          <reference field="1" count="1">
            <x v="7335"/>
          </reference>
          <reference field="3" count="1" selected="0">
            <x v="7630"/>
          </reference>
          <reference field="5" count="1" selected="0">
            <x v="53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80">
      <pivotArea dataOnly="0" labelOnly="1" outline="0" fieldPosition="0">
        <references count="11">
          <reference field="0" count="1" selected="0">
            <x v="11"/>
          </reference>
          <reference field="1" count="1">
            <x v="7336"/>
          </reference>
          <reference field="3" count="1" selected="0">
            <x v="7632"/>
          </reference>
          <reference field="5" count="1" selected="0">
            <x v="62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879">
      <pivotArea dataOnly="0" labelOnly="1" outline="0" fieldPosition="0">
        <references count="11">
          <reference field="0" count="1" selected="0">
            <x v="12"/>
          </reference>
          <reference field="1" count="1">
            <x v="7534"/>
          </reference>
          <reference field="3" count="1" selected="0">
            <x v="0"/>
          </reference>
          <reference field="5" count="1" selected="0">
            <x v="7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8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77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76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75">
      <pivotArea dataOnly="0" labelOnly="1" outline="0" fieldPosition="0">
        <references count="11">
          <reference field="0" count="1" selected="0">
            <x v="14"/>
          </reference>
          <reference field="1" count="1">
            <x v="7533"/>
          </reference>
          <reference field="3" count="1" selected="0">
            <x v="2"/>
          </reference>
          <reference field="5" count="1" selected="0">
            <x v="7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874">
      <pivotArea dataOnly="0" labelOnly="1" outline="0" fieldPosition="0">
        <references count="11">
          <reference field="0" count="1" selected="0">
            <x v="14"/>
          </reference>
          <reference field="1" count="1">
            <x v="7518"/>
          </reference>
          <reference field="3" count="1" selected="0">
            <x v="0"/>
          </reference>
          <reference field="5" count="1" selected="0">
            <x v="77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3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784"/>
          </reference>
          <reference field="5" count="1" selected="0">
            <x v="11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72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57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71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4666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870">
      <pivotArea outline="0" collapsedLevelsAreSubtotals="1" fieldPosition="0"/>
    </format>
    <format dxfId="4869">
      <pivotArea dataOnly="0" labelOnly="1" outline="0" axis="axisValues" fieldPosition="0"/>
    </format>
    <format dxfId="4868">
      <pivotArea dataOnly="0" outline="0" fieldPosition="0">
        <references count="1">
          <reference field="12" count="0" defaultSubtotal="1"/>
        </references>
      </pivotArea>
    </format>
    <format dxfId="4867">
      <pivotArea outline="0" collapsedLevelsAreSubtotals="1" fieldPosition="0"/>
    </format>
    <format dxfId="4866">
      <pivotArea dataOnly="0" labelOnly="1" outline="0" axis="axisValues" fieldPosition="0"/>
    </format>
    <format dxfId="4865">
      <pivotArea outline="0" collapsedLevelsAreSubtotals="1" fieldPosition="0"/>
    </format>
    <format dxfId="4864">
      <pivotArea dataOnly="0" labelOnly="1" outline="0" axis="axisValues" fieldPosition="0"/>
    </format>
    <format dxfId="4863">
      <pivotArea dataOnly="0" labelOnly="1" outline="0" axis="axisValues" fieldPosition="0"/>
    </format>
    <format dxfId="4862">
      <pivotArea outline="0" collapsedLevelsAreSubtotals="1" fieldPosition="0"/>
    </format>
    <format dxfId="4861">
      <pivotArea field="12" type="button" dataOnly="0" labelOnly="1" outline="0" axis="axisRow" fieldPosition="2"/>
    </format>
    <format dxfId="4860">
      <pivotArea field="10" type="button" dataOnly="0" labelOnly="1" outline="0" axis="axisRow" fieldPosition="3"/>
    </format>
    <format dxfId="4859">
      <pivotArea field="16" type="button" dataOnly="0" labelOnly="1" outline="0" axis="axisRow" fieldPosition="4"/>
    </format>
    <format dxfId="4858">
      <pivotArea field="18" type="button" dataOnly="0" labelOnly="1" outline="0" axis="axisRow" fieldPosition="5"/>
    </format>
    <format dxfId="4857">
      <pivotArea field="5" type="button" dataOnly="0" labelOnly="1" outline="0" axis="axisRow" fieldPosition="6"/>
    </format>
    <format dxfId="4856">
      <pivotArea field="9" type="button" dataOnly="0" labelOnly="1" outline="0" axis="axisRow" fieldPosition="7"/>
    </format>
    <format dxfId="4855">
      <pivotArea field="3" type="button" dataOnly="0" labelOnly="1" outline="0" axis="axisRow" fieldPosition="8"/>
    </format>
    <format dxfId="4854">
      <pivotArea field="7" type="button" dataOnly="0" labelOnly="1" outline="0" axis="axisRow" fieldPosition="9"/>
    </format>
    <format dxfId="4853">
      <pivotArea field="1" type="button" dataOnly="0" labelOnly="1" outline="0" axis="axisRow" fieldPosition="10"/>
    </format>
    <format dxfId="4852">
      <pivotArea dataOnly="0" labelOnly="1" outline="0" axis="axisValues" fieldPosition="0"/>
    </format>
    <format dxfId="48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8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84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48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48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8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8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4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84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8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39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8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3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8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8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8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8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8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8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8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8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8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8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81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8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7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4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4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7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47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7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4766">
      <pivotArea dataOnly="0" labelOnly="1" outline="0" fieldPosition="0">
        <references count="7">
          <reference field="0" count="1" selected="0">
            <x v="13"/>
          </reference>
          <reference field="5" count="1"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6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64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63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62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61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6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59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58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57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56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55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54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753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52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51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50">
      <pivotArea dataOnly="0" labelOnly="1" outline="0" fieldPosition="0">
        <references count="7">
          <reference field="0" count="1" selected="0">
            <x v="14"/>
          </reference>
          <reference field="5" count="1">
            <x v="698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49">
      <pivotArea dataOnly="0" labelOnly="1" outline="0" fieldPosition="0">
        <references count="7">
          <reference field="0" count="1" selected="0">
            <x v="14"/>
          </reference>
          <reference field="5" count="1">
            <x v="445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8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7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46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4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44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3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42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41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40">
      <pivotArea dataOnly="0" labelOnly="1" outline="0" fieldPosition="0">
        <references count="7">
          <reference field="0" count="1" selected="0">
            <x v="15"/>
          </reference>
          <reference field="5" count="1">
            <x v="77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39">
      <pivotArea dataOnly="0" labelOnly="1" outline="0" fieldPosition="0">
        <references count="7">
          <reference field="0" count="1" selected="0">
            <x v="15"/>
          </reference>
          <reference field="5" count="2">
            <x v="3178"/>
            <x v="31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38">
      <pivotArea dataOnly="0" labelOnly="1" outline="0" fieldPosition="0">
        <references count="7">
          <reference field="0" count="1" selected="0">
            <x v="15"/>
          </reference>
          <reference field="5" count="1">
            <x v="46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737">
      <pivotArea dataOnly="0" labelOnly="1" outline="0" fieldPosition="0">
        <references count="7">
          <reference field="0" count="1" selected="0">
            <x v="15"/>
          </reference>
          <reference field="5" count="1">
            <x v="77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736">
      <pivotArea dataOnly="0" labelOnly="1" outline="0" fieldPosition="0">
        <references count="7">
          <reference field="0" count="1" selected="0">
            <x v="15"/>
          </reference>
          <reference field="5" count="1">
            <x v="14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35">
      <pivotArea dataOnly="0" labelOnly="1" outline="0" fieldPosition="0">
        <references count="7">
          <reference field="0" count="1" selected="0">
            <x v="15"/>
          </reference>
          <reference field="5" count="3">
            <x v="1479"/>
            <x v="7760"/>
            <x v="77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17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16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11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710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08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07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4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6">
      <pivotArea dataOnly="0" labelOnly="1" outline="0" fieldPosition="0">
        <references count="9">
          <reference field="0" count="1" selected="0">
            <x v="14"/>
          </reference>
          <reference field="3" count="1">
            <x v="1407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5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04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03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02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0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99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98">
      <pivotArea dataOnly="0" labelOnly="1" outline="0" fieldPosition="0">
        <references count="9">
          <reference field="0" count="1" selected="0">
            <x v="15"/>
          </reference>
          <reference field="3" count="1">
            <x v="2970"/>
          </reference>
          <reference field="5" count="1" selected="0">
            <x v="148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3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4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7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81">
      <pivotArea dataOnly="0" labelOnly="1" outline="0" fieldPosition="0">
        <references count="11">
          <reference field="0" count="1" selected="0">
            <x v="14"/>
          </reference>
          <reference field="1" count="1">
            <x v="7553"/>
          </reference>
          <reference field="3" count="1" selected="0">
            <x v="7803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80">
      <pivotArea dataOnly="0" labelOnly="1" outline="0" fieldPosition="0">
        <references count="11">
          <reference field="0" count="1" selected="0">
            <x v="7"/>
          </reference>
          <reference field="1" count="1">
            <x v="7564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79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78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77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76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75">
      <pivotArea dataOnly="0" labelOnly="1" outline="0" fieldPosition="0">
        <references count="11">
          <reference field="0" count="1" selected="0">
            <x v="14"/>
          </reference>
          <reference field="1" count="1">
            <x v="7561"/>
          </reference>
          <reference field="3" count="1" selected="0">
            <x v="2"/>
          </reference>
          <reference field="5" count="1" selected="0">
            <x v="7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74">
      <pivotArea dataOnly="0" labelOnly="1" outline="0" fieldPosition="0">
        <references count="11">
          <reference field="0" count="1" selected="0">
            <x v="14"/>
          </reference>
          <reference field="1" count="1">
            <x v="7518"/>
          </reference>
          <reference field="3" count="1" selected="0">
            <x v="0"/>
          </reference>
          <reference field="5" count="1" selected="0">
            <x v="77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73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613"/>
          </reference>
          <reference field="5" count="1" selected="0">
            <x v="34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72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71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1407"/>
          </reference>
          <reference field="5" count="1" selected="0">
            <x v="77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70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7635"/>
          </reference>
          <reference field="5" count="1" selected="0">
            <x v="40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69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68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67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66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7802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65">
      <pivotArea dataOnly="0" labelOnly="1" outline="0" fieldPosition="0">
        <references count="11">
          <reference field="0" count="1" selected="0">
            <x v="15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31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664">
      <pivotArea dataOnly="0" labelOnly="1" outline="0" fieldPosition="0">
        <references count="11">
          <reference field="0" count="1" selected="0">
            <x v="15"/>
          </reference>
          <reference field="1" count="1">
            <x v="7550"/>
          </reference>
          <reference field="3" count="1" selected="0">
            <x v="0"/>
          </reference>
          <reference field="5" count="1" selected="0">
            <x v="14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63">
      <pivotArea dataOnly="0" labelOnly="1" outline="0" fieldPosition="0">
        <references count="11">
          <reference field="0" count="1" selected="0">
            <x v="15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62">
      <pivotArea outline="0" collapsedLevelsAreSubtotals="1" fieldPosition="0"/>
    </format>
    <format dxfId="4661">
      <pivotArea dataOnly="0" labelOnly="1" outline="0" axis="axisValues" fieldPosition="0"/>
    </format>
    <format dxfId="4660">
      <pivotArea dataOnly="0" outline="0" fieldPosition="0">
        <references count="1">
          <reference field="12" count="0" defaultSubtotal="1"/>
        </references>
      </pivotArea>
    </format>
    <format dxfId="4659">
      <pivotArea outline="0" collapsedLevelsAreSubtotals="1" fieldPosition="0"/>
    </format>
    <format dxfId="4658">
      <pivotArea dataOnly="0" labelOnly="1" outline="0" axis="axisValues" fieldPosition="0"/>
    </format>
    <format dxfId="4657">
      <pivotArea outline="0" collapsedLevelsAreSubtotals="1" fieldPosition="0"/>
    </format>
    <format dxfId="4656">
      <pivotArea dataOnly="0" labelOnly="1" outline="0" axis="axisValues" fieldPosition="0"/>
    </format>
    <format dxfId="4655">
      <pivotArea dataOnly="0" labelOnly="1" outline="0" axis="axisValues" fieldPosition="0"/>
    </format>
    <format dxfId="4654">
      <pivotArea outline="0" collapsedLevelsAreSubtotals="1" fieldPosition="0"/>
    </format>
    <format dxfId="4653">
      <pivotArea field="12" type="button" dataOnly="0" labelOnly="1" outline="0" axis="axisRow" fieldPosition="2"/>
    </format>
    <format dxfId="4652">
      <pivotArea field="10" type="button" dataOnly="0" labelOnly="1" outline="0" axis="axisRow" fieldPosition="3"/>
    </format>
    <format dxfId="4651">
      <pivotArea field="16" type="button" dataOnly="0" labelOnly="1" outline="0" axis="axisRow" fieldPosition="4"/>
    </format>
    <format dxfId="4650">
      <pivotArea field="18" type="button" dataOnly="0" labelOnly="1" outline="0" axis="axisRow" fieldPosition="5"/>
    </format>
    <format dxfId="4649">
      <pivotArea field="5" type="button" dataOnly="0" labelOnly="1" outline="0" axis="axisRow" fieldPosition="6"/>
    </format>
    <format dxfId="4648">
      <pivotArea field="9" type="button" dataOnly="0" labelOnly="1" outline="0" axis="axisRow" fieldPosition="7"/>
    </format>
    <format dxfId="4647">
      <pivotArea field="3" type="button" dataOnly="0" labelOnly="1" outline="0" axis="axisRow" fieldPosition="8"/>
    </format>
    <format dxfId="4646">
      <pivotArea field="7" type="button" dataOnly="0" labelOnly="1" outline="0" axis="axisRow" fieldPosition="9"/>
    </format>
    <format dxfId="4645">
      <pivotArea field="1" type="button" dataOnly="0" labelOnly="1" outline="0" axis="axisRow" fieldPosition="10"/>
    </format>
    <format dxfId="4644">
      <pivotArea dataOnly="0" labelOnly="1" outline="0" axis="axisValues" fieldPosition="0"/>
    </format>
    <format dxfId="46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6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64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464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463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6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6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3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63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6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3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6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6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2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6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6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6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6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6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6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6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6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6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4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4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4560">
      <pivotArea dataOnly="0" labelOnly="1" outline="0" fieldPosition="0">
        <references count="7">
          <reference field="0" count="1" selected="0">
            <x v="13"/>
          </reference>
          <reference field="5" count="1"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5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58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57">
      <pivotArea dataOnly="0" labelOnly="1" outline="0" fieldPosition="0">
        <references count="7">
          <reference field="0" count="1" selected="0">
            <x v="13"/>
          </reference>
          <reference field="5" count="1">
            <x v="72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56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55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5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5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52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51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50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9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48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547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6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545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44">
      <pivotArea dataOnly="0" labelOnly="1" outline="0" fieldPosition="0">
        <references count="7">
          <reference field="0" count="1" selected="0">
            <x v="14"/>
          </reference>
          <reference field="5" count="1">
            <x v="698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43">
      <pivotArea dataOnly="0" labelOnly="1" outline="0" fieldPosition="0">
        <references count="7">
          <reference field="0" count="1" selected="0">
            <x v="14"/>
          </reference>
          <reference field="5" count="1">
            <x v="445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2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1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40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3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38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7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36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35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34">
      <pivotArea dataOnly="0" labelOnly="1" outline="0" fieldPosition="0">
        <references count="7">
          <reference field="0" count="1" selected="0">
            <x v="15"/>
          </reference>
          <reference field="5" count="1">
            <x v="14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33">
      <pivotArea dataOnly="0" labelOnly="1" outline="0" fieldPosition="0">
        <references count="7">
          <reference field="0" count="1" selected="0">
            <x v="15"/>
          </reference>
          <reference field="5" count="3">
            <x v="1479"/>
            <x v="7760"/>
            <x v="77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15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14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09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508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506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05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4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4">
      <pivotArea dataOnly="0" labelOnly="1" outline="0" fieldPosition="0">
        <references count="9">
          <reference field="0" count="1" selected="0">
            <x v="14"/>
          </reference>
          <reference field="3" count="1">
            <x v="1407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3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02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01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00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8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97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96">
      <pivotArea dataOnly="0" labelOnly="1" outline="0" fieldPosition="0">
        <references count="9">
          <reference field="0" count="1" selected="0">
            <x v="15"/>
          </reference>
          <reference field="3" count="1">
            <x v="2970"/>
          </reference>
          <reference field="5" count="1" selected="0">
            <x v="148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3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4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7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79">
      <pivotArea dataOnly="0" labelOnly="1" outline="0" fieldPosition="0">
        <references count="11">
          <reference field="0" count="1" selected="0">
            <x v="14"/>
          </reference>
          <reference field="1" count="1">
            <x v="7553"/>
          </reference>
          <reference field="3" count="1" selected="0">
            <x v="7803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78">
      <pivotArea dataOnly="0" labelOnly="1" outline="0" fieldPosition="0">
        <references count="11">
          <reference field="0" count="1" selected="0">
            <x v="7"/>
          </reference>
          <reference field="1" count="1">
            <x v="7564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77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76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75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74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73">
      <pivotArea dataOnly="0" labelOnly="1" outline="0" fieldPosition="0">
        <references count="11">
          <reference field="0" count="1" selected="0">
            <x v="14"/>
          </reference>
          <reference field="1" count="1">
            <x v="7561"/>
          </reference>
          <reference field="3" count="1" selected="0">
            <x v="2"/>
          </reference>
          <reference field="5" count="1" selected="0">
            <x v="7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2">
      <pivotArea dataOnly="0" labelOnly="1" outline="0" fieldPosition="0">
        <references count="11">
          <reference field="0" count="1" selected="0">
            <x v="14"/>
          </reference>
          <reference field="1" count="1">
            <x v="7518"/>
          </reference>
          <reference field="3" count="1" selected="0">
            <x v="0"/>
          </reference>
          <reference field="5" count="1" selected="0">
            <x v="77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71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613"/>
          </reference>
          <reference field="5" count="1" selected="0">
            <x v="34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70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69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1407"/>
          </reference>
          <reference field="5" count="1" selected="0">
            <x v="77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8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7635"/>
          </reference>
          <reference field="5" count="1" selected="0">
            <x v="40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67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66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65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64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7802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3">
      <pivotArea dataOnly="0" labelOnly="1" outline="0" fieldPosition="0">
        <references count="11">
          <reference field="0" count="1" selected="0">
            <x v="15"/>
          </reference>
          <reference field="1" count="1">
            <x v="7550"/>
          </reference>
          <reference field="3" count="1" selected="0">
            <x v="0"/>
          </reference>
          <reference field="5" count="1" selected="0">
            <x v="14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2">
      <pivotArea dataOnly="0" labelOnly="1" outline="0" fieldPosition="0">
        <references count="11">
          <reference field="0" count="1" selected="0">
            <x v="15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1">
      <pivotArea outline="0" collapsedLevelsAreSubtotals="1" fieldPosition="0"/>
    </format>
    <format dxfId="4460">
      <pivotArea dataOnly="0" labelOnly="1" outline="0" axis="axisValues" fieldPosition="0"/>
    </format>
    <format dxfId="4459">
      <pivotArea dataOnly="0" outline="0" fieldPosition="0">
        <references count="1">
          <reference field="12" count="0" defaultSubtotal="1"/>
        </references>
      </pivotArea>
    </format>
    <format dxfId="4458">
      <pivotArea outline="0" collapsedLevelsAreSubtotals="1" fieldPosition="0"/>
    </format>
    <format dxfId="4457">
      <pivotArea dataOnly="0" labelOnly="1" outline="0" axis="axisValues" fieldPosition="0"/>
    </format>
    <format dxfId="4456">
      <pivotArea outline="0" collapsedLevelsAreSubtotals="1" fieldPosition="0"/>
    </format>
    <format dxfId="4455">
      <pivotArea dataOnly="0" labelOnly="1" outline="0" axis="axisValues" fieldPosition="0"/>
    </format>
    <format dxfId="4454">
      <pivotArea dataOnly="0" labelOnly="1" outline="0" axis="axisValues" fieldPosition="0"/>
    </format>
    <format dxfId="4453">
      <pivotArea outline="0" collapsedLevelsAreSubtotals="1" fieldPosition="0"/>
    </format>
    <format dxfId="4452">
      <pivotArea field="12" type="button" dataOnly="0" labelOnly="1" outline="0" axis="axisRow" fieldPosition="2"/>
    </format>
    <format dxfId="4451">
      <pivotArea field="10" type="button" dataOnly="0" labelOnly="1" outline="0" axis="axisRow" fieldPosition="3"/>
    </format>
    <format dxfId="4450">
      <pivotArea field="16" type="button" dataOnly="0" labelOnly="1" outline="0" axis="axisRow" fieldPosition="4"/>
    </format>
    <format dxfId="4449">
      <pivotArea field="18" type="button" dataOnly="0" labelOnly="1" outline="0" axis="axisRow" fieldPosition="5"/>
    </format>
    <format dxfId="4448">
      <pivotArea field="5" type="button" dataOnly="0" labelOnly="1" outline="0" axis="axisRow" fieldPosition="6"/>
    </format>
    <format dxfId="4447">
      <pivotArea field="9" type="button" dataOnly="0" labelOnly="1" outline="0" axis="axisRow" fieldPosition="7"/>
    </format>
    <format dxfId="4446">
      <pivotArea field="3" type="button" dataOnly="0" labelOnly="1" outline="0" axis="axisRow" fieldPosition="8"/>
    </format>
    <format dxfId="4445">
      <pivotArea field="7" type="button" dataOnly="0" labelOnly="1" outline="0" axis="axisRow" fieldPosition="9"/>
    </format>
    <format dxfId="4444">
      <pivotArea field="1" type="button" dataOnly="0" labelOnly="1" outline="0" axis="axisRow" fieldPosition="10"/>
    </format>
    <format dxfId="4443">
      <pivotArea dataOnly="0" labelOnly="1" outline="0" axis="axisValues" fieldPosition="0"/>
    </format>
    <format dxfId="4442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444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444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44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4438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443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44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4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4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3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442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44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44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44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4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4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4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1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1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4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4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4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4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4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4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4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4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4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4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4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4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399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3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3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3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3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4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4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4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43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43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43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43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4334">
      <pivotArea dataOnly="0" labelOnly="1" outline="0" fieldPosition="0">
        <references count="7">
          <reference field="0" count="1" selected="0">
            <x v="2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33">
      <pivotArea dataOnly="0" labelOnly="1" outline="0" fieldPosition="0">
        <references count="7">
          <reference field="0" count="1" selected="0">
            <x v="2"/>
          </reference>
          <reference field="5" count="1">
            <x v="43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33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31">
      <pivotArea dataOnly="0" labelOnly="1" outline="0" fieldPosition="0">
        <references count="7">
          <reference field="0" count="1" selected="0">
            <x v="2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30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29">
      <pivotArea dataOnly="0" labelOnly="1" outline="0" fieldPosition="0">
        <references count="7">
          <reference field="0" count="1" selected="0">
            <x v="12"/>
          </reference>
          <reference field="5" count="1">
            <x v="60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28">
      <pivotArea dataOnly="0" labelOnly="1" outline="0" fieldPosition="0">
        <references count="7">
          <reference field="0" count="1" selected="0">
            <x v="12"/>
          </reference>
          <reference field="5" count="1">
            <x v="77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27">
      <pivotArea dataOnly="0" labelOnly="1" outline="0" fieldPosition="0">
        <references count="7">
          <reference field="0" count="1" selected="0">
            <x v="13"/>
          </reference>
          <reference field="5" count="2">
            <x v="7248"/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26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25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2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2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22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21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20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9">
      <pivotArea dataOnly="0" labelOnly="1" outline="0" fieldPosition="0">
        <references count="7">
          <reference field="0" count="1" selected="0">
            <x v="14"/>
          </reference>
          <reference field="5" count="1">
            <x v="56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18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7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6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15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314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3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12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311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10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9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0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07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06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05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04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03">
      <pivotArea dataOnly="0" labelOnly="1" outline="0" fieldPosition="0">
        <references count="7">
          <reference field="0" count="1" selected="0">
            <x v="15"/>
          </reference>
          <reference field="5" count="1">
            <x v="77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302">
      <pivotArea dataOnly="0" labelOnly="1" outline="0" fieldPosition="0">
        <references count="7">
          <reference field="0" count="1" selected="0">
            <x v="15"/>
          </reference>
          <reference field="5" count="1">
            <x v="77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01">
      <pivotArea dataOnly="0" labelOnly="1" outline="0" fieldPosition="0">
        <references count="7">
          <reference field="0" count="1" selected="0">
            <x v="15"/>
          </reference>
          <reference field="5" count="1">
            <x v="3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300">
      <pivotArea dataOnly="0" labelOnly="1" outline="0" fieldPosition="0">
        <references count="7">
          <reference field="0" count="1" selected="0">
            <x v="15"/>
          </reference>
          <reference field="5" count="1">
            <x v="77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299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298">
      <pivotArea dataOnly="0" labelOnly="1" outline="0" fieldPosition="0">
        <references count="7">
          <reference field="0" count="1" selected="0">
            <x v="15"/>
          </reference>
          <reference field="5" count="1">
            <x v="14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75">
      <pivotArea dataOnly="0" labelOnly="1" outline="0" fieldPosition="0">
        <references count="9">
          <reference field="0" count="1" selected="0">
            <x v="2"/>
          </reference>
          <reference field="3" count="1">
            <x v="7816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74">
      <pivotArea dataOnly="0" labelOnly="1" outline="0" fieldPosition="0">
        <references count="9">
          <reference field="0" count="1" selected="0">
            <x v="2"/>
          </reference>
          <reference field="3" count="1">
            <x v="7818"/>
          </reference>
          <reference field="5" count="1" selected="0">
            <x v="4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2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72">
      <pivotArea dataOnly="0" labelOnly="1" outline="0" fieldPosition="0">
        <references count="9">
          <reference field="0" count="1" selected="0">
            <x v="2"/>
          </reference>
          <reference field="3" count="1">
            <x v="7815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71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69">
      <pivotArea dataOnly="0" labelOnly="1" outline="0" fieldPosition="0">
        <references count="9">
          <reference field="0" count="1" selected="0">
            <x v="12"/>
          </reference>
          <reference field="3" count="1">
            <x v="777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5">
      <pivotArea dataOnly="0" labelOnly="1" outline="0" fieldPosition="0">
        <references count="9">
          <reference field="0" count="1" selected="0">
            <x v="14"/>
          </reference>
          <reference field="3" count="1">
            <x v="2973"/>
          </reference>
          <reference field="5" count="1" selected="0">
            <x v="56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2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61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60">
      <pivotArea dataOnly="0" labelOnly="1" outline="0" fieldPosition="0">
        <references count="9">
          <reference field="0" count="1" selected="0">
            <x v="14"/>
          </reference>
          <reference field="3" count="1">
            <x v="1407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59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58">
      <pivotArea dataOnly="0" labelOnly="1" outline="0" fieldPosition="0">
        <references count="9">
          <reference field="0" count="1" selected="0">
            <x v="14"/>
          </reference>
          <reference field="3" count="1">
            <x v="7605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257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56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55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54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53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52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51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0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49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2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6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8"/>
          </reference>
          <reference field="5" count="1" selected="0">
            <x v="4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5"/>
          </reference>
          <reference field="5" count="1" selected="0">
            <x v="6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3"/>
          </reference>
          <reference field="5" count="1" selected="0">
            <x v="56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6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7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5"/>
          </reference>
          <reference field="5" count="1" selected="0">
            <x v="77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2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3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225">
      <pivotArea dataOnly="0" labelOnly="1" outline="0" fieldPosition="0">
        <references count="11">
          <reference field="0" count="1" selected="0">
            <x v="2"/>
          </reference>
          <reference field="1" count="1">
            <x v="7585"/>
          </reference>
          <reference field="3" count="1" selected="0">
            <x v="7816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24">
      <pivotArea dataOnly="0" labelOnly="1" outline="0" fieldPosition="0">
        <references count="11">
          <reference field="0" count="1" selected="0">
            <x v="2"/>
          </reference>
          <reference field="1" count="1">
            <x v="7584"/>
          </reference>
          <reference field="3" count="1" selected="0">
            <x v="7818"/>
          </reference>
          <reference field="5" count="1" selected="0">
            <x v="4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223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22">
      <pivotArea dataOnly="0" labelOnly="1" outline="0" fieldPosition="0">
        <references count="11">
          <reference field="0" count="1" selected="0">
            <x v="7"/>
          </reference>
          <reference field="1" count="1">
            <x v="7583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21">
      <pivotArea dataOnly="0" labelOnly="1" outline="0" fieldPosition="0">
        <references count="11">
          <reference field="0" count="1" selected="0">
            <x v="12"/>
          </reference>
          <reference field="1" count="1">
            <x v="7582"/>
          </reference>
          <reference field="3" count="1" selected="0">
            <x v="7770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20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19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18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17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16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15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2973"/>
          </reference>
          <reference field="5" count="1" selected="0">
            <x v="56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14">
      <pivotArea dataOnly="0" labelOnly="1" outline="0" fieldPosition="0">
        <references count="11">
          <reference field="0" count="1" selected="0">
            <x v="14"/>
          </reference>
          <reference field="1" count="1">
            <x v="7575"/>
          </reference>
          <reference field="3" count="1" selected="0">
            <x v="7714"/>
          </reference>
          <reference field="5" count="1" selected="0">
            <x v="76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13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1407"/>
          </reference>
          <reference field="5" count="1" selected="0">
            <x v="77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12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11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10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09">
      <pivotArea dataOnly="0" labelOnly="1" outline="0" fieldPosition="0">
        <references count="11">
          <reference field="0" count="1" selected="0">
            <x v="14"/>
          </reference>
          <reference field="1" count="1">
            <x v="7580"/>
          </reference>
          <reference field="3" count="1" selected="0">
            <x v="7817"/>
          </reference>
          <reference field="5" count="1" selected="0">
            <x v="23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08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7802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07">
      <pivotArea dataOnly="0" labelOnly="1" outline="0" fieldPosition="0">
        <references count="11">
          <reference field="0" count="1" selected="0">
            <x v="15"/>
          </reference>
          <reference field="1" count="1">
            <x v="7550"/>
          </reference>
          <reference field="3" count="1" selected="0">
            <x v="0"/>
          </reference>
          <reference field="5" count="1" selected="0">
            <x v="14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06">
      <pivotArea outline="0" collapsedLevelsAreSubtotals="1" fieldPosition="0"/>
    </format>
    <format dxfId="4205">
      <pivotArea dataOnly="0" labelOnly="1" outline="0" axis="axisValues" fieldPosition="0"/>
    </format>
    <format dxfId="4204">
      <pivotArea dataOnly="0" outline="0" fieldPosition="0">
        <references count="1">
          <reference field="12" count="0" defaultSubtotal="1"/>
        </references>
      </pivotArea>
    </format>
    <format dxfId="4203">
      <pivotArea outline="0" collapsedLevelsAreSubtotals="1" fieldPosition="0"/>
    </format>
    <format dxfId="4202">
      <pivotArea dataOnly="0" labelOnly="1" outline="0" axis="axisValues" fieldPosition="0"/>
    </format>
    <format dxfId="4201">
      <pivotArea outline="0" collapsedLevelsAreSubtotals="1" fieldPosition="0"/>
    </format>
    <format dxfId="4200">
      <pivotArea dataOnly="0" labelOnly="1" outline="0" axis="axisValues" fieldPosition="0"/>
    </format>
    <format dxfId="4199">
      <pivotArea dataOnly="0" labelOnly="1" outline="0" axis="axisValues" fieldPosition="0"/>
    </format>
    <format dxfId="4198">
      <pivotArea outline="0" collapsedLevelsAreSubtotals="1" fieldPosition="0"/>
    </format>
    <format dxfId="4197">
      <pivotArea field="12" type="button" dataOnly="0" labelOnly="1" outline="0" axis="axisRow" fieldPosition="2"/>
    </format>
    <format dxfId="4196">
      <pivotArea field="10" type="button" dataOnly="0" labelOnly="1" outline="0" axis="axisRow" fieldPosition="3"/>
    </format>
    <format dxfId="4195">
      <pivotArea field="16" type="button" dataOnly="0" labelOnly="1" outline="0" axis="axisRow" fieldPosition="4"/>
    </format>
    <format dxfId="4194">
      <pivotArea field="18" type="button" dataOnly="0" labelOnly="1" outline="0" axis="axisRow" fieldPosition="5"/>
    </format>
    <format dxfId="4193">
      <pivotArea field="5" type="button" dataOnly="0" labelOnly="1" outline="0" axis="axisRow" fieldPosition="6"/>
    </format>
    <format dxfId="4192">
      <pivotArea field="9" type="button" dataOnly="0" labelOnly="1" outline="0" axis="axisRow" fieldPosition="7"/>
    </format>
    <format dxfId="4191">
      <pivotArea field="3" type="button" dataOnly="0" labelOnly="1" outline="0" axis="axisRow" fieldPosition="8"/>
    </format>
    <format dxfId="4190">
      <pivotArea field="7" type="button" dataOnly="0" labelOnly="1" outline="0" axis="axisRow" fieldPosition="9"/>
    </format>
    <format dxfId="4189">
      <pivotArea field="1" type="button" dataOnly="0" labelOnly="1" outline="0" axis="axisRow" fieldPosition="10"/>
    </format>
    <format dxfId="4188">
      <pivotArea dataOnly="0" labelOnly="1" outline="0" axis="axisValues" fieldPosition="0"/>
    </format>
    <format dxfId="418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1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18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18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1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7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417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41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17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1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1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1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1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1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1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1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1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1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15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1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12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12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41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1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4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1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41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410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99">
      <pivotArea dataOnly="0" labelOnly="1" outline="0" fieldPosition="0">
        <references count="7">
          <reference field="0" count="1" selected="0">
            <x v="0"/>
          </reference>
          <reference field="5" count="2">
            <x v="2049"/>
            <x v="57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98">
      <pivotArea dataOnly="0" labelOnly="1" outline="0" fieldPosition="0">
        <references count="7">
          <reference field="0" count="1" selected="0">
            <x v="0"/>
          </reference>
          <reference field="5" count="1">
            <x v="604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97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96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95">
      <pivotArea dataOnly="0" labelOnly="1" outline="0" fieldPosition="0">
        <references count="7">
          <reference field="0" count="1" selected="0">
            <x v="12"/>
          </reference>
          <reference field="5" count="2">
            <x v="7788"/>
            <x v="77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94">
      <pivotArea dataOnly="0" labelOnly="1" outline="0" fieldPosition="0">
        <references count="7">
          <reference field="0" count="1" selected="0">
            <x v="12"/>
          </reference>
          <reference field="5" count="1">
            <x v="67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93">
      <pivotArea dataOnly="0" labelOnly="1" outline="0" fieldPosition="0">
        <references count="7">
          <reference field="0" count="1" selected="0">
            <x v="13"/>
          </reference>
          <reference field="5" count="2">
            <x v="7248"/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92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91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9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89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88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87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86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5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84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83">
      <pivotArea dataOnly="0" labelOnly="1" outline="0" fieldPosition="0">
        <references count="7">
          <reference field="0" count="1" selected="0">
            <x v="14"/>
          </reference>
          <reference field="5" count="1">
            <x v="778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82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1">
      <pivotArea dataOnly="0" labelOnly="1" outline="0" fieldPosition="0">
        <references count="7">
          <reference field="0" count="1" selected="0">
            <x v="14"/>
          </reference>
          <reference field="5" count="1">
            <x v="618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80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9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7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77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76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75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7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58">
      <pivotArea dataOnly="0" labelOnly="1" outline="0" fieldPosition="0">
        <references count="9">
          <reference field="0" count="1" selected="0">
            <x v="0"/>
          </reference>
          <reference field="3" count="1">
            <x v="7322"/>
          </reference>
          <reference field="5" count="1" selected="0">
            <x v="20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57">
      <pivotArea dataOnly="0" labelOnly="1" outline="0" fieldPosition="0">
        <references count="9">
          <reference field="0" count="1" selected="0">
            <x v="0"/>
          </reference>
          <reference field="3" count="1">
            <x v="7323"/>
          </reference>
          <reference field="5" count="1" selected="0">
            <x v="5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56">
      <pivotArea dataOnly="0" labelOnly="1" outline="0" fieldPosition="0">
        <references count="9">
          <reference field="0" count="1" selected="0">
            <x v="0"/>
          </reference>
          <reference field="3" count="1">
            <x v="7676"/>
          </reference>
          <reference field="5" count="1" selected="0">
            <x v="60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5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54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9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48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47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5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61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44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3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42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41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40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3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22"/>
          </reference>
          <reference field="5" count="1" selected="0">
            <x v="2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3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61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2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24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23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22">
      <pivotArea dataOnly="0" labelOnly="1" outline="0" fieldPosition="0">
        <references count="11">
          <reference field="0" count="1" selected="0">
            <x v="7"/>
          </reference>
          <reference field="1" count="1">
            <x v="7583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21">
      <pivotArea dataOnly="0" labelOnly="1" outline="0" fieldPosition="0">
        <references count="11">
          <reference field="0" count="1" selected="0">
            <x v="12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20">
      <pivotArea dataOnly="0" labelOnly="1" outline="0" fieldPosition="0">
        <references count="11">
          <reference field="0" count="1" selected="0">
            <x v="12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19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18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17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16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15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14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2"/>
          </reference>
          <reference field="5" count="1" selected="0">
            <x v="77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13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12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11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10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7802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09">
      <pivotArea outline="0" collapsedLevelsAreSubtotals="1" fieldPosition="0"/>
    </format>
    <format dxfId="4008">
      <pivotArea dataOnly="0" labelOnly="1" outline="0" axis="axisValues" fieldPosition="0"/>
    </format>
    <format dxfId="4007">
      <pivotArea dataOnly="0" outline="0" fieldPosition="0">
        <references count="1">
          <reference field="12" count="0" defaultSubtotal="1"/>
        </references>
      </pivotArea>
    </format>
    <format dxfId="4006">
      <pivotArea outline="0" collapsedLevelsAreSubtotals="1" fieldPosition="0"/>
    </format>
    <format dxfId="4005">
      <pivotArea dataOnly="0" labelOnly="1" outline="0" axis="axisValues" fieldPosition="0"/>
    </format>
    <format dxfId="4004">
      <pivotArea outline="0" collapsedLevelsAreSubtotals="1" fieldPosition="0"/>
    </format>
    <format dxfId="4003">
      <pivotArea dataOnly="0" labelOnly="1" outline="0" axis="axisValues" fieldPosition="0"/>
    </format>
    <format dxfId="4002">
      <pivotArea dataOnly="0" labelOnly="1" outline="0" axis="axisValues" fieldPosition="0"/>
    </format>
    <format dxfId="4001">
      <pivotArea outline="0" collapsedLevelsAreSubtotals="1" fieldPosition="0"/>
    </format>
    <format dxfId="4000">
      <pivotArea field="12" type="button" dataOnly="0" labelOnly="1" outline="0" axis="axisRow" fieldPosition="2"/>
    </format>
    <format dxfId="3999">
      <pivotArea field="10" type="button" dataOnly="0" labelOnly="1" outline="0" axis="axisRow" fieldPosition="3"/>
    </format>
    <format dxfId="3998">
      <pivotArea field="16" type="button" dataOnly="0" labelOnly="1" outline="0" axis="axisRow" fieldPosition="4"/>
    </format>
    <format dxfId="3997">
      <pivotArea field="18" type="button" dataOnly="0" labelOnly="1" outline="0" axis="axisRow" fieldPosition="5"/>
    </format>
    <format dxfId="3996">
      <pivotArea field="5" type="button" dataOnly="0" labelOnly="1" outline="0" axis="axisRow" fieldPosition="6"/>
    </format>
    <format dxfId="3995">
      <pivotArea field="9" type="button" dataOnly="0" labelOnly="1" outline="0" axis="axisRow" fieldPosition="7"/>
    </format>
    <format dxfId="3994">
      <pivotArea field="3" type="button" dataOnly="0" labelOnly="1" outline="0" axis="axisRow" fieldPosition="8"/>
    </format>
    <format dxfId="3993">
      <pivotArea field="7" type="button" dataOnly="0" labelOnly="1" outline="0" axis="axisRow" fieldPosition="9"/>
    </format>
    <format dxfId="3992">
      <pivotArea field="1" type="button" dataOnly="0" labelOnly="1" outline="0" axis="axisRow" fieldPosition="10"/>
    </format>
    <format dxfId="3991">
      <pivotArea dataOnly="0" labelOnly="1" outline="0" axis="axisValues" fieldPosition="0"/>
    </format>
    <format dxfId="399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9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98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98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9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8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398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39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9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9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9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9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9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9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9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9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9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9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9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9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9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3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3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3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3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29"/>
          </reference>
        </references>
      </pivotArea>
    </format>
    <format dxfId="39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39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90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06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05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04">
      <pivotArea dataOnly="0" labelOnly="1" outline="0" fieldPosition="0">
        <references count="7">
          <reference field="0" count="1" selected="0">
            <x v="13"/>
          </reference>
          <reference field="5" count="2">
            <x v="7248"/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03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02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0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00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99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98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97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6">
      <pivotArea dataOnly="0" labelOnly="1" outline="0" fieldPosition="0">
        <references count="7">
          <reference field="0" count="1" selected="0">
            <x v="14"/>
          </reference>
          <reference field="5" count="1">
            <x v="276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95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94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893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2">
      <pivotArea dataOnly="0" labelOnly="1" outline="0" fieldPosition="0">
        <references count="7">
          <reference field="0" count="1" selected="0">
            <x v="14"/>
          </reference>
          <reference field="5" count="1">
            <x v="513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91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0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889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8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87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86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85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84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83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882">
      <pivotArea dataOnly="0" labelOnly="1" outline="0" fieldPosition="0">
        <references count="7">
          <reference field="0" count="1" selected="0">
            <x v="15"/>
          </reference>
          <reference field="5" count="1">
            <x v="1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881">
      <pivotArea dataOnly="0" labelOnly="1" outline="0" fieldPosition="0">
        <references count="7">
          <reference field="0" count="1" selected="0">
            <x v="15"/>
          </reference>
          <reference field="5" count="1">
            <x v="77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8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62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61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57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27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55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854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53">
      <pivotArea dataOnly="0" labelOnly="1" outline="0" fieldPosition="0">
        <references count="9">
          <reference field="0" count="1" selected="0">
            <x v="14"/>
          </reference>
          <reference field="3" count="1">
            <x v="1407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52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851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50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49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48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47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46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45">
      <pivotArea dataOnly="0" labelOnly="1" outline="0" fieldPosition="0">
        <references count="9">
          <reference field="0" count="1" selected="0">
            <x v="15"/>
          </reference>
          <reference field="3" count="1">
            <x v="7824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844">
      <pivotArea dataOnly="0" labelOnly="1" outline="0" fieldPosition="0">
        <references count="9">
          <reference field="0" count="1" selected="0">
            <x v="15"/>
          </reference>
          <reference field="3" count="1">
            <x v="7823"/>
          </reference>
          <reference field="5" count="1" selected="0">
            <x v="112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8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2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7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4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8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25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24">
      <pivotArea dataOnly="0" labelOnly="1" outline="0" fieldPosition="0">
        <references count="11">
          <reference field="0" count="1" selected="0">
            <x v="7"/>
          </reference>
          <reference field="1" count="1">
            <x v="7609"/>
          </reference>
          <reference field="3" count="1" selected="0">
            <x v="7681"/>
          </reference>
          <reference field="5" count="1" selected="0">
            <x v="76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23">
      <pivotArea dataOnly="0" labelOnly="1" outline="0" fieldPosition="0">
        <references count="11">
          <reference field="0" count="1" selected="0">
            <x v="7"/>
          </reference>
          <reference field="1" count="1">
            <x v="7583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22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21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20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19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18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17">
      <pivotArea dataOnly="0" labelOnly="1" outline="0" fieldPosition="0">
        <references count="11">
          <reference field="0" count="1" selected="0">
            <x v="14"/>
          </reference>
          <reference field="1" count="1">
            <x v="7604"/>
          </reference>
          <reference field="3" count="1" selected="0">
            <x v="1407"/>
          </reference>
          <reference field="5" count="1" selected="0">
            <x v="77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16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15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14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13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7802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12">
      <pivotArea dataOnly="0" labelOnly="1" outline="0" fieldPosition="0">
        <references count="11">
          <reference field="0" count="1" selected="0">
            <x v="15"/>
          </reference>
          <reference field="1" count="1">
            <x v="7602"/>
          </reference>
          <reference field="3" count="1" selected="0">
            <x v="7824"/>
          </reference>
          <reference field="5" count="1" selected="0">
            <x v="38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811">
      <pivotArea dataOnly="0" labelOnly="1" outline="0" fieldPosition="0">
        <references count="11">
          <reference field="0" count="1" selected="0">
            <x v="15"/>
          </reference>
          <reference field="1" count="1">
            <x v="7599"/>
          </reference>
          <reference field="3" count="1" selected="0">
            <x v="7823"/>
          </reference>
          <reference field="5" count="1" selected="0">
            <x v="11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810">
      <pivotArea outline="0" collapsedLevelsAreSubtotals="1" fieldPosition="0"/>
    </format>
    <format dxfId="3809">
      <pivotArea dataOnly="0" labelOnly="1" outline="0" axis="axisValues" fieldPosition="0"/>
    </format>
    <format dxfId="3808">
      <pivotArea dataOnly="0" outline="0" fieldPosition="0">
        <references count="1">
          <reference field="12" count="0" defaultSubtotal="1"/>
        </references>
      </pivotArea>
    </format>
    <format dxfId="3807">
      <pivotArea outline="0" collapsedLevelsAreSubtotals="1" fieldPosition="0"/>
    </format>
    <format dxfId="3806">
      <pivotArea dataOnly="0" labelOnly="1" outline="0" axis="axisValues" fieldPosition="0"/>
    </format>
    <format dxfId="3805">
      <pivotArea outline="0" collapsedLevelsAreSubtotals="1" fieldPosition="0"/>
    </format>
    <format dxfId="3804">
      <pivotArea dataOnly="0" labelOnly="1" outline="0" axis="axisValues" fieldPosition="0"/>
    </format>
    <format dxfId="3803">
      <pivotArea dataOnly="0" labelOnly="1" outline="0" axis="axisValues" fieldPosition="0"/>
    </format>
    <format dxfId="3802">
      <pivotArea outline="0" collapsedLevelsAreSubtotals="1" fieldPosition="0"/>
    </format>
    <format dxfId="3801">
      <pivotArea field="12" type="button" dataOnly="0" labelOnly="1" outline="0" axis="axisRow" fieldPosition="2"/>
    </format>
    <format dxfId="3800">
      <pivotArea field="10" type="button" dataOnly="0" labelOnly="1" outline="0" axis="axisRow" fieldPosition="3"/>
    </format>
    <format dxfId="3799">
      <pivotArea field="16" type="button" dataOnly="0" labelOnly="1" outline="0" axis="axisRow" fieldPosition="4"/>
    </format>
    <format dxfId="3798">
      <pivotArea field="18" type="button" dataOnly="0" labelOnly="1" outline="0" axis="axisRow" fieldPosition="5"/>
    </format>
    <format dxfId="3797">
      <pivotArea field="5" type="button" dataOnly="0" labelOnly="1" outline="0" axis="axisRow" fieldPosition="6"/>
    </format>
    <format dxfId="3796">
      <pivotArea field="9" type="button" dataOnly="0" labelOnly="1" outline="0" axis="axisRow" fieldPosition="7"/>
    </format>
    <format dxfId="3795">
      <pivotArea field="3" type="button" dataOnly="0" labelOnly="1" outline="0" axis="axisRow" fieldPosition="8"/>
    </format>
    <format dxfId="3794">
      <pivotArea field="7" type="button" dataOnly="0" labelOnly="1" outline="0" axis="axisRow" fieldPosition="9"/>
    </format>
    <format dxfId="3793">
      <pivotArea field="1" type="button" dataOnly="0" labelOnly="1" outline="0" axis="axisRow" fieldPosition="10"/>
    </format>
    <format dxfId="3792">
      <pivotArea dataOnly="0" labelOnly="1" outline="0" axis="axisValues" fieldPosition="0"/>
    </format>
    <format dxfId="379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7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7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7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78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8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8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378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37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7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7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7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7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7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7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7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7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7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7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73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7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3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7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3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3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370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5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04">
      <pivotArea dataOnly="0" labelOnly="1" outline="0" fieldPosition="0">
        <references count="7">
          <reference field="0" count="1" selected="0">
            <x v="13"/>
          </reference>
          <reference field="5" count="2">
            <x v="7248"/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03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02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0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00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99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98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97">
      <pivotArea dataOnly="0" labelOnly="1" outline="0" fieldPosition="0">
        <references count="7">
          <reference field="0" count="1" selected="0">
            <x v="14"/>
          </reference>
          <reference field="5" count="1">
            <x v="56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696">
      <pivotArea dataOnly="0" labelOnly="1" outline="0" fieldPosition="0">
        <references count="7">
          <reference field="0" count="1" selected="0">
            <x v="14"/>
          </reference>
          <reference field="5" count="1">
            <x v="276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95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94">
      <pivotArea dataOnly="0" labelOnly="1" outline="0" fieldPosition="0">
        <references count="7">
          <reference field="0" count="1" selected="0">
            <x v="14"/>
          </reference>
          <reference field="5" count="1">
            <x v="174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93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92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91">
      <pivotArea dataOnly="0" labelOnly="1" outline="0" fieldPosition="0">
        <references count="7">
          <reference field="0" count="1" selected="0">
            <x v="14"/>
          </reference>
          <reference field="5" count="1">
            <x v="112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90">
      <pivotArea dataOnly="0" labelOnly="1" outline="0" fieldPosition="0">
        <references count="7">
          <reference field="0" count="1" selected="0">
            <x v="14"/>
          </reference>
          <reference field="5" count="1">
            <x v="147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89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88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87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8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85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84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83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82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81">
      <pivotArea dataOnly="0" labelOnly="1" outline="0" fieldPosition="0">
        <references count="7">
          <reference field="0" count="1" selected="0">
            <x v="15"/>
          </reference>
          <reference field="5" count="1">
            <x v="77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80">
      <pivotArea dataOnly="0" labelOnly="1" outline="0" fieldPosition="0">
        <references count="7">
          <reference field="0" count="1" selected="0">
            <x v="15"/>
          </reference>
          <reference field="5" count="1">
            <x v="31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679">
      <pivotArea dataOnly="0" labelOnly="1" outline="0" fieldPosition="0">
        <references count="7">
          <reference field="0" count="1" selected="0">
            <x v="15"/>
          </reference>
          <reference field="5" count="1">
            <x v="31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678">
      <pivotArea dataOnly="0" labelOnly="1" outline="0" fieldPosition="0">
        <references count="7">
          <reference field="0" count="1" selected="0">
            <x v="15"/>
          </reference>
          <reference field="5" count="1">
            <x v="77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677">
      <pivotArea dataOnly="0" labelOnly="1" outline="0" fieldPosition="0">
        <references count="7">
          <reference field="0" count="1" selected="0">
            <x v="15"/>
          </reference>
          <reference field="5" count="1">
            <x v="77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3676">
      <pivotArea dataOnly="0" labelOnly="1" outline="0" fieldPosition="0">
        <references count="7">
          <reference field="0" count="1" selected="0">
            <x v="15"/>
          </reference>
          <reference field="5" count="1">
            <x v="77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58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55">
      <pivotArea dataOnly="0" labelOnly="1" outline="0" fieldPosition="0">
        <references count="9">
          <reference field="0" count="1" selected="0">
            <x v="14"/>
          </reference>
          <reference field="3" count="1">
            <x v="2973"/>
          </reference>
          <reference field="5" count="1" selected="0">
            <x v="56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654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27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52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17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51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50">
      <pivotArea dataOnly="0" labelOnly="1" outline="0" fieldPosition="0">
        <references count="9">
          <reference field="0" count="1" selected="0">
            <x v="14"/>
          </reference>
          <reference field="3" count="1">
            <x v="1407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49">
      <pivotArea dataOnly="0" labelOnly="1" outline="0" fieldPosition="0">
        <references count="9">
          <reference field="0" count="1" selected="0">
            <x v="14"/>
          </reference>
          <reference field="3" count="1">
            <x v="7830"/>
          </reference>
          <reference field="5" count="1" selected="0">
            <x v="11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48">
      <pivotArea dataOnly="0" labelOnly="1" outline="0" fieldPosition="0">
        <references count="9">
          <reference field="0" count="1" selected="0">
            <x v="14"/>
          </reference>
          <reference field="3" count="1">
            <x v="2970"/>
          </reference>
          <reference field="5" count="1" selected="0">
            <x v="14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47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46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45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44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43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41">
      <pivotArea dataOnly="0" labelOnly="1" outline="0" fieldPosition="0">
        <references count="9">
          <reference field="0" count="1" selected="0">
            <x v="15"/>
          </reference>
          <reference field="3" count="1">
            <x v="2970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40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3"/>
          </reference>
          <reference field="5" count="1" selected="0">
            <x v="56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2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1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7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0"/>
          </reference>
          <reference field="5" count="1" selected="0">
            <x v="11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0"/>
          </reference>
          <reference field="5" count="1" selected="0">
            <x v="1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22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21">
      <pivotArea dataOnly="0" labelOnly="1" outline="0" fieldPosition="0">
        <references count="11">
          <reference field="0" count="1" selected="0">
            <x v="7"/>
          </reference>
          <reference field="1" count="1">
            <x v="7583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20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19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18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17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16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15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2973"/>
          </reference>
          <reference field="5" count="1" selected="0">
            <x v="56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614">
      <pivotArea dataOnly="0" labelOnly="1" outline="0" fieldPosition="0">
        <references count="11">
          <reference field="0" count="1" selected="0">
            <x v="14"/>
          </reference>
          <reference field="1" count="1">
            <x v="7621"/>
          </reference>
          <reference field="3" count="1" selected="0">
            <x v="7831"/>
          </reference>
          <reference field="5" count="1" selected="0">
            <x v="17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13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12">
      <pivotArea dataOnly="0" labelOnly="1" outline="0" fieldPosition="0">
        <references count="11">
          <reference field="0" count="1" selected="0">
            <x v="14"/>
          </reference>
          <reference field="1" count="1">
            <x v="7604"/>
          </reference>
          <reference field="3" count="1" selected="0">
            <x v="1407"/>
          </reference>
          <reference field="5" count="1" selected="0">
            <x v="77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11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10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09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08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7802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07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31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606">
      <pivotArea dataOnly="0" labelOnly="1" outline="0" fieldPosition="0">
        <references count="11">
          <reference field="0" count="1" selected="0">
            <x v="15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31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605">
      <pivotArea dataOnly="0" labelOnly="1" outline="0" fieldPosition="0">
        <references count="11">
          <reference field="0" count="1" selected="0">
            <x v="15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04">
      <pivotArea outline="0" collapsedLevelsAreSubtotals="1" fieldPosition="0"/>
    </format>
    <format dxfId="3603">
      <pivotArea dataOnly="0" labelOnly="1" outline="0" axis="axisValues" fieldPosition="0"/>
    </format>
    <format dxfId="3602">
      <pivotArea dataOnly="0" outline="0" fieldPosition="0">
        <references count="1">
          <reference field="12" count="0" defaultSubtotal="1"/>
        </references>
      </pivotArea>
    </format>
    <format dxfId="3601">
      <pivotArea outline="0" collapsedLevelsAreSubtotals="1" fieldPosition="0"/>
    </format>
    <format dxfId="3600">
      <pivotArea dataOnly="0" labelOnly="1" outline="0" axis="axisValues" fieldPosition="0"/>
    </format>
    <format dxfId="3599">
      <pivotArea outline="0" collapsedLevelsAreSubtotals="1" fieldPosition="0"/>
    </format>
    <format dxfId="3598">
      <pivotArea dataOnly="0" labelOnly="1" outline="0" axis="axisValues" fieldPosition="0"/>
    </format>
    <format dxfId="3597">
      <pivotArea dataOnly="0" labelOnly="1" outline="0" axis="axisValues" fieldPosition="0"/>
    </format>
    <format dxfId="3596">
      <pivotArea outline="0" collapsedLevelsAreSubtotals="1" fieldPosition="0"/>
    </format>
    <format dxfId="3595">
      <pivotArea field="12" type="button" dataOnly="0" labelOnly="1" outline="0" axis="axisRow" fieldPosition="2"/>
    </format>
    <format dxfId="3594">
      <pivotArea field="10" type="button" dataOnly="0" labelOnly="1" outline="0" axis="axisRow" fieldPosition="3"/>
    </format>
    <format dxfId="3593">
      <pivotArea field="16" type="button" dataOnly="0" labelOnly="1" outline="0" axis="axisRow" fieldPosition="4"/>
    </format>
    <format dxfId="3592">
      <pivotArea field="18" type="button" dataOnly="0" labelOnly="1" outline="0" axis="axisRow" fieldPosition="5"/>
    </format>
    <format dxfId="3591">
      <pivotArea field="5" type="button" dataOnly="0" labelOnly="1" outline="0" axis="axisRow" fieldPosition="6"/>
    </format>
    <format dxfId="3590">
      <pivotArea field="9" type="button" dataOnly="0" labelOnly="1" outline="0" axis="axisRow" fieldPosition="7"/>
    </format>
    <format dxfId="3589">
      <pivotArea field="3" type="button" dataOnly="0" labelOnly="1" outline="0" axis="axisRow" fieldPosition="8"/>
    </format>
    <format dxfId="3588">
      <pivotArea field="7" type="button" dataOnly="0" labelOnly="1" outline="0" axis="axisRow" fieldPosition="9"/>
    </format>
    <format dxfId="3587">
      <pivotArea field="1" type="button" dataOnly="0" labelOnly="1" outline="0" axis="axisRow" fieldPosition="10"/>
    </format>
    <format dxfId="3586">
      <pivotArea dataOnly="0" labelOnly="1" outline="0" axis="axisValues" fieldPosition="0"/>
    </format>
    <format dxfId="358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5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5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81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580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5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7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357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35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5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6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5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5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5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5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5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5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5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35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5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5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5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5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5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3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3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5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5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5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35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35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35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5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35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3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3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3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3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3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3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3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4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34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34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348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85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84">
      <pivotArea dataOnly="0" labelOnly="1" outline="0" fieldPosition="0">
        <references count="7">
          <reference field="0" count="1" selected="0">
            <x v="11"/>
          </reference>
          <reference field="5" count="1">
            <x v="71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83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482">
      <pivotArea dataOnly="0" labelOnly="1" outline="0" fieldPosition="0">
        <references count="7">
          <reference field="0" count="1" selected="0">
            <x v="11"/>
          </reference>
          <reference field="5" count="1">
            <x v="53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81">
      <pivotArea dataOnly="0" labelOnly="1" outline="0" fieldPosition="0">
        <references count="7">
          <reference field="0" count="1" selected="0">
            <x v="11"/>
          </reference>
          <reference field="5" count="1">
            <x v="62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3480">
      <pivotArea dataOnly="0" labelOnly="1" outline="0" fieldPosition="0">
        <references count="7">
          <reference field="0" count="1" selected="0">
            <x v="11"/>
          </reference>
          <reference field="5" count="1">
            <x v="51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79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78">
      <pivotArea dataOnly="0" labelOnly="1" outline="0" fieldPosition="0">
        <references count="7">
          <reference field="0" count="1" selected="0">
            <x v="12"/>
          </reference>
          <reference field="5" count="1">
            <x v="60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477">
      <pivotArea dataOnly="0" labelOnly="1" outline="0" fieldPosition="0">
        <references count="7">
          <reference field="0" count="1" selected="0">
            <x v="13"/>
          </reference>
          <reference field="5" count="2">
            <x v="7248"/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76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6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75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7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7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72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71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70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69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68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67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66">
      <pivotArea dataOnly="0" labelOnly="1" outline="0" fieldPosition="0">
        <references count="7">
          <reference field="0" count="1" selected="0">
            <x v="14"/>
          </reference>
          <reference field="5" count="1">
            <x v="513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65">
      <pivotArea dataOnly="0" labelOnly="1" outline="0" fieldPosition="0">
        <references count="7">
          <reference field="0" count="1" selected="0">
            <x v="14"/>
          </reference>
          <reference field="5" count="1">
            <x v="445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64">
      <pivotArea dataOnly="0" labelOnly="1" outline="0" fieldPosition="0">
        <references count="7">
          <reference field="0" count="1" selected="0">
            <x v="14"/>
          </reference>
          <reference field="5" count="1">
            <x v="147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63">
      <pivotArea dataOnly="0" labelOnly="1" outline="0" fieldPosition="0">
        <references count="7">
          <reference field="0" count="1" selected="0">
            <x v="14"/>
          </reference>
          <reference field="5" count="1">
            <x v="780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62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6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460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59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58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57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56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455">
      <pivotArea dataOnly="0" labelOnly="1" outline="0" fieldPosition="0">
        <references count="7">
          <reference field="0" count="1" selected="0">
            <x v="15"/>
          </reference>
          <reference field="5" count="1">
            <x v="31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454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3453">
      <pivotArea dataOnly="0" labelOnly="1" outline="0" fieldPosition="0">
        <references count="7">
          <reference field="0" count="1" selected="0">
            <x v="15"/>
          </reference>
          <reference field="5" count="1">
            <x v="77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5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4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37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36">
      <pivotArea dataOnly="0" labelOnly="1" outline="0" fieldPosition="0">
        <references count="9">
          <reference field="0" count="1" selected="0">
            <x v="11"/>
          </reference>
          <reference field="3" count="1">
            <x v="7505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35">
      <pivotArea dataOnly="0" labelOnly="1" outline="0" fieldPosition="0">
        <references count="9">
          <reference field="0" count="1" selected="0">
            <x v="11"/>
          </reference>
          <reference field="3" count="1">
            <x v="7840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434">
      <pivotArea dataOnly="0" labelOnly="1" outline="0" fieldPosition="0">
        <references count="9">
          <reference field="0" count="1" selected="0">
            <x v="11"/>
          </reference>
          <reference field="3" count="1">
            <x v="7839"/>
          </reference>
          <reference field="5" count="1" selected="0">
            <x v="5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33">
      <pivotArea dataOnly="0" labelOnly="1" outline="0" fieldPosition="0">
        <references count="9">
          <reference field="0" count="1" selected="0">
            <x v="11"/>
          </reference>
          <reference field="3" count="1">
            <x v="7841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3432">
      <pivotArea dataOnly="0" labelOnly="1" outline="0" fieldPosition="0">
        <references count="9">
          <reference field="0" count="1" selected="0">
            <x v="11"/>
          </reference>
          <reference field="3" count="1">
            <x v="7737"/>
          </reference>
          <reference field="5" count="1" selected="0">
            <x v="51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31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4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2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25">
      <pivotArea dataOnly="0" labelOnly="1" outline="0" fieldPosition="0">
        <references count="9">
          <reference field="0" count="1" selected="0">
            <x v="14"/>
          </reference>
          <reference field="3" count="1">
            <x v="7835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23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4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22">
      <pivotArea dataOnly="0" labelOnly="1" outline="0" fieldPosition="0">
        <references count="9">
          <reference field="0" count="1" selected="0">
            <x v="14"/>
          </reference>
          <reference field="3" count="1">
            <x v="2970"/>
          </reference>
          <reference field="5" count="1" selected="0">
            <x v="14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20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19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18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417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16">
      <pivotArea dataOnly="0" labelOnly="1" outline="0" fieldPosition="0">
        <references count="9">
          <reference field="0" count="1" selected="0">
            <x v="15"/>
          </reference>
          <reference field="3" count="1">
            <x v="2970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15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14">
      <pivotArea dataOnly="0" labelOnly="1" outline="0" fieldPosition="0">
        <references count="9">
          <reference field="0" count="1" selected="0">
            <x v="15"/>
          </reference>
          <reference field="3" count="1">
            <x v="7832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1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7"/>
          </reference>
          <reference field="5" count="1" selected="0">
            <x v="5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4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5"/>
          </reference>
          <reference field="5" count="1" selected="0">
            <x v="78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4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70"/>
          </reference>
          <reference field="5" count="1" selected="0">
            <x v="1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3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97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396">
      <pivotArea dataOnly="0" labelOnly="1" outline="0" fieldPosition="0">
        <references count="11">
          <reference field="0" count="1" selected="0">
            <x v="7"/>
          </reference>
          <reference field="1" count="1">
            <x v="7583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395">
      <pivotArea dataOnly="0" labelOnly="1" outline="0" fieldPosition="0">
        <references count="11">
          <reference field="0" count="1" selected="0">
            <x v="11"/>
          </reference>
          <reference field="1" count="1">
            <x v="7634"/>
          </reference>
          <reference field="3" count="1" selected="0">
            <x v="7839"/>
          </reference>
          <reference field="5" count="1" selected="0">
            <x v="53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394">
      <pivotArea dataOnly="0" labelOnly="1" outline="0" fieldPosition="0">
        <references count="11">
          <reference field="0" count="1" selected="0">
            <x v="11"/>
          </reference>
          <reference field="1" count="1">
            <x v="7632"/>
          </reference>
          <reference field="3" count="1" selected="0">
            <x v="7737"/>
          </reference>
          <reference field="5" count="1" selected="0">
            <x v="5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393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392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91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390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89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88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387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386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385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7802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84">
      <pivotArea dataOnly="0" labelOnly="1" outline="0" fieldPosition="0">
        <references count="11">
          <reference field="0" count="1" selected="0">
            <x v="15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383">
      <pivotArea dataOnly="0" labelOnly="1" outline="0" fieldPosition="0">
        <references count="11">
          <reference field="0" count="1" selected="0">
            <x v="15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31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382">
      <pivotArea dataOnly="0" labelOnly="1" outline="0" fieldPosition="0">
        <references count="11">
          <reference field="0" count="1" selected="0">
            <x v="15"/>
          </reference>
          <reference field="1" count="1">
            <x v="7627"/>
          </reference>
          <reference field="3" count="1" selected="0">
            <x v="783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81">
      <pivotArea outline="0" collapsedLevelsAreSubtotals="1" fieldPosition="0"/>
    </format>
    <format dxfId="3380">
      <pivotArea dataOnly="0" labelOnly="1" outline="0" axis="axisValues" fieldPosition="0"/>
    </format>
    <format dxfId="3379">
      <pivotArea dataOnly="0" outline="0" fieldPosition="0">
        <references count="1">
          <reference field="12" count="0" defaultSubtotal="1"/>
        </references>
      </pivotArea>
    </format>
    <format dxfId="3378">
      <pivotArea outline="0" collapsedLevelsAreSubtotals="1" fieldPosition="0"/>
    </format>
    <format dxfId="3377">
      <pivotArea dataOnly="0" labelOnly="1" outline="0" axis="axisValues" fieldPosition="0"/>
    </format>
    <format dxfId="3376">
      <pivotArea outline="0" collapsedLevelsAreSubtotals="1" fieldPosition="0"/>
    </format>
    <format dxfId="3375">
      <pivotArea dataOnly="0" labelOnly="1" outline="0" axis="axisValues" fieldPosition="0"/>
    </format>
    <format dxfId="3374">
      <pivotArea dataOnly="0" labelOnly="1" outline="0" axis="axisValues" fieldPosition="0"/>
    </format>
    <format dxfId="3373">
      <pivotArea outline="0" collapsedLevelsAreSubtotals="1" fieldPosition="0"/>
    </format>
    <format dxfId="3372">
      <pivotArea field="12" type="button" dataOnly="0" labelOnly="1" outline="0" axis="axisRow" fieldPosition="2"/>
    </format>
    <format dxfId="3371">
      <pivotArea field="10" type="button" dataOnly="0" labelOnly="1" outline="0" axis="axisRow" fieldPosition="3"/>
    </format>
    <format dxfId="3370">
      <pivotArea field="16" type="button" dataOnly="0" labelOnly="1" outline="0" axis="axisRow" fieldPosition="4"/>
    </format>
    <format dxfId="3369">
      <pivotArea field="18" type="button" dataOnly="0" labelOnly="1" outline="0" axis="axisRow" fieldPosition="5"/>
    </format>
    <format dxfId="3368">
      <pivotArea field="5" type="button" dataOnly="0" labelOnly="1" outline="0" axis="axisRow" fieldPosition="6"/>
    </format>
    <format dxfId="3367">
      <pivotArea field="9" type="button" dataOnly="0" labelOnly="1" outline="0" axis="axisRow" fieldPosition="7"/>
    </format>
    <format dxfId="3366">
      <pivotArea field="3" type="button" dataOnly="0" labelOnly="1" outline="0" axis="axisRow" fieldPosition="8"/>
    </format>
    <format dxfId="3365">
      <pivotArea field="7" type="button" dataOnly="0" labelOnly="1" outline="0" axis="axisRow" fieldPosition="9"/>
    </format>
    <format dxfId="3364">
      <pivotArea field="1" type="button" dataOnly="0" labelOnly="1" outline="0" axis="axisRow" fieldPosition="10"/>
    </format>
    <format dxfId="3363">
      <pivotArea dataOnly="0" labelOnly="1" outline="0" axis="axisValues" fieldPosition="0"/>
    </format>
    <format dxfId="3362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361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36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335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3358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3357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33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52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3351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33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4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3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33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3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3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3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3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3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3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3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3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3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3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3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17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3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3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3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3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3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3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30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3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33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2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9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2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2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2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3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3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32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32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32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32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32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32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2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3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3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3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3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3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3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31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3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3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3183">
      <pivotArea dataOnly="0" labelOnly="1" outline="0" fieldPosition="0">
        <references count="7">
          <reference field="0" count="1" selected="0">
            <x v="5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8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181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80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79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78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77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176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75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74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73">
      <pivotArea dataOnly="0" labelOnly="1" outline="0" fieldPosition="0">
        <references count="7">
          <reference field="0" count="1" selected="0">
            <x v="7"/>
          </reference>
          <reference field="5" count="1">
            <x v="499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72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71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70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69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68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67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166">
      <pivotArea dataOnly="0" labelOnly="1" outline="0" fieldPosition="0">
        <references count="7">
          <reference field="0" count="1" selected="0">
            <x v="7"/>
          </reference>
          <reference field="5" count="1">
            <x v="207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65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64">
      <pivotArea dataOnly="0" labelOnly="1" outline="0" fieldPosition="0">
        <references count="7">
          <reference field="0" count="1" selected="0">
            <x v="7"/>
          </reference>
          <reference field="5" count="2">
            <x v="7818"/>
            <x v="782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63">
      <pivotArea dataOnly="0" labelOnly="1" outline="0" fieldPosition="0">
        <references count="7">
          <reference field="0" count="1" selected="0">
            <x v="7"/>
          </reference>
          <reference field="5" count="1">
            <x v="2320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62">
      <pivotArea dataOnly="0" labelOnly="1" outline="0" fieldPosition="0">
        <references count="7">
          <reference field="0" count="1" selected="0">
            <x v="7"/>
          </reference>
          <reference field="5" count="1">
            <x v="731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61">
      <pivotArea dataOnly="0" labelOnly="1" outline="0" fieldPosition="0">
        <references count="7">
          <reference field="0" count="1" selected="0">
            <x v="7"/>
          </reference>
          <reference field="5" count="2">
            <x v="7813"/>
            <x v="7816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60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59">
      <pivotArea dataOnly="0" labelOnly="1" outline="0" fieldPosition="0">
        <references count="7">
          <reference field="0" count="1" selected="0">
            <x v="12"/>
          </reference>
          <reference field="5" count="2">
            <x v="7810"/>
            <x v="78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58">
      <pivotArea dataOnly="0" labelOnly="1" outline="0" fieldPosition="0">
        <references count="7">
          <reference field="0" count="1" selected="0">
            <x v="12"/>
          </reference>
          <reference field="5" count="1">
            <x v="78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57">
      <pivotArea dataOnly="0" labelOnly="1" outline="0" fieldPosition="0">
        <references count="7">
          <reference field="0" count="1" selected="0">
            <x v="13"/>
          </reference>
          <reference field="5" count="2">
            <x v="7248"/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56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55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5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53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52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51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50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49">
      <pivotArea dataOnly="0" labelOnly="1" outline="0" fieldPosition="0">
        <references count="7">
          <reference field="0" count="1" selected="0">
            <x v="14"/>
          </reference>
          <reference field="5" count="1">
            <x v="778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48">
      <pivotArea dataOnly="0" labelOnly="1" outline="0" fieldPosition="0">
        <references count="7">
          <reference field="0" count="1" selected="0">
            <x v="14"/>
          </reference>
          <reference field="5" count="1">
            <x v="56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147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146">
      <pivotArea dataOnly="0" labelOnly="1" outline="0" fieldPosition="0">
        <references count="7">
          <reference field="0" count="1" selected="0">
            <x v="14"/>
          </reference>
          <reference field="5" count="1">
            <x v="618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145">
      <pivotArea dataOnly="0" labelOnly="1" outline="0" fieldPosition="0">
        <references count="7">
          <reference field="0" count="1" selected="0">
            <x v="14"/>
          </reference>
          <reference field="5" count="1">
            <x v="52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44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43">
      <pivotArea dataOnly="0" labelOnly="1" outline="0" fieldPosition="0">
        <references count="7">
          <reference field="0" count="1" selected="0">
            <x v="14"/>
          </reference>
          <reference field="5" count="2">
            <x v="1925"/>
            <x v="3733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42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41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40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39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38">
      <pivotArea dataOnly="0" labelOnly="1" outline="0" fieldPosition="0">
        <references count="7">
          <reference field="0" count="1" selected="0">
            <x v="14"/>
          </reference>
          <reference field="5" count="1">
            <x v="445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37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36">
      <pivotArea dataOnly="0" labelOnly="1" outline="0" fieldPosition="0">
        <references count="7">
          <reference field="0" count="1" selected="0">
            <x v="14"/>
          </reference>
          <reference field="5" count="1">
            <x v="662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35">
      <pivotArea dataOnly="0" labelOnly="1" outline="0" fieldPosition="0">
        <references count="7">
          <reference field="0" count="1" selected="0">
            <x v="14"/>
          </reference>
          <reference field="5" count="1">
            <x v="780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34">
      <pivotArea dataOnly="0" labelOnly="1" outline="0" fieldPosition="0">
        <references count="7">
          <reference field="0" count="1" selected="0">
            <x v="14"/>
          </reference>
          <reference field="5" count="1">
            <x v="6983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33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3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31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30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29">
      <pivotArea dataOnly="0" labelOnly="1" outline="0" fieldPosition="0">
        <references count="7">
          <reference field="0" count="1" selected="0">
            <x v="15"/>
          </reference>
          <reference field="5" count="1">
            <x v="7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128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127">
      <pivotArea dataOnly="0" labelOnly="1" outline="0" fieldPosition="0">
        <references count="7">
          <reference field="0" count="1" selected="0">
            <x v="15"/>
          </reference>
          <reference field="5" count="1">
            <x v="31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126">
      <pivotArea dataOnly="0" labelOnly="1" outline="0" fieldPosition="0">
        <references count="7">
          <reference field="0" count="1" selected="0">
            <x v="15"/>
          </reference>
          <reference field="5" count="1">
            <x v="31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125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124">
      <pivotArea dataOnly="0" labelOnly="1" outline="0" fieldPosition="0">
        <references count="7">
          <reference field="0" count="1" selected="0">
            <x v="15"/>
          </reference>
          <reference field="5" count="1">
            <x v="197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123">
      <pivotArea dataOnly="0" labelOnly="1" outline="0" fieldPosition="0">
        <references count="7">
          <reference field="0" count="1" selected="0">
            <x v="15"/>
          </reference>
          <reference field="5" count="1">
            <x v="20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12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1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1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1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4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92">
      <pivotArea dataOnly="0" labelOnly="1" outline="0" fieldPosition="0">
        <references count="9">
          <reference field="0" count="1" selected="0">
            <x v="5"/>
          </reference>
          <reference field="3" count="1">
            <x v="7882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90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89">
      <pivotArea dataOnly="0" labelOnly="1" outline="0" fieldPosition="0">
        <references count="9">
          <reference field="0" count="1" selected="0">
            <x v="7"/>
          </reference>
          <reference field="3" count="1">
            <x v="7864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88">
      <pivotArea dataOnly="0" labelOnly="1" outline="0" fieldPosition="0">
        <references count="9">
          <reference field="0" count="1" selected="0">
            <x v="7"/>
          </reference>
          <reference field="3" count="1">
            <x v="7876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087">
      <pivotArea dataOnly="0" labelOnly="1" outline="0" fieldPosition="0">
        <references count="9">
          <reference field="0" count="1" selected="0">
            <x v="7"/>
          </reference>
          <reference field="3" count="1">
            <x v="7878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86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5">
      <pivotArea dataOnly="0" labelOnly="1" outline="0" fieldPosition="0">
        <references count="9">
          <reference field="0" count="1" selected="0">
            <x v="7"/>
          </reference>
          <reference field="3" count="1">
            <x v="2970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84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4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83">
      <pivotArea dataOnly="0" labelOnly="1" outline="0" fieldPosition="0">
        <references count="9">
          <reference field="0" count="1" selected="0">
            <x v="7"/>
          </reference>
          <reference field="3" count="1">
            <x v="7877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2">
      <pivotArea dataOnly="0" labelOnly="1" outline="0" fieldPosition="0">
        <references count="9">
          <reference field="0" count="1" selected="0">
            <x v="7"/>
          </reference>
          <reference field="3" count="1">
            <x v="7880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1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80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79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078">
      <pivotArea dataOnly="0" labelOnly="1" outline="0" fieldPosition="0">
        <references count="9">
          <reference field="0" count="1" selected="0">
            <x v="7"/>
          </reference>
          <reference field="3" count="1">
            <x v="1404"/>
          </reference>
          <reference field="5" count="1" selected="0">
            <x v="20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7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76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75">
      <pivotArea dataOnly="0" labelOnly="1" outline="0" fieldPosition="0">
        <references count="9">
          <reference field="0" count="1" selected="0">
            <x v="7"/>
          </reference>
          <reference field="3" count="1">
            <x v="7874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74">
      <pivotArea dataOnly="0" labelOnly="1" outline="0" fieldPosition="0">
        <references count="9">
          <reference field="0" count="1" selected="0">
            <x v="7"/>
          </reference>
          <reference field="3" count="1">
            <x v="7879"/>
          </reference>
          <reference field="5" count="1" selected="0">
            <x v="2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73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72">
      <pivotArea dataOnly="0" labelOnly="1" outline="0" fieldPosition="0">
        <references count="9">
          <reference field="0" count="1" selected="0">
            <x v="7"/>
          </reference>
          <reference field="3" count="1">
            <x v="7860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7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70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9">
      <pivotArea dataOnly="0" labelOnly="1" outline="0" fieldPosition="0">
        <references count="9">
          <reference field="0" count="1" selected="0">
            <x v="12"/>
          </reference>
          <reference field="3" count="1">
            <x v="7857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68">
      <pivotArea dataOnly="0" labelOnly="1" outline="0" fieldPosition="0">
        <references count="9">
          <reference field="0" count="1" selected="0">
            <x v="12"/>
          </reference>
          <reference field="3" count="1">
            <x v="7858"/>
          </reference>
          <reference field="5" count="1" selected="0">
            <x v="781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64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62">
      <pivotArea dataOnly="0" labelOnly="1" outline="0" fieldPosition="0">
        <references count="9">
          <reference field="0" count="1" selected="0">
            <x v="14"/>
          </reference>
          <reference field="3" count="1">
            <x v="2973"/>
          </reference>
          <reference field="5" count="1" selected="0">
            <x v="56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061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61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60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52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8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19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7">
      <pivotArea dataOnly="0" labelOnly="1" outline="0" fieldPosition="0">
        <references count="9">
          <reference field="0" count="1" selected="0">
            <x v="14"/>
          </reference>
          <reference field="3" count="1">
            <x v="7848"/>
          </reference>
          <reference field="5" count="1" selected="0">
            <x v="37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6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5">
      <pivotArea dataOnly="0" labelOnly="1" outline="0" fieldPosition="0">
        <references count="9">
          <reference field="0" count="1" selected="0">
            <x v="14"/>
          </reference>
          <reference field="3" count="1">
            <x v="1407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3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52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4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1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50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49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48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47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46">
      <pivotArea dataOnly="0" labelOnly="1" outline="0" fieldPosition="0">
        <references count="9">
          <reference field="0" count="1" selected="0">
            <x v="15"/>
          </reference>
          <reference field="3" count="1">
            <x v="2970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45">
      <pivotArea dataOnly="0" labelOnly="1" outline="0" fieldPosition="0">
        <references count="9">
          <reference field="0" count="1" selected="0">
            <x v="15"/>
          </reference>
          <reference field="3" count="1">
            <x v="7845"/>
          </reference>
          <reference field="5" count="1" selected="0">
            <x v="7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0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8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043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042">
      <pivotArea dataOnly="0" labelOnly="1" outline="0" fieldPosition="0">
        <references count="9">
          <reference field="0" count="1" selected="0">
            <x v="15"/>
          </reference>
          <reference field="3" count="1">
            <x v="7844"/>
          </reference>
          <reference field="5" count="1" selected="0">
            <x v="197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04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882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4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6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0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9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0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0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3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0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9"/>
          </reference>
          <reference field="5" count="1" selected="0">
            <x v="2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0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9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57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77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61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3"/>
          </reference>
          <reference field="5" count="1" selected="0">
            <x v="5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9"/>
          </reference>
          <reference field="5" count="1" selected="0">
            <x v="1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7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4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6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5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0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3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007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06">
      <pivotArea dataOnly="0" labelOnly="1" outline="0" fieldPosition="0">
        <references count="11">
          <reference field="0" count="1" selected="0">
            <x v="7"/>
          </reference>
          <reference field="1" count="1">
            <x v="7583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05">
      <pivotArea dataOnly="0" labelOnly="1" outline="0" fieldPosition="0">
        <references count="11">
          <reference field="0" count="1" selected="0">
            <x v="7"/>
          </reference>
          <reference field="1" count="1">
            <x v="7660"/>
          </reference>
          <reference field="3" count="1" selected="0">
            <x v="7877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04">
      <pivotArea dataOnly="0" labelOnly="1" outline="0" fieldPosition="0">
        <references count="11">
          <reference field="0" count="1" selected="0">
            <x v="7"/>
          </reference>
          <reference field="1" count="1">
            <x v="7657"/>
          </reference>
          <reference field="3" count="1" selected="0">
            <x v="7873"/>
          </reference>
          <reference field="5" count="1" selected="0">
            <x v="78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003">
      <pivotArea dataOnly="0" labelOnly="1" outline="0" fieldPosition="0">
        <references count="11">
          <reference field="0" count="1" selected="0">
            <x v="7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02">
      <pivotArea dataOnly="0" labelOnly="1" outline="0" fieldPosition="0">
        <references count="11">
          <reference field="0" count="1" selected="0">
            <x v="7"/>
          </reference>
          <reference field="1" count="1">
            <x v="7654"/>
          </reference>
          <reference field="3" count="1" selected="0">
            <x v="7865"/>
          </reference>
          <reference field="5" count="1" selected="0">
            <x v="78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01">
      <pivotArea dataOnly="0" labelOnly="1" outline="0" fieldPosition="0">
        <references count="11">
          <reference field="0" count="1" selected="0">
            <x v="7"/>
          </reference>
          <reference field="1" count="1">
            <x v="7649"/>
          </reference>
          <reference field="3" count="1" selected="0">
            <x v="7860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00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99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98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97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96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95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2"/>
          </reference>
          <reference field="5" count="1" selected="0">
            <x v="77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94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2973"/>
          </reference>
          <reference field="5" count="1" selected="0">
            <x v="56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993">
      <pivotArea dataOnly="0" labelOnly="1" outline="0" fieldPosition="0">
        <references count="11">
          <reference field="0" count="1" selected="0">
            <x v="14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992">
      <pivotArea dataOnly="0" labelOnly="1" outline="0" fieldPosition="0">
        <references count="11">
          <reference field="0" count="1" selected="0">
            <x v="14"/>
          </reference>
          <reference field="1" count="1">
            <x v="7646"/>
          </reference>
          <reference field="3" count="1" selected="0">
            <x v="7849"/>
          </reference>
          <reference field="5" count="1" selected="0">
            <x v="1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91">
      <pivotArea dataOnly="0" labelOnly="1" outline="0" fieldPosition="0">
        <references count="11">
          <reference field="0" count="1" selected="0">
            <x v="14"/>
          </reference>
          <reference field="1" count="1">
            <x v="7645"/>
          </reference>
          <reference field="3" count="1" selected="0">
            <x v="7848"/>
          </reference>
          <reference field="5" count="1" selected="0">
            <x v="3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90">
      <pivotArea dataOnly="0" labelOnly="1" outline="0" fieldPosition="0">
        <references count="11">
          <reference field="0" count="1" selected="0">
            <x v="14"/>
          </reference>
          <reference field="1" count="1">
            <x v="7604"/>
          </reference>
          <reference field="3" count="1" selected="0">
            <x v="1407"/>
          </reference>
          <reference field="5" count="1" selected="0">
            <x v="77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89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88">
      <pivotArea dataOnly="0" labelOnly="1" outline="0" fieldPosition="0">
        <references count="11">
          <reference field="0" count="1" selected="0">
            <x v="14"/>
          </reference>
          <reference field="1" count="1">
            <x v="7648"/>
          </reference>
          <reference field="3" count="1" selected="0">
            <x v="7852"/>
          </reference>
          <reference field="5" count="1" selected="0">
            <x v="78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87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86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85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84">
      <pivotArea dataOnly="0" labelOnly="1" outline="0" fieldPosition="0">
        <references count="11">
          <reference field="0" count="1" selected="0">
            <x v="15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83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31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82">
      <pivotArea dataOnly="0" labelOnly="1" outline="0" fieldPosition="0">
        <references count="11">
          <reference field="0" count="1" selected="0">
            <x v="15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31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981">
      <pivotArea dataOnly="0" labelOnly="1" outline="0" fieldPosition="0">
        <references count="11">
          <reference field="0" count="1" selected="0">
            <x v="15"/>
          </reference>
          <reference field="1" count="1">
            <x v="7637"/>
          </reference>
          <reference field="3" count="1" selected="0">
            <x v="7844"/>
          </reference>
          <reference field="5" count="1" selected="0">
            <x v="19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980">
      <pivotArea dataOnly="0" labelOnly="1" outline="0" fieldPosition="0">
        <references count="11">
          <reference field="0" count="1" selected="0">
            <x v="15"/>
          </reference>
          <reference field="1" count="1">
            <x v="7640"/>
          </reference>
          <reference field="3" count="1" selected="0">
            <x v="0"/>
          </reference>
          <reference field="5" count="1" selected="0">
            <x v="20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79">
      <pivotArea outline="0" collapsedLevelsAreSubtotals="1" fieldPosition="0"/>
    </format>
    <format dxfId="2978">
      <pivotArea dataOnly="0" labelOnly="1" outline="0" axis="axisValues" fieldPosition="0"/>
    </format>
    <format dxfId="2977">
      <pivotArea dataOnly="0" outline="0" fieldPosition="0">
        <references count="1">
          <reference field="12" count="0" defaultSubtotal="1"/>
        </references>
      </pivotArea>
    </format>
    <format dxfId="2976">
      <pivotArea outline="0" collapsedLevelsAreSubtotals="1" fieldPosition="0"/>
    </format>
    <format dxfId="2975">
      <pivotArea dataOnly="0" labelOnly="1" outline="0" axis="axisValues" fieldPosition="0"/>
    </format>
    <format dxfId="2974">
      <pivotArea outline="0" collapsedLevelsAreSubtotals="1" fieldPosition="0"/>
    </format>
    <format dxfId="2973">
      <pivotArea dataOnly="0" labelOnly="1" outline="0" axis="axisValues" fieldPosition="0"/>
    </format>
    <format dxfId="2972">
      <pivotArea dataOnly="0" labelOnly="1" outline="0" axis="axisValues" fieldPosition="0"/>
    </format>
    <format dxfId="2971">
      <pivotArea outline="0" collapsedLevelsAreSubtotals="1" fieldPosition="0"/>
    </format>
    <format dxfId="2970">
      <pivotArea field="12" type="button" dataOnly="0" labelOnly="1" outline="0" axis="axisRow" fieldPosition="2"/>
    </format>
    <format dxfId="2969">
      <pivotArea field="10" type="button" dataOnly="0" labelOnly="1" outline="0" axis="axisRow" fieldPosition="3"/>
    </format>
    <format dxfId="2968">
      <pivotArea field="16" type="button" dataOnly="0" labelOnly="1" outline="0" axis="axisRow" fieldPosition="4"/>
    </format>
    <format dxfId="2967">
      <pivotArea field="18" type="button" dataOnly="0" labelOnly="1" outline="0" axis="axisRow" fieldPosition="5"/>
    </format>
    <format dxfId="2966">
      <pivotArea field="5" type="button" dataOnly="0" labelOnly="1" outline="0" axis="axisRow" fieldPosition="6"/>
    </format>
    <format dxfId="2965">
      <pivotArea field="9" type="button" dataOnly="0" labelOnly="1" outline="0" axis="axisRow" fieldPosition="7"/>
    </format>
    <format dxfId="2964">
      <pivotArea field="3" type="button" dataOnly="0" labelOnly="1" outline="0" axis="axisRow" fieldPosition="8"/>
    </format>
    <format dxfId="2963">
      <pivotArea field="7" type="button" dataOnly="0" labelOnly="1" outline="0" axis="axisRow" fieldPosition="9"/>
    </format>
    <format dxfId="2962">
      <pivotArea field="1" type="button" dataOnly="0" labelOnly="1" outline="0" axis="axisRow" fieldPosition="10"/>
    </format>
    <format dxfId="2961">
      <pivotArea dataOnly="0" labelOnly="1" outline="0" axis="axisValues" fieldPosition="0"/>
    </format>
    <format dxfId="2960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95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95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295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295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95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95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95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9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4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94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9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9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9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9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9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9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2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8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8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28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8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8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28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28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2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8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28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28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2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2848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84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46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45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44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43">
      <pivotArea dataOnly="0" labelOnly="1" outline="0" fieldPosition="0">
        <references count="7">
          <reference field="0" count="1" selected="0">
            <x v="10"/>
          </reference>
          <reference field="5" count="1">
            <x v="57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842">
      <pivotArea dataOnly="0" labelOnly="1" outline="0" fieldPosition="0">
        <references count="7">
          <reference field="0" count="1" selected="0">
            <x v="10"/>
          </reference>
          <reference field="5" count="1">
            <x v="683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41">
      <pivotArea dataOnly="0" labelOnly="1" outline="0" fieldPosition="0">
        <references count="7">
          <reference field="0" count="1" selected="0">
            <x v="10"/>
          </reference>
          <reference field="5" count="1">
            <x v="198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40">
      <pivotArea dataOnly="0" labelOnly="1" outline="0" fieldPosition="0">
        <references count="7">
          <reference field="0" count="1" selected="0">
            <x v="10"/>
          </reference>
          <reference field="5" count="1">
            <x v="46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39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38">
      <pivotArea dataOnly="0" labelOnly="1" outline="0" fieldPosition="0">
        <references count="7">
          <reference field="0" count="1" selected="0">
            <x v="13"/>
          </reference>
          <reference field="5" count="2">
            <x v="7248"/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37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36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5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34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33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32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1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0">
      <pivotArea dataOnly="0" labelOnly="1" outline="0" fieldPosition="0">
        <references count="7">
          <reference field="0" count="1" selected="0">
            <x v="14"/>
          </reference>
          <reference field="5" count="1">
            <x v="622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29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28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27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2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25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24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23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22">
      <pivotArea dataOnly="0" labelOnly="1" outline="0" fieldPosition="0">
        <references count="7">
          <reference field="0" count="1" selected="0">
            <x v="15"/>
          </reference>
          <reference field="5" count="1">
            <x v="7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821">
      <pivotArea dataOnly="0" labelOnly="1" outline="0" fieldPosition="0">
        <references count="7">
          <reference field="0" count="1" selected="0">
            <x v="15"/>
          </reference>
          <reference field="5" count="1">
            <x v="78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20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819">
      <pivotArea dataOnly="0" labelOnly="1" outline="0" fieldPosition="0">
        <references count="7">
          <reference field="0" count="1" selected="0">
            <x v="15"/>
          </reference>
          <reference field="5" count="2">
            <x v="7770"/>
            <x v="77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18">
      <pivotArea dataOnly="0" labelOnly="1" outline="0" fieldPosition="0">
        <references count="7">
          <reference field="0" count="1" selected="0">
            <x v="15"/>
          </reference>
          <reference field="5" count="1">
            <x v="78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7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98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97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96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95">
      <pivotArea dataOnly="0" labelOnly="1" outline="0" fieldPosition="0">
        <references count="9">
          <reference field="0" count="1" selected="0">
            <x v="10"/>
          </reference>
          <reference field="3" count="1">
            <x v="7447"/>
          </reference>
          <reference field="5" count="1" selected="0">
            <x v="5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794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93">
      <pivotArea dataOnly="0" labelOnly="1" outline="0" fieldPosition="0">
        <references count="9">
          <reference field="0" count="1" selected="0">
            <x v="10"/>
          </reference>
          <reference field="3" count="1">
            <x v="7891"/>
          </reference>
          <reference field="5" count="1" selected="0">
            <x v="1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92">
      <pivotArea dataOnly="0" labelOnly="1" outline="0" fieldPosition="0">
        <references count="9">
          <reference field="0" count="1" selected="0">
            <x v="10"/>
          </reference>
          <reference field="3" count="1">
            <x v="7448"/>
          </reference>
          <reference field="5" count="1" selected="0">
            <x v="4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91">
      <pivotArea dataOnly="0" labelOnly="1" outline="0" fieldPosition="0">
        <references count="9">
          <reference field="0" count="1" selected="0">
            <x v="10"/>
          </reference>
          <reference field="3" count="1">
            <x v="7883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86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4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83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82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81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0">
      <pivotArea dataOnly="0" labelOnly="1" outline="0" fieldPosition="0">
        <references count="9">
          <reference field="0" count="1" selected="0">
            <x v="15"/>
          </reference>
          <reference field="3" count="1">
            <x v="2970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79">
      <pivotArea dataOnly="0" labelOnly="1" outline="0" fieldPosition="0">
        <references count="9">
          <reference field="0" count="1" selected="0">
            <x v="15"/>
          </reference>
          <reference field="3" count="1">
            <x v="7845"/>
          </reference>
          <reference field="5" count="1" selected="0">
            <x v="7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778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7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4"/>
          </reference>
          <reference field="5" count="1" selected="0">
            <x v="78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1"/>
          </reference>
          <reference field="5" count="1" selected="0">
            <x v="1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3"/>
          </reference>
          <reference field="5" count="1" selected="0">
            <x v="5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5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7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3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7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57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56">
      <pivotArea dataOnly="0" labelOnly="1" outline="0" fieldPosition="0">
        <references count="11">
          <reference field="0" count="1" selected="0">
            <x v="7"/>
          </reference>
          <reference field="1" count="1">
            <x v="7675"/>
          </reference>
          <reference field="3" count="1" selected="0">
            <x v="7644"/>
          </reference>
          <reference field="5" count="1" selected="0">
            <x v="78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55">
      <pivotArea dataOnly="0" labelOnly="1" outline="0" fieldPosition="0">
        <references count="11">
          <reference field="0" count="1" selected="0">
            <x v="7"/>
          </reference>
          <reference field="1" count="1">
            <x v="7674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54">
      <pivotArea dataOnly="0" labelOnly="1" outline="0" fieldPosition="0">
        <references count="11">
          <reference field="0" count="1" selected="0">
            <x v="10"/>
          </reference>
          <reference field="1" count="1">
            <x v="7110"/>
          </reference>
          <reference field="3" count="1" selected="0">
            <x v="7448"/>
          </reference>
          <reference field="5" count="1" selected="0">
            <x v="4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53">
      <pivotArea dataOnly="0" labelOnly="1" outline="0" fieldPosition="0">
        <references count="11">
          <reference field="0" count="1" selected="0">
            <x v="10"/>
          </reference>
          <reference field="1" count="1">
            <x v="7670"/>
          </reference>
          <reference field="3" count="1" selected="0">
            <x v="7883"/>
          </reference>
          <reference field="5" count="1" selected="0">
            <x v="50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52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51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0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49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48">
      <pivotArea dataOnly="0" labelOnly="1" outline="0" fieldPosition="0">
        <references count="11">
          <reference field="0" count="1" selected="0">
            <x v="13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47">
      <pivotArea dataOnly="0" labelOnly="1" outline="0" fieldPosition="0">
        <references count="11">
          <reference field="0" count="1" selected="0">
            <x v="14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62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46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45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44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43">
      <pivotArea dataOnly="0" labelOnly="1" outline="0" fieldPosition="0">
        <references count="11">
          <reference field="0" count="1" selected="0">
            <x v="15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42">
      <pivotArea dataOnly="0" labelOnly="1" outline="0" fieldPosition="0">
        <references count="11">
          <reference field="0" count="1" selected="0">
            <x v="15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41">
      <pivotArea outline="0" collapsedLevelsAreSubtotals="1" fieldPosition="0"/>
    </format>
    <format dxfId="2740">
      <pivotArea dataOnly="0" labelOnly="1" outline="0" axis="axisValues" fieldPosition="0"/>
    </format>
    <format dxfId="2739">
      <pivotArea dataOnly="0" outline="0" fieldPosition="0">
        <references count="1">
          <reference field="12" count="0" defaultSubtotal="1"/>
        </references>
      </pivotArea>
    </format>
    <format dxfId="2738">
      <pivotArea outline="0" collapsedLevelsAreSubtotals="1" fieldPosition="0"/>
    </format>
    <format dxfId="2737">
      <pivotArea dataOnly="0" labelOnly="1" outline="0" axis="axisValues" fieldPosition="0"/>
    </format>
    <format dxfId="2736">
      <pivotArea outline="0" collapsedLevelsAreSubtotals="1" fieldPosition="0"/>
    </format>
    <format dxfId="2735">
      <pivotArea dataOnly="0" labelOnly="1" outline="0" axis="axisValues" fieldPosition="0"/>
    </format>
    <format dxfId="2734">
      <pivotArea dataOnly="0" labelOnly="1" outline="0" axis="axisValues" fieldPosition="0"/>
    </format>
    <format dxfId="2733">
      <pivotArea outline="0" collapsedLevelsAreSubtotals="1" fieldPosition="0"/>
    </format>
    <format dxfId="2732">
      <pivotArea field="12" type="button" dataOnly="0" labelOnly="1" outline="0" axis="axisRow" fieldPosition="2"/>
    </format>
    <format dxfId="2731">
      <pivotArea field="10" type="button" dataOnly="0" labelOnly="1" outline="0" axis="axisRow" fieldPosition="3"/>
    </format>
    <format dxfId="2730">
      <pivotArea field="16" type="button" dataOnly="0" labelOnly="1" outline="0" axis="axisRow" fieldPosition="4"/>
    </format>
    <format dxfId="2729">
      <pivotArea field="18" type="button" dataOnly="0" labelOnly="1" outline="0" axis="axisRow" fieldPosition="5"/>
    </format>
    <format dxfId="2728">
      <pivotArea field="5" type="button" dataOnly="0" labelOnly="1" outline="0" axis="axisRow" fieldPosition="6"/>
    </format>
    <format dxfId="2727">
      <pivotArea field="9" type="button" dataOnly="0" labelOnly="1" outline="0" axis="axisRow" fieldPosition="7"/>
    </format>
    <format dxfId="2726">
      <pivotArea field="3" type="button" dataOnly="0" labelOnly="1" outline="0" axis="axisRow" fieldPosition="8"/>
    </format>
    <format dxfId="2725">
      <pivotArea field="7" type="button" dataOnly="0" labelOnly="1" outline="0" axis="axisRow" fieldPosition="9"/>
    </format>
    <format dxfId="2724">
      <pivotArea field="1" type="button" dataOnly="0" labelOnly="1" outline="0" axis="axisRow" fieldPosition="10"/>
    </format>
    <format dxfId="2723">
      <pivotArea dataOnly="0" labelOnly="1" outline="0" axis="axisValues" fieldPosition="0"/>
    </format>
    <format dxfId="272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27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2720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71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71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7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7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71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7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27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26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26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6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2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2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26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26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62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4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3">
      <pivotArea dataOnly="0" labelOnly="1" outline="0" fieldPosition="0">
        <references count="7">
          <reference field="0" count="1" selected="0">
            <x v="2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2">
      <pivotArea dataOnly="0" labelOnly="1" outline="0" fieldPosition="0">
        <references count="7">
          <reference field="0" count="1" selected="0">
            <x v="2"/>
          </reference>
          <reference field="5" count="1">
            <x v="43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621">
      <pivotArea dataOnly="0" labelOnly="1" outline="0" fieldPosition="0">
        <references count="7">
          <reference field="0" count="1" selected="0">
            <x v="2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20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19">
      <pivotArea dataOnly="0" labelOnly="1" outline="0" fieldPosition="0">
        <references count="7">
          <reference field="0" count="1" selected="0">
            <x v="12"/>
          </reference>
          <reference field="5" count="1">
            <x v="60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18">
      <pivotArea dataOnly="0" labelOnly="1" outline="0" fieldPosition="0">
        <references count="7">
          <reference field="0" count="1" selected="0">
            <x v="12"/>
          </reference>
          <reference field="5" count="2">
            <x v="7845"/>
            <x v="78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17">
      <pivotArea dataOnly="0" labelOnly="1" outline="0" fieldPosition="0">
        <references count="7">
          <reference field="0" count="1" selected="0">
            <x v="12"/>
          </reference>
          <reference field="5" count="1">
            <x v="78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16">
      <pivotArea dataOnly="0" labelOnly="1" outline="0" fieldPosition="0">
        <references count="7">
          <reference field="0" count="1" selected="0">
            <x v="13"/>
          </reference>
          <reference field="5" count="2">
            <x v="7248"/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15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4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3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12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1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10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9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08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07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606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05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04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03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0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01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00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9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98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97">
      <pivotArea dataOnly="0" labelOnly="1" outline="0" fieldPosition="0">
        <references count="7">
          <reference field="0" count="1" selected="0">
            <x v="15"/>
          </reference>
          <reference field="5" count="1">
            <x v="7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596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95">
      <pivotArea dataOnly="0" labelOnly="1" outline="0" fieldPosition="0">
        <references count="7">
          <reference field="0" count="1" selected="0">
            <x v="15"/>
          </reference>
          <reference field="5" count="1">
            <x v="31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94">
      <pivotArea dataOnly="0" labelOnly="1" outline="0" fieldPosition="0">
        <references count="7">
          <reference field="0" count="1" selected="0">
            <x v="15"/>
          </reference>
          <reference field="5" count="1">
            <x v="78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593">
      <pivotArea dataOnly="0" labelOnly="1" outline="0" fieldPosition="0">
        <references count="7">
          <reference field="0" count="1" selected="0">
            <x v="15"/>
          </reference>
          <reference field="5" count="1">
            <x v="78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92">
      <pivotArea dataOnly="0" labelOnly="1" outline="0" fieldPosition="0">
        <references count="7">
          <reference field="0" count="1" selected="0">
            <x v="15"/>
          </reference>
          <reference field="5" count="1">
            <x v="78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8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72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71">
      <pivotArea dataOnly="0" labelOnly="1" outline="0" fieldPosition="0">
        <references count="9">
          <reference field="0" count="1" selected="0">
            <x v="2"/>
          </reference>
          <reference field="3" count="1">
            <x v="7815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0">
      <pivotArea dataOnly="0" labelOnly="1" outline="0" fieldPosition="0">
        <references count="9">
          <reference field="0" count="1" selected="0">
            <x v="2"/>
          </reference>
          <reference field="3" count="1">
            <x v="7818"/>
          </reference>
          <reference field="5" count="1" selected="0">
            <x v="4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569">
      <pivotArea dataOnly="0" labelOnly="1" outline="0" fieldPosition="0">
        <references count="9">
          <reference field="0" count="1" selected="0">
            <x v="2"/>
          </reference>
          <reference field="3" count="1">
            <x v="7816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68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64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562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61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0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59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58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57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56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4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52">
      <pivotArea dataOnly="0" labelOnly="1" outline="0" fieldPosition="0">
        <references count="9">
          <reference field="0" count="1" selected="0">
            <x v="15"/>
          </reference>
          <reference field="3" count="1">
            <x v="7845"/>
          </reference>
          <reference field="5" count="1" selected="0">
            <x v="7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5"/>
          </reference>
          <reference field="5" count="1" selected="0">
            <x v="6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6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6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6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6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5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532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31">
      <pivotArea dataOnly="0" labelOnly="1" outline="0" fieldPosition="0">
        <references count="11">
          <reference field="0" count="1" selected="0">
            <x v="2"/>
          </reference>
          <reference field="1" count="1">
            <x v="7686"/>
          </reference>
          <reference field="3" count="1" selected="0">
            <x v="7818"/>
          </reference>
          <reference field="5" count="1" selected="0">
            <x v="4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530">
      <pivotArea dataOnly="0" labelOnly="1" outline="0" fieldPosition="0">
        <references count="11">
          <reference field="0" count="1" selected="0">
            <x v="2"/>
          </reference>
          <reference field="1" count="1">
            <x v="7687"/>
          </reference>
          <reference field="3" count="1" selected="0">
            <x v="7816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29">
      <pivotArea dataOnly="0" labelOnly="1" outline="0" fieldPosition="0">
        <references count="11">
          <reference field="0" count="1" selected="0">
            <x v="7"/>
          </reference>
          <reference field="1" count="1">
            <x v="7674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28">
      <pivotArea dataOnly="0" labelOnly="1" outline="0" fieldPosition="0">
        <references count="11">
          <reference field="0" count="1" selected="0">
            <x v="12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27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26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5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24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23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22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7714"/>
          </reference>
          <reference field="5" count="1" selected="0">
            <x v="76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21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20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19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18">
      <pivotArea dataOnly="0" labelOnly="1" outline="0" fieldPosition="0">
        <references count="11">
          <reference field="0" count="1" selected="0">
            <x v="15"/>
          </reference>
          <reference field="1" count="1">
            <x v="7679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7">
      <pivotArea dataOnly="0" labelOnly="1" outline="0" fieldPosition="0">
        <references count="11">
          <reference field="0" count="1" selected="0">
            <x v="15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16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31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15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14">
      <pivotArea outline="0" collapsedLevelsAreSubtotals="1" fieldPosition="0"/>
    </format>
    <format dxfId="2513">
      <pivotArea dataOnly="0" labelOnly="1" outline="0" axis="axisValues" fieldPosition="0"/>
    </format>
    <format dxfId="2512">
      <pivotArea dataOnly="0" outline="0" fieldPosition="0">
        <references count="1">
          <reference field="12" count="0" defaultSubtotal="1"/>
        </references>
      </pivotArea>
    </format>
    <format dxfId="2511">
      <pivotArea outline="0" collapsedLevelsAreSubtotals="1" fieldPosition="0"/>
    </format>
    <format dxfId="2510">
      <pivotArea dataOnly="0" labelOnly="1" outline="0" axis="axisValues" fieldPosition="0"/>
    </format>
    <format dxfId="2509">
      <pivotArea outline="0" collapsedLevelsAreSubtotals="1" fieldPosition="0"/>
    </format>
    <format dxfId="2508">
      <pivotArea dataOnly="0" labelOnly="1" outline="0" axis="axisValues" fieldPosition="0"/>
    </format>
    <format dxfId="2507">
      <pivotArea dataOnly="0" labelOnly="1" outline="0" axis="axisValues" fieldPosition="0"/>
    </format>
    <format dxfId="2506">
      <pivotArea outline="0" collapsedLevelsAreSubtotals="1" fieldPosition="0"/>
    </format>
    <format dxfId="2505">
      <pivotArea field="12" type="button" dataOnly="0" labelOnly="1" outline="0" axis="axisRow" fieldPosition="2"/>
    </format>
    <format dxfId="2504">
      <pivotArea field="10" type="button" dataOnly="0" labelOnly="1" outline="0" axis="axisRow" fieldPosition="3"/>
    </format>
    <format dxfId="2503">
      <pivotArea field="16" type="button" dataOnly="0" labelOnly="1" outline="0" axis="axisRow" fieldPosition="4"/>
    </format>
    <format dxfId="2502">
      <pivotArea field="18" type="button" dataOnly="0" labelOnly="1" outline="0" axis="axisRow" fieldPosition="5"/>
    </format>
    <format dxfId="2501">
      <pivotArea field="5" type="button" dataOnly="0" labelOnly="1" outline="0" axis="axisRow" fieldPosition="6"/>
    </format>
    <format dxfId="2500">
      <pivotArea field="9" type="button" dataOnly="0" labelOnly="1" outline="0" axis="axisRow" fieldPosition="7"/>
    </format>
    <format dxfId="2499">
      <pivotArea field="3" type="button" dataOnly="0" labelOnly="1" outline="0" axis="axisRow" fieldPosition="8"/>
    </format>
    <format dxfId="2498">
      <pivotArea field="7" type="button" dataOnly="0" labelOnly="1" outline="0" axis="axisRow" fieldPosition="9"/>
    </format>
    <format dxfId="2497">
      <pivotArea field="1" type="button" dataOnly="0" labelOnly="1" outline="0" axis="axisRow" fieldPosition="10"/>
    </format>
    <format dxfId="2496">
      <pivotArea dataOnly="0" labelOnly="1" outline="0" axis="axisValues" fieldPosition="0"/>
    </format>
    <format dxfId="249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4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49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49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49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248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24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7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7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6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5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2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43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43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2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2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2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2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41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13">
      <pivotArea dataOnly="0" labelOnly="1" outline="0" fieldPosition="0">
        <references count="7">
          <reference field="0" count="1" selected="0">
            <x v="0"/>
          </reference>
          <reference field="5" count="1">
            <x v="20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12">
      <pivotArea dataOnly="0" labelOnly="1" outline="0" fieldPosition="0">
        <references count="7">
          <reference field="0" count="1" selected="0">
            <x v="0"/>
          </reference>
          <reference field="5" count="1">
            <x v="57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11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10">
      <pivotArea dataOnly="0" labelOnly="1" outline="0" fieldPosition="0">
        <references count="7">
          <reference field="0" count="1" selected="0">
            <x v="12"/>
          </reference>
          <reference field="5" count="2">
            <x v="7852"/>
            <x v="78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09">
      <pivotArea dataOnly="0" labelOnly="1" outline="0" fieldPosition="0">
        <references count="7">
          <reference field="0" count="1" selected="0">
            <x v="12"/>
          </reference>
          <reference field="5" count="1">
            <x v="78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08">
      <pivotArea dataOnly="0" labelOnly="1" outline="0" fieldPosition="0">
        <references count="7">
          <reference field="0" count="1" selected="0">
            <x v="12"/>
          </reference>
          <reference field="5" count="1">
            <x v="78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07">
      <pivotArea dataOnly="0" labelOnly="1" outline="0" fieldPosition="0">
        <references count="7">
          <reference field="0" count="1" selected="0">
            <x v="13"/>
          </reference>
          <reference field="5" count="2">
            <x v="7248"/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06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5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04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3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02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1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0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9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98">
      <pivotArea dataOnly="0" labelOnly="1" outline="0" fieldPosition="0">
        <references count="7">
          <reference field="0" count="1" selected="0">
            <x v="14"/>
          </reference>
          <reference field="5" count="1">
            <x v="618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97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6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95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94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9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92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1">
      <pivotArea dataOnly="0" labelOnly="1" outline="0" fieldPosition="0">
        <references count="7">
          <reference field="0" count="1" selected="0">
            <x v="15"/>
          </reference>
          <reference field="5" count="2">
            <x v="7842"/>
            <x v="78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0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89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88">
      <pivotArea dataOnly="0" labelOnly="1" outline="0" fieldPosition="0">
        <references count="7">
          <reference field="0" count="1" selected="0">
            <x v="15"/>
          </reference>
          <reference field="5" count="1">
            <x v="7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8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70">
      <pivotArea dataOnly="0" labelOnly="1" outline="0" fieldPosition="0">
        <references count="9">
          <reference field="0" count="1" selected="0">
            <x v="0"/>
          </reference>
          <reference field="3" count="1">
            <x v="7322"/>
          </reference>
          <reference field="5" count="1" selected="0">
            <x v="20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69">
      <pivotArea dataOnly="0" labelOnly="1" outline="0" fieldPosition="0">
        <references count="9">
          <reference field="0" count="1" selected="0">
            <x v="0"/>
          </reference>
          <reference field="3" count="1">
            <x v="7323"/>
          </reference>
          <reference field="5" count="1" selected="0">
            <x v="5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68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67">
      <pivotArea dataOnly="0" labelOnly="1" outline="0" fieldPosition="0">
        <references count="9">
          <reference field="0" count="1" selected="0">
            <x v="12"/>
          </reference>
          <reference field="3" count="1">
            <x v="7903"/>
          </reference>
          <reference field="5" count="1" selected="0">
            <x v="785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66">
      <pivotArea dataOnly="0" labelOnly="1" outline="0" fieldPosition="0">
        <references count="9">
          <reference field="0" count="1" selected="0">
            <x v="12"/>
          </reference>
          <reference field="3" count="1">
            <x v="7904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1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0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59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61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56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55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54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53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52">
      <pivotArea dataOnly="0" labelOnly="1" outline="0" fieldPosition="0">
        <references count="9">
          <reference field="0" count="1" selected="0">
            <x v="15"/>
          </reference>
          <reference field="3" count="2">
            <x v="7712"/>
            <x v="7898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0">
      <pivotArea dataOnly="0" labelOnly="1" outline="0" fieldPosition="0">
        <references count="9">
          <reference field="0" count="1" selected="0">
            <x v="15"/>
          </reference>
          <reference field="3" count="1">
            <x v="7897"/>
          </reference>
          <reference field="5" count="1" selected="0">
            <x v="78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9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47">
      <pivotArea dataOnly="0" labelOnly="1" outline="0" fieldPosition="0">
        <references count="9">
          <reference field="0" count="1" selected="0">
            <x v="15"/>
          </reference>
          <reference field="3" count="1">
            <x v="7845"/>
          </reference>
          <reference field="5" count="1" selected="0">
            <x v="7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4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22"/>
          </reference>
          <reference field="5" count="1" selected="0">
            <x v="2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3"/>
          </reference>
          <reference field="5" count="1" selected="0">
            <x v="7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61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7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5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26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25">
      <pivotArea dataOnly="0" labelOnly="1" outline="0" fieldPosition="0">
        <references count="11">
          <reference field="0" count="1" selected="0">
            <x v="7"/>
          </reference>
          <reference field="1" count="1">
            <x v="7674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24">
      <pivotArea dataOnly="0" labelOnly="1" outline="0" fieldPosition="0">
        <references count="11">
          <reference field="0" count="1" selected="0">
            <x v="12"/>
          </reference>
          <reference field="1" count="1">
            <x v="7702"/>
          </reference>
          <reference field="3" count="1" selected="0">
            <x v="7903"/>
          </reference>
          <reference field="5" count="1" selected="0">
            <x v="7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3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22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1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20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9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8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2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17">
      <pivotArea dataOnly="0" labelOnly="1" outline="0" fieldPosition="0">
        <references count="11">
          <reference field="0" count="1" selected="0">
            <x v="14"/>
          </reference>
          <reference field="1" count="1">
            <x v="7699"/>
          </reference>
          <reference field="3" count="1" selected="0">
            <x v="7324"/>
          </reference>
          <reference field="5" count="1" selected="0">
            <x v="618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16">
      <pivotArea dataOnly="0" labelOnly="1" outline="0" fieldPosition="0">
        <references count="11">
          <reference field="0" count="1" selected="0">
            <x v="14"/>
          </reference>
          <reference field="1" count="1">
            <x v="7697"/>
          </reference>
          <reference field="3" count="1" selected="0">
            <x v="7899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15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14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13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12">
      <pivotArea dataOnly="0" labelOnly="1" outline="0" fieldPosition="0">
        <references count="11">
          <reference field="0" count="1" selected="0">
            <x v="15"/>
          </reference>
          <reference field="1" count="1">
            <x v="7679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1">
      <pivotArea dataOnly="0" labelOnly="1" outline="0" fieldPosition="0">
        <references count="11">
          <reference field="0" count="1" selected="0">
            <x v="15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10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2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09">
      <pivotArea outline="0" collapsedLevelsAreSubtotals="1" fieldPosition="0"/>
    </format>
    <format dxfId="2308">
      <pivotArea dataOnly="0" labelOnly="1" outline="0" axis="axisValues" fieldPosition="0"/>
    </format>
    <format dxfId="2307">
      <pivotArea dataOnly="0" outline="0" fieldPosition="0">
        <references count="1">
          <reference field="12" count="0" defaultSubtotal="1"/>
        </references>
      </pivotArea>
    </format>
    <format dxfId="2306">
      <pivotArea outline="0" collapsedLevelsAreSubtotals="1" fieldPosition="0"/>
    </format>
    <format dxfId="2305">
      <pivotArea dataOnly="0" labelOnly="1" outline="0" axis="axisValues" fieldPosition="0"/>
    </format>
    <format dxfId="2304">
      <pivotArea outline="0" collapsedLevelsAreSubtotals="1" fieldPosition="0"/>
    </format>
    <format dxfId="2303">
      <pivotArea dataOnly="0" labelOnly="1" outline="0" axis="axisValues" fieldPosition="0"/>
    </format>
    <format dxfId="2302">
      <pivotArea dataOnly="0" labelOnly="1" outline="0" axis="axisValues" fieldPosition="0"/>
    </format>
    <format dxfId="2301">
      <pivotArea outline="0" collapsedLevelsAreSubtotals="1" fieldPosition="0"/>
    </format>
    <format dxfId="2300">
      <pivotArea field="12" type="button" dataOnly="0" labelOnly="1" outline="0" axis="axisRow" fieldPosition="2"/>
    </format>
    <format dxfId="2299">
      <pivotArea field="10" type="button" dataOnly="0" labelOnly="1" outline="0" axis="axisRow" fieldPosition="3"/>
    </format>
    <format dxfId="2298">
      <pivotArea field="16" type="button" dataOnly="0" labelOnly="1" outline="0" axis="axisRow" fieldPosition="4"/>
    </format>
    <format dxfId="2297">
      <pivotArea field="18" type="button" dataOnly="0" labelOnly="1" outline="0" axis="axisRow" fieldPosition="5"/>
    </format>
    <format dxfId="2296">
      <pivotArea field="5" type="button" dataOnly="0" labelOnly="1" outline="0" axis="axisRow" fieldPosition="6"/>
    </format>
    <format dxfId="2295">
      <pivotArea field="9" type="button" dataOnly="0" labelOnly="1" outline="0" axis="axisRow" fieldPosition="7"/>
    </format>
    <format dxfId="2294">
      <pivotArea field="3" type="button" dataOnly="0" labelOnly="1" outline="0" axis="axisRow" fieldPosition="8"/>
    </format>
    <format dxfId="2293">
      <pivotArea field="7" type="button" dataOnly="0" labelOnly="1" outline="0" axis="axisRow" fieldPosition="9"/>
    </format>
    <format dxfId="2292">
      <pivotArea field="1" type="button" dataOnly="0" labelOnly="1" outline="0" axis="axisRow" fieldPosition="10"/>
    </format>
    <format dxfId="2291">
      <pivotArea dataOnly="0" labelOnly="1" outline="0" axis="axisValues" fieldPosition="0"/>
    </format>
    <format dxfId="2290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228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228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28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2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228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22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22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2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6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2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2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2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2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2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2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2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29"/>
          </reference>
        </references>
      </pivotArea>
    </format>
    <format dxfId="22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2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219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98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97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96">
      <pivotArea dataOnly="0" labelOnly="1" outline="0" fieldPosition="0">
        <references count="7">
          <reference field="0" count="1" selected="0">
            <x v="12"/>
          </reference>
          <reference field="5" count="1">
            <x v="78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95">
      <pivotArea dataOnly="0" labelOnly="1" outline="0" fieldPosition="0">
        <references count="7">
          <reference field="0" count="1" selected="0">
            <x v="12"/>
          </reference>
          <reference field="5" count="2">
            <x v="886"/>
            <x v="78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94">
      <pivotArea dataOnly="0" labelOnly="1" outline="0" fieldPosition="0">
        <references count="7">
          <reference field="0" count="1" selected="0">
            <x v="13"/>
          </reference>
          <reference field="5" count="2">
            <x v="7248"/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93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2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90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9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88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7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86">
      <pivotArea dataOnly="0" labelOnly="1" outline="0" fieldPosition="0">
        <references count="7">
          <reference field="0" count="1" selected="0">
            <x v="14"/>
          </reference>
          <reference field="5" count="1">
            <x v="345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185">
      <pivotArea dataOnly="0" labelOnly="1" outline="0" fieldPosition="0">
        <references count="7">
          <reference field="0" count="1" selected="0">
            <x v="14"/>
          </reference>
          <reference field="5" count="1">
            <x v="276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84">
      <pivotArea dataOnly="0" labelOnly="1" outline="0" fieldPosition="0">
        <references count="7">
          <reference field="0" count="1" selected="0">
            <x v="14"/>
          </reference>
          <reference field="5" count="1">
            <x v="622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83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182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81">
      <pivotArea dataOnly="0" labelOnly="1" outline="0" fieldPosition="0">
        <references count="7">
          <reference field="0" count="1" selected="0">
            <x v="14"/>
          </reference>
          <reference field="5" count="1">
            <x v="513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80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179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78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7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76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175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4">
      <pivotArea dataOnly="0" labelOnly="1" outline="0" fieldPosition="0">
        <references count="7">
          <reference field="0" count="1" selected="0">
            <x v="15"/>
          </reference>
          <reference field="5" count="2">
            <x v="7842"/>
            <x v="78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3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72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71">
      <pivotArea dataOnly="0" labelOnly="1" outline="0" fieldPosition="0">
        <references count="7">
          <reference field="0" count="1" selected="0">
            <x v="15"/>
          </reference>
          <reference field="5" count="1">
            <x v="7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70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169">
      <pivotArea dataOnly="0" labelOnly="1" outline="0" fieldPosition="0">
        <references count="7">
          <reference field="0" count="1" selected="0">
            <x v="15"/>
          </reference>
          <reference field="5" count="1">
            <x v="11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168">
      <pivotArea dataOnly="0" labelOnly="1" outline="0" fieldPosition="0">
        <references count="7">
          <reference field="0" count="1" selected="0">
            <x v="15"/>
          </reference>
          <reference field="5" count="1">
            <x v="21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167">
      <pivotArea dataOnly="0" labelOnly="1" outline="0" fieldPosition="0">
        <references count="7">
          <reference field="0" count="1" selected="0">
            <x v="15"/>
          </reference>
          <reference field="5" count="1">
            <x v="78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1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1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44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43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42">
      <pivotArea dataOnly="0" labelOnly="1" outline="0" fieldPosition="0">
        <references count="9">
          <reference field="0" count="1" selected="0">
            <x v="12"/>
          </reference>
          <reference field="3" count="1">
            <x v="7909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37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345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136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27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34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133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32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131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30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29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28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27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126">
      <pivotArea dataOnly="0" labelOnly="1" outline="0" fieldPosition="0">
        <references count="9">
          <reference field="0" count="1" selected="0">
            <x v="15"/>
          </reference>
          <reference field="3" count="1">
            <x v="7898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4">
      <pivotArea dataOnly="0" labelOnly="1" outline="0" fieldPosition="0">
        <references count="9">
          <reference field="0" count="1" selected="0">
            <x v="15"/>
          </reference>
          <reference field="3" count="1">
            <x v="7897"/>
          </reference>
          <reference field="5" count="1" selected="0">
            <x v="78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3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21">
      <pivotArea dataOnly="0" labelOnly="1" outline="0" fieldPosition="0">
        <references count="9">
          <reference field="0" count="1" selected="0">
            <x v="15"/>
          </reference>
          <reference field="3" count="1">
            <x v="7845"/>
          </reference>
          <reference field="5" count="1" selected="0">
            <x v="7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20">
      <pivotArea dataOnly="0" labelOnly="1" outline="0" fieldPosition="0">
        <references count="9">
          <reference field="0" count="1" selected="0">
            <x v="15"/>
          </reference>
          <reference field="3" count="1">
            <x v="7824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119">
      <pivotArea dataOnly="0" labelOnly="1" outline="0" fieldPosition="0">
        <references count="9">
          <reference field="0" count="1" selected="0">
            <x v="15"/>
          </reference>
          <reference field="3" count="1">
            <x v="7907"/>
          </reference>
          <reference field="5" count="1" selected="0">
            <x v="112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9"/>
          </reference>
          <reference field="5" count="1" selected="0">
            <x v="78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6"/>
          </reference>
          <reference field="5" count="1" selected="0">
            <x v="34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2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8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7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5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95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4">
      <pivotArea dataOnly="0" labelOnly="1" outline="0" fieldPosition="0">
        <references count="11">
          <reference field="0" count="1" selected="0">
            <x v="7"/>
          </reference>
          <reference field="1" count="1">
            <x v="7714"/>
          </reference>
          <reference field="3" count="1" selected="0">
            <x v="7681"/>
          </reference>
          <reference field="5" count="1" selected="0">
            <x v="76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93">
      <pivotArea dataOnly="0" labelOnly="1" outline="0" fieldPosition="0">
        <references count="11">
          <reference field="0" count="1" selected="0">
            <x v="7"/>
          </reference>
          <reference field="1" count="1">
            <x v="7674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92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91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0">
      <pivotArea dataOnly="0" labelOnly="1" outline="0" fieldPosition="0">
        <references count="11">
          <reference field="0" count="1" selected="0">
            <x v="13"/>
          </reference>
          <reference field="1" count="1">
            <x v="7713"/>
          </reference>
          <reference field="3" count="1" selected="0">
            <x v="0"/>
          </reference>
          <reference field="5" count="1" selected="0">
            <x v="75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9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88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7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6">
      <pivotArea dataOnly="0" labelOnly="1" outline="0" fieldPosition="0">
        <references count="11">
          <reference field="0" count="1" selected="0">
            <x v="14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62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5">
      <pivotArea dataOnly="0" labelOnly="1" outline="0" fieldPosition="0">
        <references count="11">
          <reference field="0" count="1" selected="0">
            <x v="14"/>
          </reference>
          <reference field="1" count="1">
            <x v="7697"/>
          </reference>
          <reference field="3" count="1" selected="0">
            <x v="7899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4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83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82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81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908"/>
          </reference>
          <reference field="5" count="1" selected="0">
            <x v="23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80">
      <pivotArea dataOnly="0" labelOnly="1" outline="0" fieldPosition="0">
        <references count="11">
          <reference field="0" count="1" selected="0">
            <x v="15"/>
          </reference>
          <reference field="1" count="1">
            <x v="7679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9">
      <pivotArea dataOnly="0" labelOnly="1" outline="0" fieldPosition="0">
        <references count="11">
          <reference field="0" count="1" selected="0">
            <x v="15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78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2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77">
      <pivotArea dataOnly="0" labelOnly="1" outline="0" fieldPosition="0">
        <references count="11">
          <reference field="0" count="1" selected="0">
            <x v="15"/>
          </reference>
          <reference field="1" count="1">
            <x v="7602"/>
          </reference>
          <reference field="3" count="1" selected="0">
            <x v="7824"/>
          </reference>
          <reference field="5" count="1" selected="0">
            <x v="38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076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7907"/>
          </reference>
          <reference field="5" count="1" selected="0">
            <x v="11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075">
      <pivotArea outline="0" collapsedLevelsAreSubtotals="1" fieldPosition="0"/>
    </format>
    <format dxfId="2074">
      <pivotArea dataOnly="0" labelOnly="1" outline="0" axis="axisValues" fieldPosition="0"/>
    </format>
    <format dxfId="2073">
      <pivotArea dataOnly="0" outline="0" fieldPosition="0">
        <references count="1">
          <reference field="12" count="0" defaultSubtotal="1"/>
        </references>
      </pivotArea>
    </format>
    <format dxfId="2072">
      <pivotArea outline="0" collapsedLevelsAreSubtotals="1" fieldPosition="0"/>
    </format>
    <format dxfId="2071">
      <pivotArea dataOnly="0" labelOnly="1" outline="0" axis="axisValues" fieldPosition="0"/>
    </format>
    <format dxfId="2070">
      <pivotArea outline="0" collapsedLevelsAreSubtotals="1" fieldPosition="0"/>
    </format>
    <format dxfId="2069">
      <pivotArea dataOnly="0" labelOnly="1" outline="0" axis="axisValues" fieldPosition="0"/>
    </format>
    <format dxfId="2068">
      <pivotArea dataOnly="0" labelOnly="1" outline="0" axis="axisValues" fieldPosition="0"/>
    </format>
    <format dxfId="2067">
      <pivotArea outline="0" collapsedLevelsAreSubtotals="1" fieldPosition="0"/>
    </format>
    <format dxfId="2066">
      <pivotArea field="12" type="button" dataOnly="0" labelOnly="1" outline="0" axis="axisRow" fieldPosition="2"/>
    </format>
    <format dxfId="2065">
      <pivotArea field="10" type="button" dataOnly="0" labelOnly="1" outline="0" axis="axisRow" fieldPosition="3"/>
    </format>
    <format dxfId="2064">
      <pivotArea field="16" type="button" dataOnly="0" labelOnly="1" outline="0" axis="axisRow" fieldPosition="4"/>
    </format>
    <format dxfId="2063">
      <pivotArea field="18" type="button" dataOnly="0" labelOnly="1" outline="0" axis="axisRow" fieldPosition="5"/>
    </format>
    <format dxfId="2062">
      <pivotArea field="5" type="button" dataOnly="0" labelOnly="1" outline="0" axis="axisRow" fieldPosition="6"/>
    </format>
    <format dxfId="2061">
      <pivotArea field="9" type="button" dataOnly="0" labelOnly="1" outline="0" axis="axisRow" fieldPosition="7"/>
    </format>
    <format dxfId="2060">
      <pivotArea field="3" type="button" dataOnly="0" labelOnly="1" outline="0" axis="axisRow" fieldPosition="8"/>
    </format>
    <format dxfId="2059">
      <pivotArea field="7" type="button" dataOnly="0" labelOnly="1" outline="0" axis="axisRow" fieldPosition="9"/>
    </format>
    <format dxfId="2058">
      <pivotArea field="1" type="button" dataOnly="0" labelOnly="1" outline="0" axis="axisRow" fieldPosition="10"/>
    </format>
    <format dxfId="2057">
      <pivotArea dataOnly="0" labelOnly="1" outline="0" axis="axisValues" fieldPosition="0"/>
    </format>
    <format dxfId="2056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20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205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5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204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20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2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9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9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1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9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19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19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19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196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64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63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62">
      <pivotArea dataOnly="0" labelOnly="1" outline="0" fieldPosition="0">
        <references count="7">
          <reference field="0" count="1" selected="0">
            <x v="12"/>
          </reference>
          <reference field="5" count="1">
            <x v="8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1">
      <pivotArea dataOnly="0" labelOnly="1" outline="0" fieldPosition="0">
        <references count="7">
          <reference field="0" count="1" selected="0">
            <x v="13"/>
          </reference>
          <reference field="5" count="2">
            <x v="7248"/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60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9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57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6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5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4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3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52">
      <pivotArea dataOnly="0" labelOnly="1" outline="0" fieldPosition="0">
        <references count="7">
          <reference field="0" count="1" selected="0">
            <x v="14"/>
          </reference>
          <reference field="5" count="1">
            <x v="618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51">
      <pivotArea dataOnly="0" labelOnly="1" outline="0" fieldPosition="0">
        <references count="7">
          <reference field="0" count="1" selected="0">
            <x v="14"/>
          </reference>
          <reference field="5" count="1">
            <x v="622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50">
      <pivotArea dataOnly="0" labelOnly="1" outline="0" fieldPosition="0">
        <references count="7">
          <reference field="0" count="1" selected="0">
            <x v="14"/>
          </reference>
          <reference field="5" count="1">
            <x v="345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949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48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47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46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45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44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43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4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41">
      <pivotArea dataOnly="0" labelOnly="1" outline="0" fieldPosition="0">
        <references count="7">
          <reference field="0" count="1" selected="0">
            <x v="14"/>
          </reference>
          <reference field="5" count="1">
            <x v="174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40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9">
      <pivotArea dataOnly="0" labelOnly="1" outline="0" fieldPosition="0">
        <references count="7">
          <reference field="0" count="1" selected="0">
            <x v="15"/>
          </reference>
          <reference field="5" count="2">
            <x v="7842"/>
            <x v="78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8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37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36">
      <pivotArea dataOnly="0" labelOnly="1" outline="0" fieldPosition="0">
        <references count="7">
          <reference field="0" count="1" selected="0">
            <x v="15"/>
          </reference>
          <reference field="5" count="1">
            <x v="7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35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34">
      <pivotArea dataOnly="0" labelOnly="1" outline="0" fieldPosition="0">
        <references count="7">
          <reference field="0" count="1" selected="0">
            <x v="15"/>
          </reference>
          <reference field="5" count="2">
            <x v="3181"/>
            <x v="78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33">
      <pivotArea dataOnly="0" labelOnly="1" outline="0" fieldPosition="0">
        <references count="7">
          <reference field="0" count="1" selected="0">
            <x v="15"/>
          </reference>
          <reference field="5" count="1">
            <x v="78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932">
      <pivotArea dataOnly="0" labelOnly="1" outline="0" fieldPosition="0">
        <references count="7">
          <reference field="0" count="1" selected="0">
            <x v="15"/>
          </reference>
          <reference field="5" count="1">
            <x v="78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31">
      <pivotArea dataOnly="0" labelOnly="1" outline="0" fieldPosition="0">
        <references count="7">
          <reference field="0" count="1" selected="0">
            <x v="15"/>
          </reference>
          <reference field="5" count="1">
            <x v="462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930">
      <pivotArea dataOnly="0" labelOnly="1" outline="0" fieldPosition="0">
        <references count="7">
          <reference field="0" count="1" selected="0">
            <x v="15"/>
          </reference>
          <reference field="5" count="1">
            <x v="197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929">
      <pivotArea dataOnly="0" labelOnly="1" outline="0" fieldPosition="0">
        <references count="7">
          <reference field="0" count="1" selected="0">
            <x v="15"/>
          </reference>
          <reference field="5" count="1">
            <x v="78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28">
      <pivotArea dataOnly="0" labelOnly="1" outline="0" fieldPosition="0">
        <references count="7">
          <reference field="0" count="1" selected="0">
            <x v="15"/>
          </reference>
          <reference field="5" count="1">
            <x v="78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27">
      <pivotArea dataOnly="0" labelOnly="1" outline="0" fieldPosition="0">
        <references count="7">
          <reference field="0" count="1" selected="0">
            <x v="15"/>
          </reference>
          <reference field="5" count="1">
            <x v="77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4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06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05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01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99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61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97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345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95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94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93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92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0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89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88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87">
      <pivotArea dataOnly="0" labelOnly="1" outline="0" fieldPosition="0">
        <references count="9">
          <reference field="0" count="1" selected="0">
            <x v="15"/>
          </reference>
          <reference field="3" count="1">
            <x v="7898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5">
      <pivotArea dataOnly="0" labelOnly="1" outline="0" fieldPosition="0">
        <references count="9">
          <reference field="0" count="1" selected="0">
            <x v="15"/>
          </reference>
          <reference field="3" count="1">
            <x v="7897"/>
          </reference>
          <reference field="5" count="1" selected="0">
            <x v="78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4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82">
      <pivotArea dataOnly="0" labelOnly="1" outline="0" fieldPosition="0">
        <references count="9">
          <reference field="0" count="1" selected="0">
            <x v="15"/>
          </reference>
          <reference field="3" count="1">
            <x v="7845"/>
          </reference>
          <reference field="5" count="1" selected="0">
            <x v="7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81">
      <pivotArea dataOnly="0" labelOnly="1" outline="0" fieldPosition="0">
        <references count="9">
          <reference field="0" count="1" selected="0">
            <x v="15"/>
          </reference>
          <reference field="3" count="1">
            <x v="7844"/>
          </reference>
          <reference field="5" count="1" selected="0">
            <x v="197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880">
      <pivotArea dataOnly="0" labelOnly="1" outline="0" fieldPosition="0">
        <references count="9">
          <reference field="0" count="1" selected="0">
            <x v="15"/>
          </reference>
          <reference field="3" count="1">
            <x v="7910"/>
          </reference>
          <reference field="5" count="1" selected="0">
            <x v="786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78">
      <pivotArea dataOnly="0" labelOnly="1" outline="0" fieldPosition="0">
        <references count="9">
          <reference field="0" count="1" selected="0">
            <x v="15"/>
          </reference>
          <reference field="3" count="1">
            <x v="7746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61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6"/>
          </reference>
          <reference field="5" count="1" selected="0">
            <x v="34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6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8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7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5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4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8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6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0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49">
      <pivotArea dataOnly="0" labelOnly="1" outline="0" fieldPosition="0">
        <references count="11">
          <reference field="0" count="1" selected="0">
            <x v="7"/>
          </reference>
          <reference field="1" count="1">
            <x v="7674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48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47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6">
      <pivotArea dataOnly="0" labelOnly="1" outline="0" fieldPosition="0">
        <references count="11">
          <reference field="0" count="1" selected="0">
            <x v="13"/>
          </reference>
          <reference field="1" count="1">
            <x v="7713"/>
          </reference>
          <reference field="3" count="1" selected="0">
            <x v="0"/>
          </reference>
          <reference field="5" count="1" selected="0">
            <x v="75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5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44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3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2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2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41">
      <pivotArea dataOnly="0" labelOnly="1" outline="0" fieldPosition="0">
        <references count="11">
          <reference field="0" count="1" selected="0">
            <x v="14"/>
          </reference>
          <reference field="1" count="1">
            <x v="7699"/>
          </reference>
          <reference field="3" count="1" selected="0">
            <x v="7324"/>
          </reference>
          <reference field="5" count="1" selected="0">
            <x v="618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40">
      <pivotArea dataOnly="0" labelOnly="1" outline="0" fieldPosition="0">
        <references count="11">
          <reference field="0" count="1" selected="0">
            <x v="14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62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39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911"/>
          </reference>
          <reference field="5" count="1" selected="0">
            <x v="7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38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37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6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35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34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33">
      <pivotArea dataOnly="0" labelOnly="1" outline="0" fieldPosition="0">
        <references count="11">
          <reference field="0" count="1" selected="0">
            <x v="15"/>
          </reference>
          <reference field="1" count="1">
            <x v="7679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2">
      <pivotArea dataOnly="0" labelOnly="1" outline="0" fieldPosition="0">
        <references count="11">
          <reference field="0" count="1" selected="0">
            <x v="15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31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2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30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29">
      <pivotArea dataOnly="0" labelOnly="1" outline="0" fieldPosition="0">
        <references count="11">
          <reference field="0" count="1" selected="0">
            <x v="15"/>
          </reference>
          <reference field="1" count="1">
            <x v="7637"/>
          </reference>
          <reference field="3" count="1" selected="0">
            <x v="7844"/>
          </reference>
          <reference field="5" count="1" selected="0">
            <x v="19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828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27">
      <pivotArea outline="0" collapsedLevelsAreSubtotals="1" fieldPosition="0"/>
    </format>
    <format dxfId="1826">
      <pivotArea dataOnly="0" labelOnly="1" outline="0" axis="axisValues" fieldPosition="0"/>
    </format>
    <format dxfId="1825">
      <pivotArea dataOnly="0" outline="0" fieldPosition="0">
        <references count="1">
          <reference field="12" count="0" defaultSubtotal="1"/>
        </references>
      </pivotArea>
    </format>
    <format dxfId="1824">
      <pivotArea outline="0" collapsedLevelsAreSubtotals="1" fieldPosition="0"/>
    </format>
    <format dxfId="1823">
      <pivotArea dataOnly="0" labelOnly="1" outline="0" axis="axisValues" fieldPosition="0"/>
    </format>
    <format dxfId="1822">
      <pivotArea outline="0" collapsedLevelsAreSubtotals="1" fieldPosition="0"/>
    </format>
    <format dxfId="1821">
      <pivotArea dataOnly="0" labelOnly="1" outline="0" axis="axisValues" fieldPosition="0"/>
    </format>
    <format dxfId="1820">
      <pivotArea dataOnly="0" labelOnly="1" outline="0" axis="axisValues" fieldPosition="0"/>
    </format>
    <format dxfId="1819">
      <pivotArea outline="0" collapsedLevelsAreSubtotals="1" fieldPosition="0"/>
    </format>
    <format dxfId="1818">
      <pivotArea field="12" type="button" dataOnly="0" labelOnly="1" outline="0" axis="axisRow" fieldPosition="2"/>
    </format>
    <format dxfId="1817">
      <pivotArea field="10" type="button" dataOnly="0" labelOnly="1" outline="0" axis="axisRow" fieldPosition="3"/>
    </format>
    <format dxfId="1816">
      <pivotArea field="16" type="button" dataOnly="0" labelOnly="1" outline="0" axis="axisRow" fieldPosition="4"/>
    </format>
    <format dxfId="1815">
      <pivotArea field="18" type="button" dataOnly="0" labelOnly="1" outline="0" axis="axisRow" fieldPosition="5"/>
    </format>
    <format dxfId="1814">
      <pivotArea field="5" type="button" dataOnly="0" labelOnly="1" outline="0" axis="axisRow" fieldPosition="6"/>
    </format>
    <format dxfId="1813">
      <pivotArea field="9" type="button" dataOnly="0" labelOnly="1" outline="0" axis="axisRow" fieldPosition="7"/>
    </format>
    <format dxfId="1812">
      <pivotArea field="3" type="button" dataOnly="0" labelOnly="1" outline="0" axis="axisRow" fieldPosition="8"/>
    </format>
    <format dxfId="1811">
      <pivotArea field="7" type="button" dataOnly="0" labelOnly="1" outline="0" axis="axisRow" fieldPosition="9"/>
    </format>
    <format dxfId="1810">
      <pivotArea field="1" type="button" dataOnly="0" labelOnly="1" outline="0" axis="axisRow" fieldPosition="10"/>
    </format>
    <format dxfId="1809">
      <pivotArea dataOnly="0" labelOnly="1" outline="0" axis="axisValues" fieldPosition="0"/>
    </format>
    <format dxfId="180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8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80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0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0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79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7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6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7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17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17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7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1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1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1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1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7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17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170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07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06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53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05">
      <pivotArea dataOnly="0" labelOnly="1" outline="0" fieldPosition="0">
        <references count="7">
          <reference field="0" count="1" selected="0">
            <x v="11"/>
          </reference>
          <reference field="5" count="1">
            <x v="62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704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3">
      <pivotArea dataOnly="0" labelOnly="1" outline="0" fieldPosition="0">
        <references count="7">
          <reference field="0" count="1" selected="0">
            <x v="11"/>
          </reference>
          <reference field="5" count="1">
            <x v="71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02">
      <pivotArea dataOnly="0" labelOnly="1" outline="0" fieldPosition="0">
        <references count="7">
          <reference field="0" count="1" selected="0">
            <x v="11"/>
          </reference>
          <reference field="5" count="1">
            <x v="515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01">
      <pivotArea dataOnly="0" labelOnly="1" outline="0" fieldPosition="0">
        <references count="7">
          <reference field="0" count="1" selected="0">
            <x v="12"/>
          </reference>
          <reference field="5" count="2">
            <x v="6017"/>
            <x v="78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0">
      <pivotArea dataOnly="0" labelOnly="1" outline="0" fieldPosition="0">
        <references count="7">
          <reference field="0" count="1" selected="0">
            <x v="12"/>
          </reference>
          <reference field="5" count="4">
            <x v="7872"/>
            <x v="7873"/>
            <x v="7876"/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9">
      <pivotArea dataOnly="0" labelOnly="1" outline="0" fieldPosition="0">
        <references count="7">
          <reference field="0" count="1" selected="0">
            <x v="12"/>
          </reference>
          <reference field="5" count="1">
            <x v="78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98">
      <pivotArea dataOnly="0" labelOnly="1" outline="0" fieldPosition="0">
        <references count="7">
          <reference field="0" count="1" selected="0">
            <x v="12"/>
          </reference>
          <reference field="5" count="1">
            <x v="78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697">
      <pivotArea dataOnly="0" labelOnly="1" outline="0" fieldPosition="0">
        <references count="7">
          <reference field="0" count="1" selected="0">
            <x v="13"/>
          </reference>
          <reference field="5" count="2">
            <x v="7248"/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96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5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93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2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1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90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9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8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7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86">
      <pivotArea dataOnly="0" labelOnly="1" outline="0" fieldPosition="0">
        <references count="7">
          <reference field="0" count="1" selected="0">
            <x v="14"/>
          </reference>
          <reference field="5" count="1">
            <x v="233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85">
      <pivotArea dataOnly="0" labelOnly="1" outline="0" fieldPosition="0">
        <references count="7">
          <reference field="0" count="1" selected="0">
            <x v="14"/>
          </reference>
          <reference field="5" count="1">
            <x v="622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84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683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2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81">
      <pivotArea dataOnly="0" labelOnly="1" outline="0" fieldPosition="0">
        <references count="7">
          <reference field="0" count="1" selected="0">
            <x v="14"/>
          </reference>
          <reference field="5" count="1">
            <x v="513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80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79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78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77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7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75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4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3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72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71">
      <pivotArea dataOnly="0" labelOnly="1" outline="0" fieldPosition="0">
        <references count="7">
          <reference field="0" count="1" selected="0">
            <x v="15"/>
          </reference>
          <reference field="5" count="1">
            <x v="7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670">
      <pivotArea dataOnly="0" labelOnly="1" outline="0" fieldPosition="0">
        <references count="7">
          <reference field="0" count="1" selected="0">
            <x v="15"/>
          </reference>
          <reference field="5" count="1">
            <x v="78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9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68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6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6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3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6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40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39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38">
      <pivotArea dataOnly="0" labelOnly="1" outline="0" fieldPosition="0">
        <references count="9">
          <reference field="0" count="1" selected="0">
            <x v="11"/>
          </reference>
          <reference field="3" count="1">
            <x v="7839"/>
          </reference>
          <reference field="5" count="1" selected="0">
            <x v="5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37">
      <pivotArea dataOnly="0" labelOnly="1" outline="0" fieldPosition="0">
        <references count="9">
          <reference field="0" count="1" selected="0">
            <x v="11"/>
          </reference>
          <reference field="3" count="1">
            <x v="7841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636">
      <pivotArea dataOnly="0" labelOnly="1" outline="0" fieldPosition="0">
        <references count="9">
          <reference field="0" count="1" selected="0">
            <x v="11"/>
          </reference>
          <reference field="3" count="1">
            <x v="7840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5">
      <pivotArea dataOnly="0" labelOnly="1" outline="0" fieldPosition="0">
        <references count="9">
          <reference field="0" count="1" selected="0">
            <x v="11"/>
          </reference>
          <reference field="3" count="1">
            <x v="7505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34">
      <pivotArea dataOnly="0" labelOnly="1" outline="0" fieldPosition="0">
        <references count="9">
          <reference field="0" count="1" selected="0">
            <x v="11"/>
          </reference>
          <reference field="3" count="1">
            <x v="7737"/>
          </reference>
          <reference field="5" count="1" selected="0">
            <x v="51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32">
      <pivotArea dataOnly="0" labelOnly="1" outline="0" fieldPosition="0">
        <references count="9">
          <reference field="0" count="1" selected="0">
            <x v="12"/>
          </reference>
          <reference field="3" count="1">
            <x v="7917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1">
      <pivotArea dataOnly="0" labelOnly="1" outline="0" fieldPosition="0">
        <references count="9">
          <reference field="0" count="1" selected="0">
            <x v="12"/>
          </reference>
          <reference field="3" count="1">
            <x v="7916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0">
      <pivotArea dataOnly="0" labelOnly="1" outline="0" fieldPosition="0">
        <references count="9">
          <reference field="0" count="1" selected="0">
            <x v="12"/>
          </reference>
          <reference field="3" count="1">
            <x v="7918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9">
      <pivotArea dataOnly="0" labelOnly="1" outline="0" fieldPosition="0">
        <references count="9">
          <reference field="0" count="1" selected="0">
            <x v="12"/>
          </reference>
          <reference field="3" count="1">
            <x v="7919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25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23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22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233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61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8">
      <pivotArea dataOnly="0" labelOnly="1" outline="0" fieldPosition="0">
        <references count="9">
          <reference field="0" count="1" selected="0">
            <x v="14"/>
          </reference>
          <reference field="3" count="1">
            <x v="7835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6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15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4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3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12">
      <pivotArea dataOnly="0" labelOnly="1" outline="0" fieldPosition="0">
        <references count="9">
          <reference field="0" count="1" selected="0">
            <x v="15"/>
          </reference>
          <reference field="3" count="1">
            <x v="7898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1">
      <pivotArea dataOnly="0" labelOnly="1" outline="0" fieldPosition="0">
        <references count="9">
          <reference field="0" count="1" selected="0">
            <x v="15"/>
          </reference>
          <reference field="3" count="1">
            <x v="7897"/>
          </reference>
          <reference field="5" count="1" selected="0">
            <x v="78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0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08">
      <pivotArea dataOnly="0" labelOnly="1" outline="0" fieldPosition="0">
        <references count="9">
          <reference field="0" count="1" selected="0">
            <x v="15"/>
          </reference>
          <reference field="3" count="1">
            <x v="7845"/>
          </reference>
          <reference field="5" count="1" selected="0">
            <x v="7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607">
      <pivotArea dataOnly="0" labelOnly="1" outline="0" fieldPosition="0">
        <references count="9">
          <reference field="0" count="1" selected="0">
            <x v="15"/>
          </reference>
          <reference field="3" count="1">
            <x v="7910"/>
          </reference>
          <reference field="5" count="1" selected="0">
            <x v="786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0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19"/>
          </reference>
          <reference field="5" count="1" selected="0">
            <x v="5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0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7"/>
          </reference>
          <reference field="5" count="1" selected="0">
            <x v="5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8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5"/>
          </reference>
          <reference field="5" count="1" selected="0">
            <x v="78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4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8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5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82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81">
      <pivotArea dataOnly="0" labelOnly="1" outline="0" fieldPosition="0">
        <references count="11">
          <reference field="0" count="1" selected="0">
            <x v="7"/>
          </reference>
          <reference field="1" count="1">
            <x v="7674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80">
      <pivotArea dataOnly="0" labelOnly="1" outline="0" fieldPosition="0">
        <references count="11">
          <reference field="0" count="1" selected="0">
            <x v="11"/>
          </reference>
          <reference field="1" count="1">
            <x v="7634"/>
          </reference>
          <reference field="3" count="1" selected="0">
            <x v="7839"/>
          </reference>
          <reference field="5" count="1" selected="0">
            <x v="53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9">
      <pivotArea dataOnly="0" labelOnly="1" outline="0" fieldPosition="0">
        <references count="11">
          <reference field="0" count="1" selected="0">
            <x v="11"/>
          </reference>
          <reference field="1" count="1">
            <x v="7742"/>
          </reference>
          <reference field="3" count="1" selected="0">
            <x v="7737"/>
          </reference>
          <reference field="5" count="1" selected="0">
            <x v="5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8">
      <pivotArea dataOnly="0" labelOnly="1" outline="0" fieldPosition="0">
        <references count="11">
          <reference field="0" count="1" selected="0">
            <x v="12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7">
      <pivotArea dataOnly="0" labelOnly="1" outline="0" fieldPosition="0">
        <references count="11">
          <reference field="0" count="1" selected="0">
            <x v="12"/>
          </reference>
          <reference field="1" count="1">
            <x v="7736"/>
          </reference>
          <reference field="3" count="1" selected="0">
            <x v="7917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6">
      <pivotArea dataOnly="0" labelOnly="1" outline="0" fieldPosition="0">
        <references count="11">
          <reference field="0" count="1" selected="0">
            <x v="12"/>
          </reference>
          <reference field="1" count="1">
            <x v="7739"/>
          </reference>
          <reference field="3" count="1" selected="0">
            <x v="7919"/>
          </reference>
          <reference field="5" count="1" selected="0">
            <x v="78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5">
      <pivotArea dataOnly="0" labelOnly="1" outline="0" fieldPosition="0">
        <references count="11">
          <reference field="0" count="1" selected="0">
            <x v="12"/>
          </reference>
          <reference field="1" count="1">
            <x v="7738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4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73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2">
      <pivotArea dataOnly="0" labelOnly="1" outline="0" fieldPosition="0">
        <references count="11">
          <reference field="0" count="1" selected="0">
            <x v="13"/>
          </reference>
          <reference field="1" count="1">
            <x v="7713"/>
          </reference>
          <reference field="3" count="1" selected="0">
            <x v="0"/>
          </reference>
          <reference field="5" count="1" selected="0">
            <x v="75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70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9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8">
      <pivotArea dataOnly="0" labelOnly="1" outline="0" fieldPosition="0">
        <references count="11">
          <reference field="0" count="1" selected="0">
            <x v="13"/>
          </reference>
          <reference field="1" count="1">
            <x v="7592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7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2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6">
      <pivotArea dataOnly="0" labelOnly="1" outline="0" fieldPosition="0">
        <references count="11">
          <reference field="0" count="1" selected="0">
            <x v="14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62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65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64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914"/>
          </reference>
          <reference field="5" count="1" selected="0">
            <x v="78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63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62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61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60">
      <pivotArea dataOnly="0" labelOnly="1" outline="0" fieldPosition="0">
        <references count="11">
          <reference field="0" count="1" selected="0">
            <x v="15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59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2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58">
      <pivotArea outline="0" collapsedLevelsAreSubtotals="1" fieldPosition="0"/>
    </format>
    <format dxfId="1557">
      <pivotArea dataOnly="0" labelOnly="1" outline="0" axis="axisValues" fieldPosition="0"/>
    </format>
    <format dxfId="1556">
      <pivotArea dataOnly="0" outline="0" fieldPosition="0">
        <references count="1">
          <reference field="12" count="0" defaultSubtotal="1"/>
        </references>
      </pivotArea>
    </format>
    <format dxfId="1555">
      <pivotArea outline="0" collapsedLevelsAreSubtotals="1" fieldPosition="0"/>
    </format>
    <format dxfId="1554">
      <pivotArea dataOnly="0" labelOnly="1" outline="0" axis="axisValues" fieldPosition="0"/>
    </format>
    <format dxfId="1553">
      <pivotArea outline="0" collapsedLevelsAreSubtotals="1" fieldPosition="0"/>
    </format>
    <format dxfId="1552">
      <pivotArea dataOnly="0" labelOnly="1" outline="0" axis="axisValues" fieldPosition="0"/>
    </format>
    <format dxfId="1551">
      <pivotArea dataOnly="0" labelOnly="1" outline="0" axis="axisValues" fieldPosition="0"/>
    </format>
    <format dxfId="1550">
      <pivotArea outline="0" collapsedLevelsAreSubtotals="1" fieldPosition="0"/>
    </format>
    <format dxfId="1549">
      <pivotArea field="12" type="button" dataOnly="0" labelOnly="1" outline="0" axis="axisRow" fieldPosition="2"/>
    </format>
    <format dxfId="1548">
      <pivotArea field="10" type="button" dataOnly="0" labelOnly="1" outline="0" axis="axisRow" fieldPosition="3"/>
    </format>
    <format dxfId="1547">
      <pivotArea field="16" type="button" dataOnly="0" labelOnly="1" outline="0" axis="axisRow" fieldPosition="4"/>
    </format>
    <format dxfId="1546">
      <pivotArea field="18" type="button" dataOnly="0" labelOnly="1" outline="0" axis="axisRow" fieldPosition="5"/>
    </format>
    <format dxfId="1545">
      <pivotArea field="5" type="button" dataOnly="0" labelOnly="1" outline="0" axis="axisRow" fieldPosition="6"/>
    </format>
    <format dxfId="1544">
      <pivotArea field="9" type="button" dataOnly="0" labelOnly="1" outline="0" axis="axisRow" fieldPosition="7"/>
    </format>
    <format dxfId="1543">
      <pivotArea field="3" type="button" dataOnly="0" labelOnly="1" outline="0" axis="axisRow" fieldPosition="8"/>
    </format>
    <format dxfId="1542">
      <pivotArea field="7" type="button" dataOnly="0" labelOnly="1" outline="0" axis="axisRow" fieldPosition="9"/>
    </format>
    <format dxfId="1541">
      <pivotArea field="1" type="button" dataOnly="0" labelOnly="1" outline="0" axis="axisRow" fieldPosition="10"/>
    </format>
    <format dxfId="1540">
      <pivotArea dataOnly="0" labelOnly="1" outline="0" axis="axisValues" fieldPosition="0"/>
    </format>
    <format dxfId="153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53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53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53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5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0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1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4"/>
          </reference>
        </references>
      </pivotArea>
    </format>
    <format dxfId="1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09"/>
          </reference>
        </references>
      </pivotArea>
    </format>
    <format dxfId="1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1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4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14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14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145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0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9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48">
      <pivotArea dataOnly="0" labelOnly="1" outline="0" fieldPosition="0">
        <references count="7">
          <reference field="0" count="1" selected="0">
            <x v="12"/>
          </reference>
          <reference field="5" count="1">
            <x v="7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7">
      <pivotArea dataOnly="0" labelOnly="1" outline="0" fieldPosition="0">
        <references count="7">
          <reference field="0" count="1" selected="0">
            <x v="12"/>
          </reference>
          <reference field="5" count="1">
            <x v="78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6">
      <pivotArea dataOnly="0" labelOnly="1" outline="0" fieldPosition="0">
        <references count="7">
          <reference field="0" count="1" selected="0">
            <x v="12"/>
          </reference>
          <reference field="5" count="1">
            <x v="78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45">
      <pivotArea dataOnly="0" labelOnly="1" outline="0" fieldPosition="0">
        <references count="7">
          <reference field="0" count="1" selected="0">
            <x v="13"/>
          </reference>
          <reference field="5" count="2">
            <x v="7248"/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44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3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41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0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9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38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7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6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35">
      <pivotArea dataOnly="0" labelOnly="1" outline="0" fieldPosition="0">
        <references count="7">
          <reference field="0" count="1" selected="0">
            <x v="14"/>
          </reference>
          <reference field="5" count="1">
            <x v="622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4">
      <pivotArea dataOnly="0" labelOnly="1" outline="0" fieldPosition="0">
        <references count="7">
          <reference field="0" count="1" selected="0">
            <x v="14"/>
          </reference>
          <reference field="5" count="1">
            <x v="276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3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2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1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0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29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28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27">
      <pivotArea dataOnly="0" labelOnly="1" outline="0" fieldPosition="0">
        <references count="7">
          <reference field="0" count="1" selected="0">
            <x v="14"/>
          </reference>
          <reference field="5" count="1">
            <x v="69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6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5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2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23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2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1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20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19">
      <pivotArea dataOnly="0" labelOnly="1" outline="0" fieldPosition="0">
        <references count="7">
          <reference field="0" count="1" selected="0">
            <x v="15"/>
          </reference>
          <reference field="5" count="2">
            <x v="3181"/>
            <x v="78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18">
      <pivotArea dataOnly="0" labelOnly="1" outline="0" fieldPosition="0">
        <references count="7">
          <reference field="0" count="1" selected="0">
            <x v="15"/>
          </reference>
          <reference field="5" count="2">
            <x v="5614"/>
            <x v="78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417">
      <pivotArea dataOnly="0" labelOnly="1" outline="0" fieldPosition="0">
        <references count="7">
          <reference field="0" count="1" selected="0">
            <x v="15"/>
          </reference>
          <reference field="5" count="1">
            <x v="462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416">
      <pivotArea dataOnly="0" labelOnly="1" outline="0" fieldPosition="0">
        <references count="7">
          <reference field="0" count="1" selected="0">
            <x v="15"/>
          </reference>
          <reference field="5" count="1">
            <x v="78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5">
      <pivotArea dataOnly="0" labelOnly="1" outline="0" fieldPosition="0">
        <references count="7">
          <reference field="0" count="1" selected="0">
            <x v="15"/>
          </reference>
          <reference field="5" count="2">
            <x v="2719"/>
            <x v="77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1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90">
      <pivotArea dataOnly="0" labelOnly="1" outline="0" fieldPosition="0">
        <references count="9">
          <reference field="0" count="1" selected="0">
            <x v="12"/>
          </reference>
          <reference field="3" count="1">
            <x v="7742"/>
          </reference>
          <reference field="5" count="1" selected="0">
            <x v="788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87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6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4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27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3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81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80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78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69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6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5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4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73">
      <pivotArea dataOnly="0" labelOnly="1" outline="0" fieldPosition="0">
        <references count="9">
          <reference field="0" count="1" selected="0">
            <x v="15"/>
          </reference>
          <reference field="3" count="1">
            <x v="7898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2">
      <pivotArea dataOnly="0" labelOnly="1" outline="0" fieldPosition="0">
        <references count="9">
          <reference field="0" count="1" selected="0">
            <x v="15"/>
          </reference>
          <reference field="3" count="1">
            <x v="7897"/>
          </reference>
          <reference field="5" count="1" selected="0">
            <x v="78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1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69">
      <pivotArea dataOnly="0" labelOnly="1" outline="0" fieldPosition="0">
        <references count="9">
          <reference field="0" count="1" selected="0">
            <x v="15"/>
          </reference>
          <reference field="3" count="1">
            <x v="7910"/>
          </reference>
          <reference field="5" count="1" selected="0">
            <x v="786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42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6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2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4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6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0"/>
          </reference>
          <reference field="5" count="1" selected="0">
            <x v="69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8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0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44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43">
      <pivotArea dataOnly="0" labelOnly="1" outline="0" fieldPosition="0">
        <references count="11">
          <reference field="0" count="1" selected="0">
            <x v="7"/>
          </reference>
          <reference field="1" count="1">
            <x v="7674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42">
      <pivotArea dataOnly="0" labelOnly="1" outline="0" fieldPosition="0">
        <references count="11">
          <reference field="0" count="1" selected="0">
            <x v="12"/>
          </reference>
          <reference field="1" count="1">
            <x v="7767"/>
          </reference>
          <reference field="3" count="1" selected="0">
            <x v="7742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41">
      <pivotArea dataOnly="0" labelOnly="1" outline="0" fieldPosition="0">
        <references count="11">
          <reference field="0" count="1" selected="0">
            <x v="12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0">
      <pivotArea dataOnly="0" labelOnly="1" outline="0" fieldPosition="0">
        <references count="11">
          <reference field="0" count="1" selected="0">
            <x v="12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9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38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7">
      <pivotArea dataOnly="0" labelOnly="1" outline="0" fieldPosition="0">
        <references count="11">
          <reference field="0" count="1" selected="0">
            <x v="13"/>
          </reference>
          <reference field="1" count="1">
            <x v="7713"/>
          </reference>
          <reference field="3" count="1" selected="0">
            <x v="0"/>
          </reference>
          <reference field="5" count="1" selected="0">
            <x v="75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6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35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4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3">
      <pivotArea dataOnly="0" labelOnly="1" outline="0" fieldPosition="0">
        <references count="11">
          <reference field="0" count="1" selected="0">
            <x v="13"/>
          </reference>
          <reference field="1" count="1">
            <x v="7592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2">
      <pivotArea dataOnly="0" labelOnly="1" outline="0" fieldPosition="0">
        <references count="11">
          <reference field="0" count="1" selected="0">
            <x v="14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62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1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914"/>
          </reference>
          <reference field="5" count="1" selected="0">
            <x v="78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30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29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8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920"/>
          </reference>
          <reference field="5" count="1" selected="0">
            <x v="6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7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6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5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24">
      <pivotArea dataOnly="0" labelOnly="1" outline="0" fieldPosition="0">
        <references count="11">
          <reference field="0" count="1" selected="0">
            <x v="15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23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2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22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21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0"/>
          </reference>
          <reference field="5" count="1" selected="0">
            <x v="2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0">
      <pivotArea outline="0" collapsedLevelsAreSubtotals="1" fieldPosition="0"/>
    </format>
    <format dxfId="1319">
      <pivotArea dataOnly="0" labelOnly="1" outline="0" axis="axisValues" fieldPosition="0"/>
    </format>
    <format dxfId="1318">
      <pivotArea dataOnly="0" outline="0" fieldPosition="0">
        <references count="1">
          <reference field="12" count="0" defaultSubtotal="1"/>
        </references>
      </pivotArea>
    </format>
    <format dxfId="1317">
      <pivotArea outline="0" collapsedLevelsAreSubtotals="1" fieldPosition="0"/>
    </format>
    <format dxfId="1316">
      <pivotArea dataOnly="0" labelOnly="1" outline="0" axis="axisValues" fieldPosition="0"/>
    </format>
    <format dxfId="1315">
      <pivotArea outline="0" collapsedLevelsAreSubtotals="1" fieldPosition="0"/>
    </format>
    <format dxfId="1314">
      <pivotArea dataOnly="0" labelOnly="1" outline="0" axis="axisValues" fieldPosition="0"/>
    </format>
    <format dxfId="1313">
      <pivotArea dataOnly="0" labelOnly="1" outline="0" axis="axisValues" fieldPosition="0"/>
    </format>
    <format dxfId="1312">
      <pivotArea outline="0" collapsedLevelsAreSubtotals="1" fieldPosition="0"/>
    </format>
    <format dxfId="1311">
      <pivotArea field="12" type="button" dataOnly="0" labelOnly="1" outline="0" axis="axisRow" fieldPosition="2"/>
    </format>
    <format dxfId="1310">
      <pivotArea field="10" type="button" dataOnly="0" labelOnly="1" outline="0" axis="axisRow" fieldPosition="3"/>
    </format>
    <format dxfId="1309">
      <pivotArea field="16" type="button" dataOnly="0" labelOnly="1" outline="0" axis="axisRow" fieldPosition="4"/>
    </format>
    <format dxfId="1308">
      <pivotArea field="18" type="button" dataOnly="0" labelOnly="1" outline="0" axis="axisRow" fieldPosition="5"/>
    </format>
    <format dxfId="1307">
      <pivotArea field="5" type="button" dataOnly="0" labelOnly="1" outline="0" axis="axisRow" fieldPosition="6"/>
    </format>
    <format dxfId="1306">
      <pivotArea field="9" type="button" dataOnly="0" labelOnly="1" outline="0" axis="axisRow" fieldPosition="7"/>
    </format>
    <format dxfId="1305">
      <pivotArea field="3" type="button" dataOnly="0" labelOnly="1" outline="0" axis="axisRow" fieldPosition="8"/>
    </format>
    <format dxfId="1304">
      <pivotArea field="7" type="button" dataOnly="0" labelOnly="1" outline="0" axis="axisRow" fieldPosition="9"/>
    </format>
    <format dxfId="1303">
      <pivotArea field="1" type="button" dataOnly="0" labelOnly="1" outline="0" axis="axisRow" fieldPosition="10"/>
    </format>
    <format dxfId="1302">
      <pivotArea dataOnly="0" labelOnly="1" outline="0" axis="axisValues" fieldPosition="0"/>
    </format>
    <format dxfId="130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3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29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29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29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9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29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2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6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6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59"/>
          </reference>
        </references>
      </pivotArea>
    </format>
    <format dxfId="12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2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3"/>
            <x v="106"/>
          </reference>
        </references>
      </pivotArea>
    </format>
    <format dxfId="12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12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12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12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39"/>
            <x v="41"/>
            <x v="42"/>
            <x v="58"/>
          </reference>
        </references>
      </pivotArea>
    </format>
    <format dxfId="11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65"/>
          </reference>
        </references>
      </pivotArea>
    </format>
    <format dxfId="119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4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3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2">
      <pivotArea dataOnly="0" labelOnly="1" outline="0" fieldPosition="0">
        <references count="7">
          <reference field="0" count="1" selected="0">
            <x v="10"/>
          </reference>
          <reference field="5" count="1">
            <x v="469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1">
      <pivotArea dataOnly="0" labelOnly="1" outline="0" fieldPosition="0">
        <references count="7">
          <reference field="0" count="1" selected="0">
            <x v="10"/>
          </reference>
          <reference field="5" count="1">
            <x v="19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0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9">
      <pivotArea dataOnly="0" labelOnly="1" outline="0" fieldPosition="0">
        <references count="7">
          <reference field="0" count="1" selected="0">
            <x v="10"/>
          </reference>
          <reference field="5" count="1">
            <x v="578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88">
      <pivotArea dataOnly="0" labelOnly="1" outline="0" fieldPosition="0">
        <references count="7">
          <reference field="0" count="1" selected="0">
            <x v="10"/>
          </reference>
          <reference field="5" count="1">
            <x v="504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7">
      <pivotArea dataOnly="0" labelOnly="1" outline="0" fieldPosition="0">
        <references count="7">
          <reference field="0" count="1" selected="0">
            <x v="12"/>
          </reference>
          <reference field="5" count="1">
            <x v="46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6">
      <pivotArea dataOnly="0" labelOnly="1" outline="0" fieldPosition="0">
        <references count="7">
          <reference field="0" count="1" selected="0">
            <x v="13"/>
          </reference>
          <reference field="5" count="1"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85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4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3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81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0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9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8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77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6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5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4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73">
      <pivotArea dataOnly="0" labelOnly="1" outline="0" fieldPosition="0">
        <references count="7">
          <reference field="0" count="1" selected="0">
            <x v="14"/>
          </reference>
          <reference field="5" count="1">
            <x v="622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2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71">
      <pivotArea dataOnly="0" labelOnly="1" outline="0" fieldPosition="0">
        <references count="7">
          <reference field="0" count="1" selected="0">
            <x v="14"/>
          </reference>
          <reference field="5" count="1">
            <x v="789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70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9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8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7">
      <pivotArea dataOnly="0" labelOnly="1" outline="0" fieldPosition="0">
        <references count="7">
          <reference field="0" count="1" selected="0">
            <x v="14"/>
          </reference>
          <reference field="5" count="2">
            <x v="7867"/>
            <x v="78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6">
      <pivotArea dataOnly="0" labelOnly="1" outline="0" fieldPosition="0">
        <references count="7">
          <reference field="0" count="1" selected="0">
            <x v="14"/>
          </reference>
          <reference field="5" count="1">
            <x v="220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5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63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2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1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0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9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58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7">
      <pivotArea dataOnly="0" labelOnly="1" outline="0" fieldPosition="0">
        <references count="7">
          <reference field="0" count="1" selected="0">
            <x v="15"/>
          </reference>
          <reference field="5" count="2">
            <x v="1480"/>
            <x v="78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6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7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6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0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9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8">
      <pivotArea dataOnly="0" labelOnly="1" outline="0" fieldPosition="0">
        <references count="9">
          <reference field="0" count="1" selected="0">
            <x v="10"/>
          </reference>
          <reference field="3" count="1">
            <x v="7925"/>
          </reference>
          <reference field="5" count="1" selected="0">
            <x v="4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7">
      <pivotArea dataOnly="0" labelOnly="1" outline="0" fieldPosition="0">
        <references count="9">
          <reference field="0" count="1" selected="0">
            <x v="10"/>
          </reference>
          <reference field="3" count="1">
            <x v="7891"/>
          </reference>
          <reference field="5" count="1" selected="0">
            <x v="1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6">
      <pivotArea dataOnly="0" labelOnly="1" outline="0" fieldPosition="0">
        <references count="9">
          <reference field="0" count="1" selected="0">
            <x v="10"/>
          </reference>
          <reference field="3" count="1">
            <x v="7883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5">
      <pivotArea dataOnly="0" labelOnly="1" outline="0" fieldPosition="0">
        <references count="9">
          <reference field="0" count="1" selected="0">
            <x v="10"/>
          </reference>
          <reference field="3" count="1">
            <x v="7926"/>
          </reference>
          <reference field="5" count="1" selected="0">
            <x v="5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24">
      <pivotArea dataOnly="0" labelOnly="1" outline="0" fieldPosition="0">
        <references count="9">
          <reference field="0" count="1" selected="0">
            <x v="10"/>
          </reference>
          <reference field="3" count="1">
            <x v="7449"/>
          </reference>
          <reference field="5" count="1" selected="0">
            <x v="5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6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0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8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3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11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0">
      <pivotArea dataOnly="0" labelOnly="1" outline="0" fieldPosition="0">
        <references count="9">
          <reference field="0" count="1" selected="0">
            <x v="14"/>
          </reference>
          <reference field="3" count="1">
            <x v="4563"/>
          </reference>
          <reference field="5" count="1" selected="0">
            <x v="22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9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8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7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5">
      <pivotArea dataOnly="0" labelOnly="1" outline="0" fieldPosition="0">
        <references count="9">
          <reference field="0" count="1" selected="0">
            <x v="15"/>
          </reference>
          <reference field="3" count="1">
            <x v="7898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4">
      <pivotArea dataOnly="0" labelOnly="1" outline="0" fieldPosition="0">
        <references count="9">
          <reference field="0" count="1" selected="0">
            <x v="15"/>
          </reference>
          <reference field="3" count="1">
            <x v="7897"/>
          </reference>
          <reference field="5" count="1" selected="0">
            <x v="78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3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4"/>
          </reference>
          <reference field="5" count="1" selected="0">
            <x v="78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1"/>
          </reference>
          <reference field="5" count="1" selected="0">
            <x v="1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26"/>
          </reference>
          <reference field="5" count="1" selected="0">
            <x v="5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6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4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563"/>
          </reference>
          <reference field="5" count="1" selected="0">
            <x v="22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8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7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6">
      <pivotArea dataOnly="0" labelOnly="1" outline="0" fieldPosition="0">
        <references count="11">
          <reference field="0" count="1" selected="0">
            <x v="7"/>
          </reference>
          <reference field="1" count="1">
            <x v="7792"/>
          </reference>
          <reference field="3" count="1" selected="0">
            <x v="7644"/>
          </reference>
          <reference field="5" count="1" selected="0">
            <x v="78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5">
      <pivotArea dataOnly="0" labelOnly="1" outline="0" fieldPosition="0">
        <references count="11">
          <reference field="0" count="1" selected="0">
            <x v="7"/>
          </reference>
          <reference field="1" count="1">
            <x v="7791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4">
      <pivotArea dataOnly="0" labelOnly="1" outline="0" fieldPosition="0">
        <references count="11">
          <reference field="0" count="1" selected="0">
            <x v="10"/>
          </reference>
          <reference field="1" count="1">
            <x v="7670"/>
          </reference>
          <reference field="3" count="1" selected="0">
            <x v="7883"/>
          </reference>
          <reference field="5" count="1" selected="0">
            <x v="50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3">
      <pivotArea dataOnly="0" labelOnly="1" outline="0" fieldPosition="0">
        <references count="11">
          <reference field="0" count="1" selected="0">
            <x v="10"/>
          </reference>
          <reference field="1" count="1">
            <x v="7790"/>
          </reference>
          <reference field="3" count="1" selected="0">
            <x v="7926"/>
          </reference>
          <reference field="5" count="1" selected="0">
            <x v="57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72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1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46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0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9">
      <pivotArea dataOnly="0" labelOnly="1" outline="0" fieldPosition="0">
        <references count="11">
          <reference field="0" count="1" selected="0">
            <x v="13"/>
          </reference>
          <reference field="1" count="1">
            <x v="7713"/>
          </reference>
          <reference field="3" count="1" selected="0">
            <x v="0"/>
          </reference>
          <reference field="5" count="1" selected="0">
            <x v="75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8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7">
      <pivotArea dataOnly="0" labelOnly="1" outline="0" fieldPosition="0">
        <references count="11">
          <reference field="0" count="1" selected="0">
            <x v="13"/>
          </reference>
          <reference field="1" count="1">
            <x v="7782"/>
          </reference>
          <reference field="3" count="1" selected="0">
            <x v="0"/>
          </reference>
          <reference field="5" count="1" selected="0">
            <x v="5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6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5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4">
      <pivotArea dataOnly="0" labelOnly="1" outline="0" fieldPosition="0">
        <references count="11">
          <reference field="0" count="1" selected="0">
            <x v="13"/>
          </reference>
          <reference field="1" count="1">
            <x v="7592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3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2"/>
          </reference>
          <reference field="5" count="1" selected="0">
            <x v="78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2">
      <pivotArea dataOnly="0" labelOnly="1" outline="0" fieldPosition="0">
        <references count="11">
          <reference field="0" count="1" selected="0">
            <x v="14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62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1">
      <pivotArea dataOnly="0" labelOnly="1" outline="0" fieldPosition="0">
        <references count="11">
          <reference field="0" count="1" selected="0">
            <x v="14"/>
          </reference>
          <reference field="1" count="1">
            <x v="7781"/>
          </reference>
          <reference field="3" count="1" selected="0">
            <x v="2"/>
          </reference>
          <reference field="5" count="1" selected="0">
            <x v="7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60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716"/>
          </reference>
          <reference field="5" count="1" selected="0">
            <x v="35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9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8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7914"/>
          </reference>
          <reference field="5" count="1" selected="0">
            <x v="78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7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6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5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4">
      <pivotArea dataOnly="0" labelOnly="1" outline="0" fieldPosition="0">
        <references count="11">
          <reference field="0" count="1" selected="0">
            <x v="15"/>
          </reference>
          <reference field="1" count="1">
            <x v="7776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3">
      <pivotArea dataOnly="0" labelOnly="1" outline="0" fieldPosition="0">
        <references count="11">
          <reference field="0" count="1" selected="0">
            <x v="15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2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2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1">
      <pivotArea outline="0" collapsedLevelsAreSubtotals="1" fieldPosition="0"/>
    </format>
    <format dxfId="1050">
      <pivotArea dataOnly="0" labelOnly="1" outline="0" axis="axisValues" fieldPosition="0"/>
    </format>
    <format dxfId="1049">
      <pivotArea dataOnly="0" outline="0" fieldPosition="0">
        <references count="1">
          <reference field="12" count="0" defaultSubtotal="1"/>
        </references>
      </pivotArea>
    </format>
    <format dxfId="1048">
      <pivotArea outline="0" collapsedLevelsAreSubtotals="1" fieldPosition="0"/>
    </format>
    <format dxfId="1047">
      <pivotArea dataOnly="0" labelOnly="1" outline="0" axis="axisValues" fieldPosition="0"/>
    </format>
    <format dxfId="1046">
      <pivotArea outline="0" collapsedLevelsAreSubtotals="1" fieldPosition="0"/>
    </format>
    <format dxfId="1045">
      <pivotArea dataOnly="0" labelOnly="1" outline="0" axis="axisValues" fieldPosition="0"/>
    </format>
    <format dxfId="1044">
      <pivotArea dataOnly="0" labelOnly="1" outline="0" axis="axisValues" fieldPosition="0"/>
    </format>
    <format dxfId="1043">
      <pivotArea outline="0" collapsedLevelsAreSubtotals="1" fieldPosition="0"/>
    </format>
    <format dxfId="1042">
      <pivotArea field="12" type="button" dataOnly="0" labelOnly="1" outline="0" axis="axisRow" fieldPosition="2"/>
    </format>
    <format dxfId="1041">
      <pivotArea field="10" type="button" dataOnly="0" labelOnly="1" outline="0" axis="axisRow" fieldPosition="3"/>
    </format>
    <format dxfId="1040">
      <pivotArea field="16" type="button" dataOnly="0" labelOnly="1" outline="0" axis="axisRow" fieldPosition="4"/>
    </format>
    <format dxfId="1039">
      <pivotArea field="18" type="button" dataOnly="0" labelOnly="1" outline="0" axis="axisRow" fieldPosition="5"/>
    </format>
    <format dxfId="1038">
      <pivotArea field="5" type="button" dataOnly="0" labelOnly="1" outline="0" axis="axisRow" fieldPosition="6"/>
    </format>
    <format dxfId="1037">
      <pivotArea field="9" type="button" dataOnly="0" labelOnly="1" outline="0" axis="axisRow" fieldPosition="7"/>
    </format>
    <format dxfId="1036">
      <pivotArea field="3" type="button" dataOnly="0" labelOnly="1" outline="0" axis="axisRow" fieldPosition="8"/>
    </format>
    <format dxfId="1035">
      <pivotArea field="7" type="button" dataOnly="0" labelOnly="1" outline="0" axis="axisRow" fieldPosition="9"/>
    </format>
    <format dxfId="1034">
      <pivotArea field="1" type="button" dataOnly="0" labelOnly="1" outline="0" axis="axisRow" fieldPosition="10"/>
    </format>
    <format dxfId="1033">
      <pivotArea dataOnly="0" labelOnly="1" outline="0" axis="axisValues" fieldPosition="0"/>
    </format>
    <format dxfId="1032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0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03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2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2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02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0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9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3"/>
          </reference>
        </references>
      </pivotArea>
    </format>
    <format dxfId="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9"/>
            <x v="41"/>
            <x v="42"/>
            <x v="58"/>
          </reference>
        </references>
      </pivotArea>
    </format>
    <format dxfId="9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1"/>
            <x v="73"/>
          </reference>
        </references>
      </pivotArea>
    </format>
    <format dxfId="9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5"/>
            <x v="70"/>
          </reference>
        </references>
      </pivotArea>
    </format>
    <format dxfId="92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6">
      <pivotArea dataOnly="0" labelOnly="1" outline="0" fieldPosition="0">
        <references count="7">
          <reference field="0" count="1" selected="0">
            <x v="2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">
      <pivotArea dataOnly="0" labelOnly="1" outline="0" fieldPosition="0">
        <references count="7">
          <reference field="0" count="1" selected="0">
            <x v="2"/>
          </reference>
          <reference field="5" count="1">
            <x v="789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4">
      <pivotArea dataOnly="0" labelOnly="1" outline="0" fieldPosition="0">
        <references count="7">
          <reference field="0" count="1" selected="0">
            <x v="2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3">
      <pivotArea dataOnly="0" labelOnly="1" outline="0" fieldPosition="0">
        <references count="7">
          <reference field="0" count="1" selected="0">
            <x v="2"/>
          </reference>
          <reference field="5" count="1">
            <x v="78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2">
      <pivotArea dataOnly="0" labelOnly="1" outline="0" fieldPosition="0">
        <references count="7">
          <reference field="0" count="1" selected="0">
            <x v="2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1">
      <pivotArea dataOnly="0" labelOnly="1" outline="0" fieldPosition="0">
        <references count="7">
          <reference field="0" count="1" selected="0">
            <x v="2"/>
          </reference>
          <reference field="5" count="1">
            <x v="43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0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9">
      <pivotArea dataOnly="0" labelOnly="1" outline="0" fieldPosition="0">
        <references count="7">
          <reference field="0" count="1" selected="0">
            <x v="12"/>
          </reference>
          <reference field="5" count="1">
            <x v="60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8">
      <pivotArea dataOnly="0" labelOnly="1" outline="0" fieldPosition="0">
        <references count="7">
          <reference field="0" count="1" selected="0">
            <x v="12"/>
          </reference>
          <reference field="5" count="1">
            <x v="78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7">
      <pivotArea dataOnly="0" labelOnly="1" outline="0" fieldPosition="0">
        <references count="7">
          <reference field="0" count="1" selected="0">
            <x v="13"/>
          </reference>
          <reference field="5" count="1">
            <x v="77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6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5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4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3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2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1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0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9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8">
      <pivotArea dataOnly="0" labelOnly="1" outline="0" fieldPosition="0">
        <references count="7">
          <reference field="0" count="1" selected="0">
            <x v="13"/>
          </reference>
          <reference field="5" count="1">
            <x v="31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7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6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5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4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03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2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1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00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9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8">
      <pivotArea dataOnly="0" labelOnly="1" outline="0" fieldPosition="0">
        <references count="7">
          <reference field="0" count="1" selected="0">
            <x v="14"/>
          </reference>
          <reference field="5" count="1">
            <x v="220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7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5">
      <pivotArea dataOnly="0" labelOnly="1" outline="0" fieldPosition="0">
        <references count="7">
          <reference field="0" count="1" selected="0">
            <x v="14"/>
          </reference>
          <reference field="5" count="1">
            <x v="23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4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3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1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0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89">
      <pivotArea dataOnly="0" labelOnly="1" outline="0" fieldPosition="0">
        <references count="7">
          <reference field="0" count="1" selected="0">
            <x v="15"/>
          </reference>
          <reference field="5" count="2">
            <x v="3181"/>
            <x v="78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88">
      <pivotArea dataOnly="0" labelOnly="1" outline="0" fieldPosition="0">
        <references count="7">
          <reference field="0" count="1" selected="0">
            <x v="15"/>
          </reference>
          <reference field="5" count="1">
            <x v="56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887">
      <pivotArea dataOnly="0" labelOnly="1" outline="0" fieldPosition="0">
        <references count="7">
          <reference field="0" count="1" selected="0">
            <x v="15"/>
          </reference>
          <reference field="5" count="1">
            <x v="462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886">
      <pivotArea dataOnly="0" labelOnly="1" outline="0" fieldPosition="0">
        <references count="7">
          <reference field="0" count="1" selected="0">
            <x v="15"/>
          </reference>
          <reference field="5" count="3">
            <x v="1480"/>
            <x v="7790"/>
            <x v="78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5">
      <pivotArea dataOnly="0" labelOnly="1" outline="0" fieldPosition="0">
        <references count="7">
          <reference field="0" count="1" selected="0">
            <x v="15"/>
          </reference>
          <reference field="5" count="1">
            <x v="22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0">
      <pivotArea dataOnly="0" labelOnly="1" outline="0" fieldPosition="0">
        <references count="9">
          <reference field="0" count="1" selected="0">
            <x v="2"/>
          </reference>
          <reference field="3" count="1">
            <x v="7814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58">
      <pivotArea dataOnly="0" labelOnly="1" outline="0" fieldPosition="0">
        <references count="9">
          <reference field="0" count="1" selected="0">
            <x v="2"/>
          </reference>
          <reference field="3" count="1">
            <x v="7815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56">
      <pivotArea dataOnly="0" labelOnly="1" outline="0" fieldPosition="0">
        <references count="9">
          <reference field="0" count="1" selected="0">
            <x v="2"/>
          </reference>
          <reference field="3" count="1">
            <x v="7816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5">
      <pivotArea dataOnly="0" labelOnly="1" outline="0" fieldPosition="0">
        <references count="9">
          <reference field="0" count="1" selected="0">
            <x v="2"/>
          </reference>
          <reference field="3" count="1">
            <x v="7818"/>
          </reference>
          <reference field="5" count="1" selected="0">
            <x v="4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54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0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9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4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6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5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3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2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1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0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39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8">
      <pivotArea dataOnly="0" labelOnly="1" outline="0" fieldPosition="0">
        <references count="9">
          <reference field="0" count="1" selected="0">
            <x v="15"/>
          </reference>
          <reference field="3" count="1">
            <x v="7898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7">
      <pivotArea dataOnly="0" labelOnly="1" outline="0" fieldPosition="0">
        <references count="9">
          <reference field="0" count="1" selected="0">
            <x v="15"/>
          </reference>
          <reference field="3" count="1">
            <x v="7897"/>
          </reference>
          <reference field="5" count="1" selected="0">
            <x v="78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5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4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5"/>
          </reference>
          <reference field="5" count="1" selected="0">
            <x v="6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6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8"/>
          </reference>
          <reference field="5" count="1" selected="0">
            <x v="4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6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7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6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6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8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8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">
      <pivotArea dataOnly="0" labelOnly="1" outline="0" fieldPosition="0">
        <references count="11">
          <reference field="0" count="1" selected="0">
            <x v="2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8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6">
      <pivotArea dataOnly="0" labelOnly="1" outline="0" fieldPosition="0">
        <references count="11">
          <reference field="0" count="1" selected="0">
            <x v="2"/>
          </reference>
          <reference field="1" count="1">
            <x v="7812"/>
          </reference>
          <reference field="3" count="1" selected="0">
            <x v="7816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5">
      <pivotArea dataOnly="0" labelOnly="1" outline="0" fieldPosition="0">
        <references count="11">
          <reference field="0" count="1" selected="0">
            <x v="2"/>
          </reference>
          <reference field="1" count="1">
            <x v="7811"/>
          </reference>
          <reference field="3" count="1" selected="0">
            <x v="7818"/>
          </reference>
          <reference field="5" count="1" selected="0">
            <x v="4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04">
      <pivotArea dataOnly="0" labelOnly="1" outline="0" fieldPosition="0">
        <references count="11">
          <reference field="0" count="1" selected="0">
            <x v="7"/>
          </reference>
          <reference field="1" count="1">
            <x v="7791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3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2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46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1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0">
      <pivotArea dataOnly="0" labelOnly="1" outline="0" fieldPosition="0">
        <references count="11">
          <reference field="0" count="1" selected="0">
            <x v="13"/>
          </reference>
          <reference field="1" count="1">
            <x v="7713"/>
          </reference>
          <reference field="3" count="1" selected="0">
            <x v="0"/>
          </reference>
          <reference field="5" count="1" selected="0">
            <x v="75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9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8">
      <pivotArea dataOnly="0" labelOnly="1" outline="0" fieldPosition="0">
        <references count="11">
          <reference field="0" count="1" selected="0">
            <x v="13"/>
          </reference>
          <reference field="1" count="1">
            <x v="7782"/>
          </reference>
          <reference field="3" count="1" selected="0">
            <x v="0"/>
          </reference>
          <reference field="5" count="1" selected="0">
            <x v="5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7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6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5">
      <pivotArea dataOnly="0" labelOnly="1" outline="0" fieldPosition="0">
        <references count="11">
          <reference field="0" count="1" selected="0">
            <x v="13"/>
          </reference>
          <reference field="1" count="1">
            <x v="7592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4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7714"/>
          </reference>
          <reference field="5" count="1" selected="0">
            <x v="76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3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2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2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716"/>
          </reference>
          <reference field="5" count="1" selected="0">
            <x v="35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0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9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8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7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932"/>
          </reference>
          <reference field="5" count="1" selected="0">
            <x v="23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6">
      <pivotArea dataOnly="0" labelOnly="1" outline="0" fieldPosition="0">
        <references count="11">
          <reference field="0" count="1" selected="0">
            <x v="15"/>
          </reference>
          <reference field="1" count="1">
            <x v="7776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5">
      <pivotArea dataOnly="0" labelOnly="1" outline="0" fieldPosition="0">
        <references count="11">
          <reference field="0" count="1" selected="0">
            <x v="15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4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2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3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82">
      <pivotArea dataOnly="0" labelOnly="1" outline="0" fieldPosition="0">
        <references count="11">
          <reference field="0" count="1" selected="0">
            <x v="15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22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1">
      <pivotArea outline="0" collapsedLevelsAreSubtotals="1" fieldPosition="0"/>
    </format>
    <format dxfId="780">
      <pivotArea dataOnly="0" labelOnly="1" outline="0" axis="axisValues" fieldPosition="0"/>
    </format>
    <format dxfId="779">
      <pivotArea dataOnly="0" outline="0" fieldPosition="0">
        <references count="1">
          <reference field="12" count="0" defaultSubtotal="1"/>
        </references>
      </pivotArea>
    </format>
    <format dxfId="778">
      <pivotArea outline="0" collapsedLevelsAreSubtotals="1" fieldPosition="0"/>
    </format>
    <format dxfId="777">
      <pivotArea dataOnly="0" labelOnly="1" outline="0" axis="axisValues" fieldPosition="0"/>
    </format>
    <format dxfId="776">
      <pivotArea outline="0" collapsedLevelsAreSubtotals="1" fieldPosition="0"/>
    </format>
    <format dxfId="775">
      <pivotArea dataOnly="0" labelOnly="1" outline="0" axis="axisValues" fieldPosition="0"/>
    </format>
    <format dxfId="774">
      <pivotArea dataOnly="0" labelOnly="1" outline="0" axis="axisValues" fieldPosition="0"/>
    </format>
    <format dxfId="773">
      <pivotArea outline="0" collapsedLevelsAreSubtotals="1" fieldPosition="0"/>
    </format>
    <format dxfId="772">
      <pivotArea field="12" type="button" dataOnly="0" labelOnly="1" outline="0" axis="axisRow" fieldPosition="2"/>
    </format>
    <format dxfId="771">
      <pivotArea field="10" type="button" dataOnly="0" labelOnly="1" outline="0" axis="axisRow" fieldPosition="3"/>
    </format>
    <format dxfId="770">
      <pivotArea field="16" type="button" dataOnly="0" labelOnly="1" outline="0" axis="axisRow" fieldPosition="4"/>
    </format>
    <format dxfId="769">
      <pivotArea field="18" type="button" dataOnly="0" labelOnly="1" outline="0" axis="axisRow" fieldPosition="5"/>
    </format>
    <format dxfId="768">
      <pivotArea field="5" type="button" dataOnly="0" labelOnly="1" outline="0" axis="axisRow" fieldPosition="6"/>
    </format>
    <format dxfId="767">
      <pivotArea field="9" type="button" dataOnly="0" labelOnly="1" outline="0" axis="axisRow" fieldPosition="7"/>
    </format>
    <format dxfId="766">
      <pivotArea field="3" type="button" dataOnly="0" labelOnly="1" outline="0" axis="axisRow" fieldPosition="8"/>
    </format>
    <format dxfId="765">
      <pivotArea field="7" type="button" dataOnly="0" labelOnly="1" outline="0" axis="axisRow" fieldPosition="9"/>
    </format>
    <format dxfId="764">
      <pivotArea field="1" type="button" dataOnly="0" labelOnly="1" outline="0" axis="axisRow" fieldPosition="10"/>
    </format>
    <format dxfId="763">
      <pivotArea dataOnly="0" labelOnly="1" outline="0" axis="axisValues" fieldPosition="0"/>
    </format>
    <format dxfId="76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7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76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5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58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757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7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75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7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4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7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7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7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7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3"/>
          </reference>
        </references>
      </pivotArea>
    </format>
    <format dxfId="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8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8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6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6"/>
            <x v="66"/>
          </reference>
        </references>
      </pivotArea>
    </format>
    <format dxfId="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8"/>
            <x v="109"/>
          </reference>
        </references>
      </pivotArea>
    </format>
    <format dxfId="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7"/>
            <x v="39"/>
            <x v="41"/>
            <x v="42"/>
            <x v="58"/>
          </reference>
        </references>
      </pivotArea>
    </format>
    <format dxfId="6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649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64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7">
      <pivotArea dataOnly="0" labelOnly="1" outline="0" fieldPosition="0">
        <references count="7">
          <reference field="0" count="1" selected="0">
            <x v="0"/>
          </reference>
          <reference field="5" count="1">
            <x v="20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6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5">
      <pivotArea dataOnly="0" labelOnly="1" outline="0" fieldPosition="0">
        <references count="7">
          <reference field="0" count="1" selected="0">
            <x v="0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4">
      <pivotArea dataOnly="0" labelOnly="1" outline="0" fieldPosition="0">
        <references count="7">
          <reference field="0" count="1" selected="0">
            <x v="0"/>
          </reference>
          <reference field="5" count="1">
            <x v="57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3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2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1">
      <pivotArea dataOnly="0" labelOnly="1" outline="0" fieldPosition="0">
        <references count="7">
          <reference field="0" count="1" selected="0">
            <x v="7"/>
          </reference>
          <reference field="5" count="1">
            <x v="79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0">
      <pivotArea dataOnly="0" labelOnly="1" outline="0" fieldPosition="0">
        <references count="7">
          <reference field="0" count="1" selected="0">
            <x v="7"/>
          </reference>
          <reference field="5" count="1">
            <x v="7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639">
      <pivotArea dataOnly="0" labelOnly="1" outline="0" fieldPosition="0">
        <references count="7">
          <reference field="0" count="1" selected="0">
            <x v="7"/>
          </reference>
          <reference field="5" count="1">
            <x v="79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38">
      <pivotArea dataOnly="0" labelOnly="1" outline="0" fieldPosition="0">
        <references count="7">
          <reference field="0" count="1" selected="0">
            <x v="7"/>
          </reference>
          <reference field="5" count="2">
            <x v="7928"/>
            <x v="792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37">
      <pivotArea dataOnly="0" labelOnly="1" outline="0" fieldPosition="0">
        <references count="7">
          <reference field="0" count="1" selected="0">
            <x v="7"/>
          </reference>
          <reference field="5" count="1">
            <x v="791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36">
      <pivotArea dataOnly="0" labelOnly="1" outline="0" fieldPosition="0">
        <references count="7">
          <reference field="0" count="1" selected="0">
            <x v="7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35">
      <pivotArea dataOnly="0" labelOnly="1" outline="0" fieldPosition="0">
        <references count="7">
          <reference field="0" count="1" selected="0">
            <x v="7"/>
          </reference>
          <reference field="5" count="1">
            <x v="79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34">
      <pivotArea dataOnly="0" labelOnly="1" outline="0" fieldPosition="0">
        <references count="7">
          <reference field="0" count="1" selected="0">
            <x v="7"/>
          </reference>
          <reference field="5" count="1">
            <x v="792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3">
      <pivotArea dataOnly="0" labelOnly="1" outline="0" fieldPosition="0">
        <references count="7">
          <reference field="0" count="1" selected="0">
            <x v="7"/>
          </reference>
          <reference field="5" count="2">
            <x v="7922"/>
            <x v="792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2">
      <pivotArea dataOnly="0" labelOnly="1" outline="0" fieldPosition="0">
        <references count="7">
          <reference field="0" count="1" selected="0">
            <x v="7"/>
          </reference>
          <reference field="5" count="1">
            <x v="793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1">
      <pivotArea dataOnly="0" labelOnly="1" outline="0" fieldPosition="0">
        <references count="7">
          <reference field="0" count="1" selected="0">
            <x v="7"/>
          </reference>
          <reference field="5" count="1">
            <x v="792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0">
      <pivotArea dataOnly="0" labelOnly="1" outline="0" fieldPosition="0">
        <references count="7">
          <reference field="0" count="1" selected="0">
            <x v="7"/>
          </reference>
          <reference field="5" count="1">
            <x v="793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9">
      <pivotArea dataOnly="0" labelOnly="1" outline="0" fieldPosition="0">
        <references count="7">
          <reference field="0" count="1" selected="0">
            <x v="7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8">
      <pivotArea dataOnly="0" labelOnly="1" outline="0" fieldPosition="0">
        <references count="7">
          <reference field="0" count="1" selected="0">
            <x v="7"/>
          </reference>
          <reference field="5" count="1">
            <x v="792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7">
      <pivotArea dataOnly="0" labelOnly="1" outline="0" fieldPosition="0">
        <references count="7">
          <reference field="0" count="1" selected="0">
            <x v="7"/>
          </reference>
          <reference field="5" count="1">
            <x v="792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6">
      <pivotArea dataOnly="0" labelOnly="1" outline="0" fieldPosition="0">
        <references count="7">
          <reference field="0" count="1" selected="0">
            <x v="7"/>
          </reference>
          <reference field="5" count="1">
            <x v="792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5">
      <pivotArea dataOnly="0" labelOnly="1" outline="0" fieldPosition="0">
        <references count="7">
          <reference field="0" count="1" selected="0">
            <x v="7"/>
          </reference>
          <reference field="5" count="1">
            <x v="793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4">
      <pivotArea dataOnly="0" labelOnly="1" outline="0" fieldPosition="0">
        <references count="7">
          <reference field="0" count="1" selected="0">
            <x v="7"/>
          </reference>
          <reference field="5" count="1">
            <x v="791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3">
      <pivotArea dataOnly="0" labelOnly="1" outline="0" fieldPosition="0">
        <references count="7">
          <reference field="0" count="1" selected="0">
            <x v="7"/>
          </reference>
          <reference field="5" count="1">
            <x v="2235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2">
      <pivotArea dataOnly="0" labelOnly="1" outline="0" fieldPosition="0">
        <references count="7">
          <reference field="0" count="1" selected="0">
            <x v="13"/>
          </reference>
          <reference field="5" count="2">
            <x v="7773"/>
            <x v="79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1">
      <pivotArea dataOnly="0" labelOnly="1" outline="0" fieldPosition="0">
        <references count="7">
          <reference field="0" count="1" selected="0">
            <x v="13"/>
          </reference>
          <reference field="5" count="2">
            <x v="4687"/>
            <x v="791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0">
      <pivotArea dataOnly="0" labelOnly="1" outline="0" fieldPosition="0">
        <references count="7">
          <reference field="0" count="1" selected="0">
            <x v="13"/>
          </reference>
          <reference field="5" count="1">
            <x v="77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19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8">
      <pivotArea dataOnly="0" labelOnly="1" outline="0" fieldPosition="0">
        <references count="7">
          <reference field="0" count="1" selected="0">
            <x v="13"/>
          </reference>
          <reference field="5" count="1">
            <x v="791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17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6">
      <pivotArea dataOnly="0" labelOnly="1" outline="0" fieldPosition="0">
        <references count="7">
          <reference field="0" count="1" selected="0">
            <x v="13"/>
          </reference>
          <reference field="5" count="1">
            <x v="56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5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56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4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3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2">
      <pivotArea dataOnly="0" labelOnly="1" outline="0" fieldPosition="0">
        <references count="7">
          <reference field="0" count="1" selected="0">
            <x v="13"/>
          </reference>
          <reference field="5" count="1">
            <x v="79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1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0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9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8">
      <pivotArea dataOnly="0" labelOnly="1" outline="0" fieldPosition="0">
        <references count="7">
          <reference field="0" count="1" selected="0">
            <x v="14"/>
          </reference>
          <reference field="5" count="1">
            <x v="3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7">
      <pivotArea dataOnly="0" labelOnly="1" outline="0" fieldPosition="0">
        <references count="7">
          <reference field="0" count="1" selected="0">
            <x v="14"/>
          </reference>
          <reference field="5" count="1">
            <x v="791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6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5">
      <pivotArea dataOnly="0" labelOnly="1" outline="0" fieldPosition="0">
        <references count="7">
          <reference field="0" count="1" selected="0">
            <x v="14"/>
          </reference>
          <reference field="5" count="1">
            <x v="79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4">
      <pivotArea dataOnly="0" labelOnly="1" outline="0" fieldPosition="0">
        <references count="7">
          <reference field="0" count="1" selected="0">
            <x v="14"/>
          </reference>
          <reference field="5" count="1">
            <x v="351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3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02">
      <pivotArea dataOnly="0" labelOnly="1" outline="0" fieldPosition="0">
        <references count="7">
          <reference field="0" count="1" selected="0">
            <x v="14"/>
          </reference>
          <reference field="5" count="1">
            <x v="790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1">
      <pivotArea dataOnly="0" labelOnly="1" outline="0" fieldPosition="0">
        <references count="7">
          <reference field="0" count="1" selected="0">
            <x v="14"/>
          </reference>
          <reference field="5" count="1">
            <x v="790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0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98">
      <pivotArea dataOnly="0" labelOnly="1" outline="0" fieldPosition="0">
        <references count="7">
          <reference field="0" count="1" selected="0">
            <x v="15"/>
          </reference>
          <reference field="5" count="1">
            <x v="1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97">
      <pivotArea dataOnly="0" labelOnly="1" outline="0" fieldPosition="0">
        <references count="7">
          <reference field="0" count="1" selected="0">
            <x v="15"/>
          </reference>
          <reference field="5" count="1">
            <x v="79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96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5">
      <pivotArea dataOnly="0" labelOnly="1" outline="0" fieldPosition="0">
        <references count="7">
          <reference field="0" count="1" selected="0">
            <x v="15"/>
          </reference>
          <reference field="5" count="2">
            <x v="7904"/>
            <x v="79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94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93">
      <pivotArea dataOnly="0" labelOnly="1" outline="0" fieldPosition="0">
        <references count="7">
          <reference field="0" count="1" selected="0">
            <x v="15"/>
          </reference>
          <reference field="5" count="2">
            <x v="279"/>
            <x v="27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92">
      <pivotArea dataOnly="0" labelOnly="1" outline="0" fieldPosition="0">
        <references count="7">
          <reference field="0" count="1" selected="0">
            <x v="15"/>
          </reference>
          <reference field="5" count="1">
            <x v="77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1">
      <pivotArea dataOnly="0" labelOnly="1" outline="0" fieldPosition="0">
        <references count="7">
          <reference field="0" count="1" selected="0">
            <x v="15"/>
          </reference>
          <reference field="5" count="1">
            <x v="79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3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5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1">
      <pivotArea dataOnly="0" labelOnly="1" outline="0" fieldPosition="0">
        <references count="9">
          <reference field="0" count="1" selected="0">
            <x v="0"/>
          </reference>
          <reference field="3" count="1">
            <x v="7322"/>
          </reference>
          <reference field="5" count="1" selected="0">
            <x v="20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9">
      <pivotArea dataOnly="0" labelOnly="1" outline="0" fieldPosition="0">
        <references count="9">
          <reference field="0" count="1" selected="0">
            <x v="0"/>
          </reference>
          <reference field="3" count="1">
            <x v="7466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8">
      <pivotArea dataOnly="0" labelOnly="1" outline="0" fieldPosition="0">
        <references count="9">
          <reference field="0" count="1" selected="0">
            <x v="0"/>
          </reference>
          <reference field="3" count="1">
            <x v="7323"/>
          </reference>
          <reference field="5" count="1" selected="0">
            <x v="5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7">
      <pivotArea dataOnly="0" labelOnly="1" outline="0" fieldPosition="0">
        <references count="9">
          <reference field="0" count="1" selected="0">
            <x v="7"/>
          </reference>
          <reference field="3" count="1">
            <x v="7949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46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4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4">
      <pivotArea dataOnly="0" labelOnly="1" outline="0" fieldPosition="0">
        <references count="9">
          <reference field="0" count="1" selected="0">
            <x v="7"/>
          </reference>
          <reference field="3" count="1">
            <x v="7941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4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42">
      <pivotArea dataOnly="0" labelOnly="1" outline="0" fieldPosition="0">
        <references count="9">
          <reference field="0" count="1" selected="0">
            <x v="7"/>
          </reference>
          <reference field="3" count="1">
            <x v="7944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41">
      <pivotArea dataOnly="0" labelOnly="1" outline="0" fieldPosition="0">
        <references count="9">
          <reference field="0" count="1" selected="0">
            <x v="7"/>
          </reference>
          <reference field="3" count="1">
            <x v="7945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4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39">
      <pivotArea dataOnly="0" labelOnly="1" outline="0" fieldPosition="0">
        <references count="9">
          <reference field="0" count="1" selected="0">
            <x v="7"/>
          </reference>
          <reference field="3" count="1">
            <x v="7948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8">
      <pivotArea dataOnly="0" labelOnly="1" outline="0" fieldPosition="0">
        <references count="9">
          <reference field="0" count="1" selected="0">
            <x v="7"/>
          </reference>
          <reference field="3" count="1">
            <x v="7816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37">
      <pivotArea dataOnly="0" labelOnly="1" outline="0" fieldPosition="0">
        <references count="9">
          <reference field="0" count="1" selected="0">
            <x v="7"/>
          </reference>
          <reference field="3" count="1">
            <x v="7942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6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5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4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3">
      <pivotArea dataOnly="0" labelOnly="1" outline="0" fieldPosition="0">
        <references count="9">
          <reference field="0" count="1" selected="0">
            <x v="7"/>
          </reference>
          <reference field="3" count="1">
            <x v="7937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2">
      <pivotArea dataOnly="0" labelOnly="1" outline="0" fieldPosition="0">
        <references count="9">
          <reference field="0" count="1" selected="0">
            <x v="7"/>
          </reference>
          <reference field="3" count="1">
            <x v="7947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1">
      <pivotArea dataOnly="0" labelOnly="1" outline="0" fieldPosition="0">
        <references count="9">
          <reference field="0" count="1" selected="0">
            <x v="7"/>
          </reference>
          <reference field="3" count="1">
            <x v="7936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0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29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27">
      <pivotArea dataOnly="0" labelOnly="1" outline="0" fieldPosition="0">
        <references count="9">
          <reference field="0" count="1" selected="0">
            <x v="7"/>
          </reference>
          <reference field="3" count="1">
            <x v="7345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26">
      <pivotArea dataOnly="0" labelOnly="1" outline="0" fieldPosition="0">
        <references count="9">
          <reference field="0" count="1" selected="0">
            <x v="7"/>
          </reference>
          <reference field="3" count="1">
            <x v="793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24">
      <pivotArea dataOnly="0" labelOnly="1" outline="0" fieldPosition="0">
        <references count="9">
          <reference field="0" count="1" selected="0">
            <x v="13"/>
          </reference>
          <reference field="3" count="1">
            <x v="7812"/>
          </reference>
          <reference field="5" count="1" selected="0">
            <x v="791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22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0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3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9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3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18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5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13">
      <pivotArea dataOnly="0" labelOnly="1" outline="0" fieldPosition="0">
        <references count="9">
          <reference field="0" count="1" selected="0">
            <x v="14"/>
          </reference>
          <reference field="3" count="1">
            <x v="6541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2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1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0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9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08">
      <pivotArea dataOnly="0" labelOnly="1" outline="0" fieldPosition="0">
        <references count="9">
          <reference field="0" count="1" selected="0">
            <x v="15"/>
          </reference>
          <reference field="3" count="1">
            <x v="7898"/>
          </reference>
          <reference field="5" count="1" selected="0">
            <x v="1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6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75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22"/>
          </reference>
          <reference field="5" count="1" selected="0">
            <x v="2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66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9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1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4"/>
          </reference>
          <reference field="5" count="1" selected="0">
            <x v="79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8"/>
          </reference>
          <reference field="5" count="1" selected="0">
            <x v="79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6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2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7"/>
          </reference>
          <reference field="5" count="1" selected="0">
            <x v="7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0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5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12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6"/>
          </reference>
          <reference field="5" count="1" selected="0">
            <x v="34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541"/>
          </reference>
          <reference field="5" count="1" selected="0">
            <x v="79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8"/>
          </reference>
          <reference field="5" count="1" selected="0">
            <x v="1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4">
      <pivotArea dataOnly="0" labelOnly="1" outline="0" fieldPosition="0">
        <references count="11">
          <reference field="0" count="1" selected="0">
            <x v="14"/>
          </reference>
          <reference field="1" count="1">
            <x v="7831"/>
          </reference>
          <reference field="3" count="1" selected="0">
            <x v="7934"/>
          </reference>
          <reference field="5" count="1" selected="0">
            <x v="75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463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2">
      <pivotArea dataOnly="0" labelOnly="1" outline="0" fieldPosition="0">
        <references count="11">
          <reference field="0" count="1" selected="0">
            <x v="0"/>
          </reference>
          <reference field="1" count="1">
            <x v="7857"/>
          </reference>
          <reference field="3" count="1" selected="0">
            <x v="7322"/>
          </reference>
          <reference field="5" count="1" selected="0">
            <x v="20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1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0">
      <pivotArea dataOnly="0" labelOnly="1" outline="0" fieldPosition="0">
        <references count="11">
          <reference field="0" count="1" selected="0">
            <x v="0"/>
          </reference>
          <reference field="1" count="1">
            <x v="7858"/>
          </reference>
          <reference field="3" count="1" selected="0">
            <x v="7466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9">
      <pivotArea dataOnly="0" labelOnly="1" outline="0" fieldPosition="0">
        <references count="11">
          <reference field="0" count="1" selected="0">
            <x v="0"/>
          </reference>
          <reference field="1" count="1">
            <x v="7856"/>
          </reference>
          <reference field="3" count="1" selected="0">
            <x v="7323"/>
          </reference>
          <reference field="5" count="1" selected="0">
            <x v="5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8">
      <pivotArea dataOnly="0" labelOnly="1" outline="0" fieldPosition="0">
        <references count="11">
          <reference field="0" count="1" selected="0">
            <x v="7"/>
          </reference>
          <reference field="1" count="1">
            <x v="7855"/>
          </reference>
          <reference field="3" count="1" selected="0">
            <x v="7949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7">
      <pivotArea dataOnly="0" labelOnly="1" outline="0" fieldPosition="0">
        <references count="11">
          <reference field="0" count="1" selected="0">
            <x v="7"/>
          </reference>
          <reference field="1" count="1">
            <x v="7791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56">
      <pivotArea dataOnly="0" labelOnly="1" outline="0" fieldPosition="0">
        <references count="11">
          <reference field="0" count="1" selected="0">
            <x v="7"/>
          </reference>
          <reference field="1" count="1">
            <x v="7846"/>
          </reference>
          <reference field="3" count="1" selected="0">
            <x v="7941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55">
      <pivotArea dataOnly="0" labelOnly="1" outline="0" fieldPosition="0">
        <references count="11">
          <reference field="0" count="1" selected="0">
            <x v="7"/>
          </reference>
          <reference field="1" count="1">
            <x v="7838"/>
          </reference>
          <reference field="3" count="1" selected="0">
            <x v="0"/>
          </reference>
          <reference field="5" count="1" selected="0">
            <x v="79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54">
      <pivotArea dataOnly="0" labelOnly="1" outline="0" fieldPosition="0">
        <references count="11">
          <reference field="0" count="1" selected="0">
            <x v="7"/>
          </reference>
          <reference field="1" count="1">
            <x v="7848"/>
          </reference>
          <reference field="3" count="1" selected="0">
            <x v="7944"/>
          </reference>
          <reference field="5" count="1" selected="0">
            <x v="79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3">
      <pivotArea dataOnly="0" labelOnly="1" outline="0" fieldPosition="0">
        <references count="11">
          <reference field="0" count="1" selected="0">
            <x v="7"/>
          </reference>
          <reference field="1" count="1">
            <x v="7849"/>
          </reference>
          <reference field="3" count="1" selected="0">
            <x v="7945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2">
      <pivotArea dataOnly="0" labelOnly="1" outline="0" fieldPosition="0">
        <references count="11">
          <reference field="0" count="1" selected="0">
            <x v="7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51">
      <pivotArea dataOnly="0" labelOnly="1" outline="0" fieldPosition="0">
        <references count="11">
          <reference field="0" count="1" selected="0">
            <x v="7"/>
          </reference>
          <reference field="1" count="1">
            <x v="7854"/>
          </reference>
          <reference field="3" count="1" selected="0">
            <x v="7948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0">
      <pivotArea dataOnly="0" labelOnly="1" outline="0" fieldPosition="0">
        <references count="11">
          <reference field="0" count="1" selected="0">
            <x v="7"/>
          </reference>
          <reference field="1" count="1">
            <x v="7852"/>
          </reference>
          <reference field="3" count="1" selected="0">
            <x v="7816"/>
          </reference>
          <reference field="5" count="1" selected="0">
            <x v="79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49">
      <pivotArea dataOnly="0" labelOnly="1" outline="0" fieldPosition="0">
        <references count="11">
          <reference field="0" count="1" selected="0">
            <x v="7"/>
          </reference>
          <reference field="1" count="1">
            <x v="7847"/>
          </reference>
          <reference field="3" count="1" selected="0">
            <x v="7942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48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7938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7">
      <pivotArea dataOnly="0" labelOnly="1" outline="0" fieldPosition="0">
        <references count="11">
          <reference field="0" count="1" selected="0">
            <x v="7"/>
          </reference>
          <reference field="1" count="1">
            <x v="7850"/>
          </reference>
          <reference field="3" count="1" selected="0">
            <x v="794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6">
      <pivotArea dataOnly="0" labelOnly="1" outline="0" fieldPosition="0">
        <references count="11">
          <reference field="0" count="1" selected="0">
            <x v="7"/>
          </reference>
          <reference field="1" count="1">
            <x v="7842"/>
          </reference>
          <reference field="3" count="1" selected="0">
            <x v="7937"/>
          </reference>
          <reference field="5" count="1" selected="0">
            <x v="7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45">
      <pivotArea dataOnly="0" labelOnly="1" outline="0" fieldPosition="0">
        <references count="11">
          <reference field="0" count="1" selected="0">
            <x v="7"/>
          </reference>
          <reference field="1" count="1">
            <x v="7851"/>
          </reference>
          <reference field="3" count="1" selected="0">
            <x v="7947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4">
      <pivotArea dataOnly="0" labelOnly="1" outline="0" fieldPosition="0">
        <references count="11">
          <reference field="0" count="1" selected="0">
            <x v="7"/>
          </reference>
          <reference field="1" count="1">
            <x v="7840"/>
          </reference>
          <reference field="3" count="1" selected="0">
            <x v="7936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3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7940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2">
      <pivotArea dataOnly="0" labelOnly="1" outline="0" fieldPosition="0">
        <references count="11">
          <reference field="0" count="1" selected="0">
            <x v="7"/>
          </reference>
          <reference field="1" count="1">
            <x v="7844"/>
          </reference>
          <reference field="3" count="1" selected="0">
            <x v="7939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1">
      <pivotArea dataOnly="0" labelOnly="1" outline="0" fieldPosition="0">
        <references count="11">
          <reference field="0" count="1" selected="0">
            <x v="7"/>
          </reference>
          <reference field="1" count="1">
            <x v="7853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0">
      <pivotArea dataOnly="0" labelOnly="1" outline="0" fieldPosition="0">
        <references count="11">
          <reference field="0" count="1" selected="0">
            <x v="7"/>
          </reference>
          <reference field="1" count="1">
            <x v="7841"/>
          </reference>
          <reference field="3" count="1" selected="0">
            <x v="7345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9">
      <pivotArea dataOnly="0" labelOnly="1" outline="0" fieldPosition="0">
        <references count="11">
          <reference field="0" count="1" selected="0">
            <x v="7"/>
          </reference>
          <reference field="1" count="1">
            <x v="7837"/>
          </reference>
          <reference field="3" count="1" selected="0">
            <x v="7935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8">
      <pivotArea dataOnly="0" labelOnly="1" outline="0" fieldPosition="0">
        <references count="11">
          <reference field="0" count="1" selected="0">
            <x v="13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7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79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6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46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5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4">
      <pivotArea dataOnly="0" labelOnly="1" outline="0" fieldPosition="0">
        <references count="11">
          <reference field="0" count="1" selected="0">
            <x v="13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3">
      <pivotArea dataOnly="0" labelOnly="1" outline="0" fieldPosition="0">
        <references count="11">
          <reference field="0" count="1" selected="0">
            <x v="13"/>
          </reference>
          <reference field="1" count="1">
            <x v="7713"/>
          </reference>
          <reference field="3" count="1" selected="0">
            <x v="0"/>
          </reference>
          <reference field="5" count="1" selected="0">
            <x v="75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2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1">
      <pivotArea dataOnly="0" labelOnly="1" outline="0" fieldPosition="0">
        <references count="11">
          <reference field="0" count="1" selected="0">
            <x v="13"/>
          </reference>
          <reference field="1" count="1">
            <x v="7782"/>
          </reference>
          <reference field="3" count="1" selected="0">
            <x v="0"/>
          </reference>
          <reference field="5" count="1" selected="0">
            <x v="5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0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9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56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8">
      <pivotArea dataOnly="0" labelOnly="1" outline="0" fieldPosition="0">
        <references count="11">
          <reference field="0" count="1" selected="0">
            <x v="13"/>
          </reference>
          <reference field="1" count="1">
            <x v="7592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7">
      <pivotArea dataOnly="0" labelOnly="1" outline="0" fieldPosition="0">
        <references count="11">
          <reference field="0" count="1" selected="0">
            <x v="13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79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6">
      <pivotArea dataOnly="0" labelOnly="1" outline="0" fieldPosition="0">
        <references count="11">
          <reference field="0" count="1" selected="0">
            <x v="14"/>
          </reference>
          <reference field="1" count="1">
            <x v="7833"/>
          </reference>
          <reference field="3" count="1" selected="0">
            <x v="2"/>
          </reference>
          <reference field="5" count="1" selected="0">
            <x v="79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5">
      <pivotArea dataOnly="0" labelOnly="1" outline="0" fieldPosition="0">
        <references count="11">
          <reference field="0" count="1" selected="0">
            <x v="14"/>
          </reference>
          <reference field="1" count="1">
            <x v="7834"/>
          </reference>
          <reference field="3" count="1" selected="0">
            <x v="7462"/>
          </reference>
          <reference field="5" count="1" selected="0">
            <x v="43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4">
      <pivotArea dataOnly="0" labelOnly="1" outline="0" fieldPosition="0">
        <references count="11">
          <reference field="0" count="1" selected="0">
            <x v="14"/>
          </reference>
          <reference field="1" count="1">
            <x v="7836"/>
          </reference>
          <reference field="3" count="1" selected="0">
            <x v="7816"/>
          </reference>
          <reference field="5" count="1" selected="0">
            <x v="34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3">
      <pivotArea dataOnly="0" labelOnly="1" outline="0" fieldPosition="0">
        <references count="11">
          <reference field="0" count="1" selected="0">
            <x v="14"/>
          </reference>
          <reference field="1" count="1">
            <x v="7832"/>
          </reference>
          <reference field="3" count="1" selected="0">
            <x v="2"/>
          </reference>
          <reference field="5" count="1" selected="0">
            <x v="79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2">
      <pivotArea dataOnly="0" labelOnly="1" outline="0" fieldPosition="0">
        <references count="11">
          <reference field="0" count="1" selected="0">
            <x v="14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1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716"/>
          </reference>
          <reference field="5" count="1" selected="0">
            <x v="35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0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19">
      <pivotArea dataOnly="0" labelOnly="1" outline="0" fieldPosition="0">
        <references count="11">
          <reference field="0" count="1" selected="0">
            <x v="14"/>
          </reference>
          <reference field="1" count="1">
            <x v="7830"/>
          </reference>
          <reference field="3" count="1" selected="0">
            <x v="6541"/>
          </reference>
          <reference field="5" count="1" selected="0">
            <x v="79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8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06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7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7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6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804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15">
      <pivotArea dataOnly="0" labelOnly="1" outline="0" fieldPosition="0">
        <references count="11">
          <reference field="0" count="1" selected="0">
            <x v="15"/>
          </reference>
          <reference field="1" count="1">
            <x v="7776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4">
      <pivotArea dataOnly="0" labelOnly="1" outline="0" fieldPosition="0">
        <references count="11">
          <reference field="0" count="1" selected="0">
            <x v="15"/>
          </reference>
          <reference field="1" count="1">
            <x v="7775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413">
      <pivotArea dataOnly="0" labelOnly="1" outline="0" fieldPosition="0">
        <references count="11">
          <reference field="0" count="1" selected="0">
            <x v="15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412">
      <pivotArea dataOnly="0" labelOnly="1" outline="0" fieldPosition="0">
        <references count="11">
          <reference field="0" count="1" selected="0">
            <x v="15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2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1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2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0">
      <pivotArea dataOnly="0" labelOnly="1" outline="0" fieldPosition="0">
        <references count="11">
          <reference field="0" count="1" selected="0">
            <x v="15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9">
      <pivotArea dataOnly="0" labelOnly="1" outline="0" fieldPosition="0">
        <references count="11">
          <reference field="0" count="1" selected="0">
            <x v="15"/>
          </reference>
          <reference field="1" count="1">
            <x v="7825"/>
          </reference>
          <reference field="3" count="1" selected="0">
            <x v="0"/>
          </reference>
          <reference field="5" count="1" selected="0">
            <x v="79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397">
      <pivotArea outline="0" collapsedLevelsAreSubtotals="1" fieldPosition="0"/>
    </format>
    <format dxfId="396">
      <pivotArea dataOnly="0" labelOnly="1" outline="0" axis="axisValues" fieldPosition="0"/>
    </format>
    <format dxfId="395">
      <pivotArea dataOnly="0" outline="0" fieldPosition="0">
        <references count="1">
          <reference field="12" count="0" defaultSubtotal="1"/>
        </references>
      </pivotArea>
    </format>
    <format dxfId="394">
      <pivotArea outline="0" collapsedLevelsAreSubtotals="1" fieldPosition="0"/>
    </format>
    <format dxfId="393">
      <pivotArea dataOnly="0" labelOnly="1" outline="0" axis="axisValues" fieldPosition="0"/>
    </format>
    <format dxfId="392">
      <pivotArea outline="0" collapsedLevelsAreSubtotals="1" fieldPosition="0"/>
    </format>
    <format dxfId="391">
      <pivotArea dataOnly="0" labelOnly="1" outline="0" axis="axisValues" fieldPosition="0"/>
    </format>
    <format dxfId="390">
      <pivotArea dataOnly="0" labelOnly="1" outline="0" axis="axisValues" fieldPosition="0"/>
    </format>
    <format dxfId="389">
      <pivotArea outline="0" collapsedLevelsAreSubtotals="1" fieldPosition="0"/>
    </format>
    <format dxfId="388">
      <pivotArea field="12" type="button" dataOnly="0" labelOnly="1" outline="0" axis="axisRow" fieldPosition="2"/>
    </format>
    <format dxfId="387">
      <pivotArea field="10" type="button" dataOnly="0" labelOnly="1" outline="0" axis="axisRow" fieldPosition="3"/>
    </format>
    <format dxfId="386">
      <pivotArea field="16" type="button" dataOnly="0" labelOnly="1" outline="0" axis="axisRow" fieldPosition="4"/>
    </format>
    <format dxfId="385">
      <pivotArea field="18" type="button" dataOnly="0" labelOnly="1" outline="0" axis="axisRow" fieldPosition="5"/>
    </format>
    <format dxfId="384">
      <pivotArea field="5" type="button" dataOnly="0" labelOnly="1" outline="0" axis="axisRow" fieldPosition="6"/>
    </format>
    <format dxfId="383">
      <pivotArea field="9" type="button" dataOnly="0" labelOnly="1" outline="0" axis="axisRow" fieldPosition="7"/>
    </format>
    <format dxfId="382">
      <pivotArea field="3" type="button" dataOnly="0" labelOnly="1" outline="0" axis="axisRow" fieldPosition="8"/>
    </format>
    <format dxfId="381">
      <pivotArea field="7" type="button" dataOnly="0" labelOnly="1" outline="0" axis="axisRow" fieldPosition="9"/>
    </format>
    <format dxfId="380">
      <pivotArea field="1" type="button" dataOnly="0" labelOnly="1" outline="0" axis="axisRow" fieldPosition="10"/>
    </format>
    <format dxfId="379">
      <pivotArea dataOnly="0" labelOnly="1" outline="0" axis="axisValues" fieldPosition="0"/>
    </format>
    <format dxfId="378">
      <pivotArea dataOnly="0" labelOnly="1" outline="0" fieldPosition="0">
        <references count="3">
          <reference field="0" count="1" selected="0">
            <x v="14"/>
          </reference>
          <reference field="12" count="2">
            <x v="11"/>
            <x v="27"/>
          </reference>
          <reference field="13" count="1" selected="0">
            <x v="0"/>
          </reference>
        </references>
      </pivotArea>
    </format>
    <format dxfId="3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1"/>
            <x v="27"/>
          </reference>
          <reference field="13" count="1" selected="0">
            <x v="0"/>
          </reference>
        </references>
      </pivotArea>
    </format>
    <format dxfId="376">
      <pivotArea dataOnly="0" labelOnly="1" outline="0" fieldPosition="0">
        <references count="3">
          <reference field="0" count="1" selected="0">
            <x v="7"/>
          </reference>
          <reference field="12" count="9">
            <x v="0"/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75">
      <pivotArea dataOnly="0" labelOnly="1" outline="0" fieldPosition="0">
        <references count="3">
          <reference field="0" count="1" selected="0">
            <x v="7"/>
          </reference>
          <reference field="12" count="9" defaultSubtotal="1">
            <x v="0"/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9"/>
            <x v="11"/>
            <x v="13"/>
            <x v="15"/>
            <x v="17"/>
            <x v="18"/>
            <x v="20"/>
            <x v="26"/>
            <x v="28"/>
            <x v="29"/>
            <x v="30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369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9"/>
            <x v="11"/>
            <x v="13"/>
            <x v="15"/>
            <x v="17"/>
            <x v="18"/>
            <x v="20"/>
            <x v="26"/>
            <x v="28"/>
            <x v="29"/>
            <x v="30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3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3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2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2"/>
            <x v="66"/>
          </reference>
        </references>
      </pivotArea>
    </format>
    <format dxfId="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2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63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8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69"/>
          </reference>
        </references>
      </pivotArea>
    </format>
    <format dxfId="252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1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0">
      <pivotArea dataOnly="0" labelOnly="1" outline="0" fieldPosition="0">
        <references count="7">
          <reference field="0" count="1" selected="0">
            <x v="7"/>
          </reference>
          <reference field="5" count="1">
            <x v="21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9">
      <pivotArea dataOnly="0" labelOnly="1" outline="0" fieldPosition="0">
        <references count="7">
          <reference field="0" count="1" selected="0">
            <x v="7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8">
      <pivotArea dataOnly="0" labelOnly="1" outline="0" fieldPosition="0">
        <references count="7">
          <reference field="0" count="1" selected="0">
            <x v="7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7">
      <pivotArea dataOnly="0" labelOnly="1" outline="0" fieldPosition="0">
        <references count="7">
          <reference field="0" count="1" selected="0">
            <x v="7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6">
      <pivotArea dataOnly="0" labelOnly="1" outline="0" fieldPosition="0">
        <references count="7">
          <reference field="0" count="1" selected="0">
            <x v="7"/>
          </reference>
          <reference field="5" count="1">
            <x v="79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">
      <pivotArea dataOnly="0" labelOnly="1" outline="0" fieldPosition="0">
        <references count="7">
          <reference field="0" count="1" selected="0">
            <x v="7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7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7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7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7"/>
          </reference>
          <reference field="5" count="1">
            <x v="79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7"/>
          </reference>
          <reference field="5" count="1">
            <x v="40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7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7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7"/>
          </reference>
          <reference field="5" count="1">
            <x v="446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2"/>
          </reference>
          <reference field="5" count="1">
            <x v="79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2"/>
          </reference>
          <reference field="5" count="3">
            <x v="7984"/>
            <x v="7985"/>
            <x v="7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2"/>
          </reference>
          <reference field="5" count="1">
            <x v="79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3"/>
          </reference>
          <reference field="5" count="1">
            <x v="4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3"/>
          </reference>
          <reference field="5" count="3">
            <x v="7981"/>
            <x v="7982"/>
            <x v="79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3"/>
          </reference>
          <reference field="5" count="1">
            <x v="75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3"/>
          </reference>
          <reference field="5" count="1">
            <x v="791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3"/>
          </reference>
          <reference field="5" count="2">
            <x v="2630"/>
            <x v="798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3"/>
          </reference>
          <reference field="5" count="1">
            <x v="79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4"/>
          </reference>
          <reference field="5" count="1">
            <x v="621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4"/>
          </reference>
          <reference field="5" count="1">
            <x v="79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8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4"/>
          </reference>
          <reference field="5" count="1">
            <x v="797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4"/>
          </reference>
          <reference field="5" count="1">
            <x v="797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4"/>
          </reference>
          <reference field="5" count="1">
            <x v="797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4"/>
          </reference>
          <reference field="5" count="2">
            <x v="7969"/>
            <x v="7970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4"/>
          </reference>
          <reference field="5" count="1">
            <x v="560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4"/>
          </reference>
          <reference field="5" count="1">
            <x v="796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4"/>
          </reference>
          <reference field="5" count="1">
            <x v="796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4"/>
          </reference>
          <reference field="5" count="1">
            <x v="403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4"/>
          </reference>
          <reference field="5" count="2">
            <x v="6019"/>
            <x v="665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4"/>
          </reference>
          <reference field="5" count="2">
            <x v="7978"/>
            <x v="797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5"/>
          </reference>
          <reference field="5" count="2">
            <x v="2778"/>
            <x v="68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5"/>
          </reference>
          <reference field="5" count="2">
            <x v="3181"/>
            <x v="79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5"/>
          </reference>
          <reference field="5" count="1">
            <x v="79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5"/>
          </reference>
          <reference field="5" count="1"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5"/>
          </reference>
          <reference field="5" count="1">
            <x v="795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5"/>
          </reference>
          <reference field="5" count="1">
            <x v="79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5"/>
          </reference>
          <reference field="5" count="1">
            <x v="22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3">
      <pivotArea dataOnly="0" labelOnly="1" outline="0" fieldPosition="0">
        <references count="9">
          <reference field="0" count="1" selected="0">
            <x v="7"/>
          </reference>
          <reference field="3" count="1">
            <x v="7998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2">
      <pivotArea dataOnly="0" labelOnly="1" outline="0" fieldPosition="0">
        <references count="9">
          <reference field="0" count="1" selected="0">
            <x v="7"/>
          </reference>
          <reference field="3" count="1">
            <x v="7993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">
      <pivotArea dataOnly="0" labelOnly="1" outline="0" fieldPosition="0">
        <references count="9">
          <reference field="0" count="1" selected="0">
            <x v="7"/>
          </reference>
          <reference field="3" count="1">
            <x v="7990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7"/>
          </reference>
          <reference field="3" count="1">
            <x v="7996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7"/>
          </reference>
          <reference field="3" count="1">
            <x v="7994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7"/>
          </reference>
          <reference field="3" count="1">
            <x v="7995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7"/>
          </reference>
          <reference field="3" count="1">
            <x v="7992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7"/>
          </reference>
          <reference field="3" count="1">
            <x v="7991"/>
          </reference>
          <reference field="5" count="1" selected="0">
            <x v="40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7"/>
          </reference>
          <reference field="3" count="1">
            <x v="7997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7"/>
          </reference>
          <reference field="3" count="1">
            <x v="7989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7"/>
          </reference>
          <reference field="3" count="1">
            <x v="7999"/>
          </reference>
          <reference field="5" count="1" selected="0">
            <x v="4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3"/>
          </reference>
          <reference field="3" count="1">
            <x v="7986"/>
          </reference>
          <reference field="5" count="1" selected="0">
            <x v="791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79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4"/>
          </reference>
          <reference field="3" count="1">
            <x v="7983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2966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2995"/>
          </reference>
          <reference field="5" count="1" selected="0">
            <x v="56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7978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7977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7971"/>
          </reference>
          <reference field="5" count="1" selected="0">
            <x v="40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665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5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5"/>
          </reference>
          <reference field="3" count="1">
            <x v="7965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5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2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8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3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6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5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2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7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9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86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9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0"/>
          </reference>
          <reference field="5" count="1" selected="0">
            <x v="79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7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3"/>
          </reference>
          <reference field="5" count="1" selected="0">
            <x v="79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4"/>
          </reference>
          <reference field="5" count="1" selected="0">
            <x v="7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6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3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5"/>
          </reference>
          <reference field="5" count="1" selected="0">
            <x v="56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8"/>
          </reference>
          <reference field="5" count="1" selected="0">
            <x v="79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7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79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1"/>
          </reference>
          <reference field="5" count="1" selected="0">
            <x v="40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0"/>
          </reference>
          <reference field="5" count="1" selected="0">
            <x v="7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14"/>
          </reference>
          <reference field="1" count="1">
            <x v="7948"/>
          </reference>
          <reference field="3" count="1" selected="0">
            <x v="2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14"/>
          </reference>
          <reference field="1" count="1">
            <x v="7956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7"/>
          </reference>
          <reference field="1" count="1">
            <x v="7986"/>
          </reference>
          <reference field="3" count="1" selected="0">
            <x v="7433"/>
          </reference>
          <reference field="5" count="1" selected="0">
            <x v="2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7"/>
          </reference>
          <reference field="1" count="1">
            <x v="7998"/>
          </reference>
          <reference field="3" count="1" selected="0">
            <x v="7998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7"/>
          </reference>
          <reference field="1" count="1">
            <x v="7993"/>
          </reference>
          <reference field="3" count="1" selected="0">
            <x v="7993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7"/>
          </reference>
          <reference field="1" count="1">
            <x v="7990"/>
          </reference>
          <reference field="3" count="1" selected="0">
            <x v="7990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7"/>
          </reference>
          <reference field="1" count="1">
            <x v="7987"/>
          </reference>
          <reference field="3" count="1" selected="0">
            <x v="7987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7"/>
          </reference>
          <reference field="1" count="1">
            <x v="7996"/>
          </reference>
          <reference field="3" count="1" selected="0">
            <x v="7996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7"/>
          </reference>
          <reference field="1" count="1">
            <x v="7994"/>
          </reference>
          <reference field="3" count="1" selected="0">
            <x v="7994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7"/>
          </reference>
          <reference field="1" count="1">
            <x v="7995"/>
          </reference>
          <reference field="3" count="1" selected="0">
            <x v="7995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7"/>
          </reference>
          <reference field="1" count="1">
            <x v="7992"/>
          </reference>
          <reference field="3" count="1" selected="0">
            <x v="7992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7"/>
          </reference>
          <reference field="1" count="1">
            <x v="7988"/>
          </reference>
          <reference field="3" count="1" selected="0">
            <x v="7988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7"/>
          </reference>
          <reference field="1" count="1">
            <x v="7991"/>
          </reference>
          <reference field="3" count="1" selected="0">
            <x v="7991"/>
          </reference>
          <reference field="5" count="1" selected="0">
            <x v="40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7"/>
          </reference>
          <reference field="1" count="1">
            <x v="7997"/>
          </reference>
          <reference field="3" count="1" selected="0">
            <x v="7997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7"/>
          </reference>
          <reference field="1" count="1">
            <x v="7989"/>
          </reference>
          <reference field="3" count="1" selected="0">
            <x v="7989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4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2"/>
          </reference>
          <reference field="1" count="1">
            <x v="7983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2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2"/>
          </reference>
          <reference field="1" count="1">
            <x v="7982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2"/>
          </reference>
          <reference field="1" count="1">
            <x v="7984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2"/>
          </reference>
          <reference field="1" count="1">
            <x v="7985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976"/>
          </reference>
          <reference field="3" count="1" selected="0">
            <x v="0"/>
          </reference>
          <reference field="5" count="1" selected="0">
            <x v="46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978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979"/>
          </reference>
          <reference field="3" count="1" selected="0">
            <x v="0"/>
          </reference>
          <reference field="5" count="1" selected="0">
            <x v="75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974"/>
          </reference>
          <reference field="3" count="1" selected="0">
            <x v="7986"/>
          </reference>
          <reference field="5" count="1" selected="0">
            <x v="79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2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79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49"/>
          </reference>
          <reference field="3" count="1" selected="0">
            <x v="7973"/>
          </reference>
          <reference field="5" count="1" selected="0">
            <x v="78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62"/>
          </reference>
          <reference field="3" count="1" selected="0">
            <x v="7982"/>
          </reference>
          <reference field="5" count="1" selected="0">
            <x v="79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61"/>
          </reference>
          <reference field="3" count="1" selected="0">
            <x v="0"/>
          </reference>
          <reference field="5" count="1" selected="0">
            <x v="62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65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60"/>
          </reference>
          <reference field="3" count="1" selected="0">
            <x v="2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57"/>
          </reference>
          <reference field="3" count="1" selected="0">
            <x v="7980"/>
          </reference>
          <reference field="5" count="1" selected="0">
            <x v="796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67"/>
          </reference>
          <reference field="3" count="1" selected="0">
            <x v="7985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63"/>
          </reference>
          <reference field="3" count="1" selected="0">
            <x v="2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64"/>
          </reference>
          <reference field="3" count="1" selected="0">
            <x v="7983"/>
          </reference>
          <reference field="5" count="1" selected="0">
            <x v="79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66"/>
          </reference>
          <reference field="3" count="1" selected="0">
            <x v="7984"/>
          </reference>
          <reference field="5" count="1" selected="0">
            <x v="79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58"/>
          </reference>
          <reference field="3" count="1" selected="0">
            <x v="7981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59"/>
          </reference>
          <reference field="3" count="1" selected="0">
            <x v="2966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43"/>
          </reference>
          <reference field="3" count="1" selected="0">
            <x v="7625"/>
          </reference>
          <reference field="5" count="1" selected="0">
            <x v="38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41"/>
          </reference>
          <reference field="3" count="1" selected="0">
            <x v="2995"/>
          </reference>
          <reference field="5" count="1" selected="0">
            <x v="56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54"/>
          </reference>
          <reference field="3" count="1" selected="0">
            <x v="7978"/>
          </reference>
          <reference field="5" count="1" selected="0">
            <x v="79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53"/>
          </reference>
          <reference field="3" count="1" selected="0">
            <x v="7977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52"/>
          </reference>
          <reference field="3" count="1" selected="0">
            <x v="7976"/>
          </reference>
          <reference field="5" count="1" selected="0">
            <x v="79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955"/>
          </reference>
          <reference field="3" count="1" selected="0">
            <x v="7979"/>
          </reference>
          <reference field="5" count="1" selected="0">
            <x v="7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945"/>
          </reference>
          <reference field="3" count="1" selected="0">
            <x v="7971"/>
          </reference>
          <reference field="5" count="1" selected="0">
            <x v="40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942"/>
          </reference>
          <reference field="3" count="1" selected="0">
            <x v="7970"/>
          </reference>
          <reference field="5" count="1" selected="0">
            <x v="79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951"/>
          </reference>
          <reference field="3" count="1" selected="0">
            <x v="7975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4"/>
          </reference>
          <reference field="1" count="1">
            <x v="7950"/>
          </reference>
          <reference field="3" count="1" selected="0">
            <x v="7974"/>
          </reference>
          <reference field="5" count="1" selected="0">
            <x v="66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4"/>
          </reference>
          <reference field="1" count="1">
            <x v="7947"/>
          </reference>
          <reference field="3" count="1" selected="0">
            <x v="7972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4"/>
          </reference>
          <reference field="1" count="1">
            <x v="7968"/>
          </reference>
          <reference field="3" count="1" selected="0">
            <x v="2"/>
          </reference>
          <reference field="5" count="1" selected="0">
            <x v="7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4"/>
          </reference>
          <reference field="1" count="1">
            <x v="7969"/>
          </reference>
          <reference field="3" count="1" selected="0">
            <x v="2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39"/>
          </reference>
          <reference field="3" count="1" selected="0">
            <x v="0"/>
          </reference>
          <reference field="5" count="1" selected="0">
            <x v="2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40"/>
          </reference>
          <reference field="3" count="1" selected="0">
            <x v="0"/>
          </reference>
          <reference field="5" count="1" selected="0">
            <x v="68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2">
            <x v="7920"/>
            <x v="7921"/>
          </reference>
          <reference field="3" count="1" selected="0">
            <x v="0"/>
          </reference>
          <reference field="5" count="1" selected="0">
            <x v="31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19"/>
          </reference>
          <reference field="3" count="1" selected="0">
            <x v="7966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7965"/>
          </reference>
          <reference field="5" count="1" selected="0">
            <x v="79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890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31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22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70" totalsRowShown="0">
  <autoFilter ref="A1:S70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401">
      <calculatedColumnFormula>LEFT(InputData[[#This Row],[Referencia]],32)</calculatedColumnFormula>
    </tableColumn>
    <tableColumn id="7" name="Tipo de aviso"/>
    <tableColumn id="8" name="Forma de Pago"/>
    <tableColumn id="9" name="Precio" dataDxfId="408"/>
    <tableColumn id="10" name="Color"/>
    <tableColumn id="11" name="Ubic.Pretendida"/>
    <tableColumn id="12" name="Ubic.Obtenida"/>
    <tableColumn id="13" name="Nro pag" dataDxfId="407"/>
    <tableColumn id="14" name="Original"/>
    <tableColumn id="15" name="Col" dataDxfId="406"/>
    <tableColumn id="16" name="AltoCm" dataDxfId="405"/>
    <tableColumn id="17" name="Evaluate Location" dataDxfId="404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03">
      <calculatedColumnFormula>ROUND(InputData[[#This Row],[AltoCm]],0)</calculatedColumnFormula>
    </tableColumn>
    <tableColumn id="19" name="Medida" dataDxfId="40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0"/>
  <sheetViews>
    <sheetView showOutlineSymbols="0" workbookViewId="0">
      <selection activeCell="A2" sqref="A2:XFD81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136</v>
      </c>
      <c r="C2" t="s">
        <v>137</v>
      </c>
      <c r="E2" t="s">
        <v>138</v>
      </c>
      <c r="F2" t="str">
        <f>LEFT(InputData[[#This Row],[Referencia]],32)</f>
        <v>vendo inmueble alte brown</v>
      </c>
      <c r="G2" t="s">
        <v>41</v>
      </c>
      <c r="H2" t="s">
        <v>20</v>
      </c>
      <c r="I2" s="24">
        <v>907.9</v>
      </c>
      <c r="J2" t="s">
        <v>39</v>
      </c>
      <c r="K2" t="s">
        <v>135</v>
      </c>
      <c r="M2" s="25">
        <v>0</v>
      </c>
      <c r="N2" t="s">
        <v>19</v>
      </c>
      <c r="O2" s="23">
        <v>2</v>
      </c>
      <c r="P2" s="26">
        <v>8.9999999987222221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9</v>
      </c>
      <c r="S2" t="str">
        <f>InputData[[#This Row],[Col]]&amp;"x"&amp;IF(LEN(InputData[[#This Row],[Alto]])=2,InputData[[#This Row],[Alto]],"0"&amp;InputData[[#This Row],[Alto]])</f>
        <v>2x09</v>
      </c>
    </row>
    <row r="3" spans="1:19" hidden="1" x14ac:dyDescent="0.2">
      <c r="A3" t="s">
        <v>38</v>
      </c>
      <c r="B3" t="s">
        <v>142</v>
      </c>
      <c r="C3" t="s">
        <v>143</v>
      </c>
      <c r="D3" t="s">
        <v>144</v>
      </c>
      <c r="E3" t="s">
        <v>145</v>
      </c>
      <c r="F3" t="str">
        <f>LEFT(InputData[[#This Row],[Referencia]],32)</f>
        <v>EDICTO DE NOTIFICACION  EL SUPER</v>
      </c>
      <c r="G3" t="s">
        <v>146</v>
      </c>
      <c r="H3" t="s">
        <v>40</v>
      </c>
      <c r="I3" s="24">
        <v>9226.75</v>
      </c>
      <c r="J3" t="s">
        <v>39</v>
      </c>
      <c r="K3" t="s">
        <v>141</v>
      </c>
      <c r="M3" s="25">
        <v>0</v>
      </c>
      <c r="N3" t="s">
        <v>19</v>
      </c>
      <c r="O3" s="23">
        <v>2</v>
      </c>
      <c r="P3" s="26">
        <v>20.000000001472223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20</v>
      </c>
      <c r="S3" t="str">
        <f>InputData[[#This Row],[Col]]&amp;"x"&amp;IF(LEN(InputData[[#This Row],[Alto]])=2,InputData[[#This Row],[Alto]],"0"&amp;InputData[[#This Row],[Alto]])</f>
        <v>2x20</v>
      </c>
    </row>
    <row r="4" spans="1:19" hidden="1" x14ac:dyDescent="0.2">
      <c r="A4" t="s">
        <v>38</v>
      </c>
      <c r="B4" t="s">
        <v>147</v>
      </c>
      <c r="C4" t="s">
        <v>148</v>
      </c>
      <c r="E4" t="s">
        <v>149</v>
      </c>
      <c r="F4" t="str">
        <f>LEFT(InputData[[#This Row],[Referencia]],32)</f>
        <v>EDICTO DE CITACION     LA COORDI</v>
      </c>
      <c r="G4" t="s">
        <v>139</v>
      </c>
      <c r="H4" t="s">
        <v>20</v>
      </c>
      <c r="I4" s="24">
        <v>664.06000000000006</v>
      </c>
      <c r="J4" t="s">
        <v>39</v>
      </c>
      <c r="K4" t="s">
        <v>141</v>
      </c>
      <c r="M4" s="25">
        <v>0</v>
      </c>
      <c r="N4" t="s">
        <v>19</v>
      </c>
      <c r="O4" s="23">
        <v>2</v>
      </c>
      <c r="P4" s="26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38</v>
      </c>
      <c r="B5" t="s">
        <v>150</v>
      </c>
      <c r="C5" t="s">
        <v>151</v>
      </c>
      <c r="D5" t="s">
        <v>152</v>
      </c>
      <c r="E5" t="s">
        <v>153</v>
      </c>
      <c r="F5" t="str">
        <f>LEFT(InputData[[#This Row],[Referencia]],32)</f>
        <v>SARMIENTO SERGIO ANTONIO EXPTE C</v>
      </c>
      <c r="G5" t="s">
        <v>139</v>
      </c>
      <c r="H5" t="s">
        <v>40</v>
      </c>
      <c r="I5" s="24">
        <v>830.07666666666671</v>
      </c>
      <c r="J5" t="s">
        <v>39</v>
      </c>
      <c r="K5" t="s">
        <v>141</v>
      </c>
      <c r="M5" s="25">
        <v>0</v>
      </c>
      <c r="N5" t="s">
        <v>19</v>
      </c>
      <c r="O5" s="23">
        <v>2</v>
      </c>
      <c r="P5" s="26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t="s">
        <v>38</v>
      </c>
      <c r="B6" t="s">
        <v>154</v>
      </c>
      <c r="C6" t="s">
        <v>155</v>
      </c>
      <c r="E6" t="s">
        <v>156</v>
      </c>
      <c r="F6" t="str">
        <f>LEFT(InputData[[#This Row],[Referencia]],32)</f>
        <v>EDICTO DE CITACION   LA COORDINA</v>
      </c>
      <c r="G6" t="s">
        <v>139</v>
      </c>
      <c r="H6" t="s">
        <v>20</v>
      </c>
      <c r="I6" s="24">
        <v>664.06000000000006</v>
      </c>
      <c r="J6" t="s">
        <v>39</v>
      </c>
      <c r="K6" t="s">
        <v>141</v>
      </c>
      <c r="M6" s="25">
        <v>0</v>
      </c>
      <c r="N6" t="s">
        <v>19</v>
      </c>
      <c r="O6" s="23">
        <v>2</v>
      </c>
      <c r="P6" s="26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38</v>
      </c>
      <c r="B7" t="s">
        <v>157</v>
      </c>
      <c r="C7" t="s">
        <v>158</v>
      </c>
      <c r="E7" t="s">
        <v>159</v>
      </c>
      <c r="F7" t="str">
        <f>LEFT(InputData[[#This Row],[Referencia]],32)</f>
        <v>EDICTO DE CITACION   LA COORDINA</v>
      </c>
      <c r="G7" t="s">
        <v>139</v>
      </c>
      <c r="H7" t="s">
        <v>20</v>
      </c>
      <c r="I7" s="24">
        <v>664.06000000000006</v>
      </c>
      <c r="J7" t="s">
        <v>39</v>
      </c>
      <c r="K7" t="s">
        <v>141</v>
      </c>
      <c r="M7" s="25">
        <v>0</v>
      </c>
      <c r="N7" t="s">
        <v>19</v>
      </c>
      <c r="O7" s="23">
        <v>2</v>
      </c>
      <c r="P7" s="26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t="s">
        <v>38</v>
      </c>
      <c r="B8" t="s">
        <v>160</v>
      </c>
      <c r="C8" t="s">
        <v>161</v>
      </c>
      <c r="E8" t="s">
        <v>162</v>
      </c>
      <c r="F8" t="str">
        <f>LEFT(InputData[[#This Row],[Referencia]],32)</f>
        <v>COOPERATIVA DE VIVIENDA, CRÉDITO</v>
      </c>
      <c r="G8" t="s">
        <v>86</v>
      </c>
      <c r="H8" t="s">
        <v>20</v>
      </c>
      <c r="I8" s="24">
        <v>1550.0900000000001</v>
      </c>
      <c r="J8" t="s">
        <v>39</v>
      </c>
      <c r="K8" t="s">
        <v>87</v>
      </c>
      <c r="M8" s="25">
        <v>0</v>
      </c>
      <c r="N8" t="s">
        <v>19</v>
      </c>
      <c r="O8" s="23">
        <v>2</v>
      </c>
      <c r="P8" s="26">
        <v>15.000000000222226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15</v>
      </c>
      <c r="S8" t="str">
        <f>InputData[[#This Row],[Col]]&amp;"x"&amp;IF(LEN(InputData[[#This Row],[Alto]])=2,InputData[[#This Row],[Alto]],"0"&amp;InputData[[#This Row],[Alto]])</f>
        <v>2x15</v>
      </c>
    </row>
    <row r="9" spans="1:19" hidden="1" x14ac:dyDescent="0.2">
      <c r="A9" t="s">
        <v>38</v>
      </c>
      <c r="B9" t="s">
        <v>163</v>
      </c>
      <c r="C9" t="s">
        <v>164</v>
      </c>
      <c r="E9" t="s">
        <v>165</v>
      </c>
      <c r="F9" t="str">
        <f>LEFT(InputData[[#This Row],[Referencia]],32)</f>
        <v>COLEGIO DE GRADUADOS EN CIENCIAS</v>
      </c>
      <c r="G9" t="s">
        <v>86</v>
      </c>
      <c r="H9" t="s">
        <v>20</v>
      </c>
      <c r="I9" s="24">
        <v>3223.77</v>
      </c>
      <c r="J9" t="s">
        <v>39</v>
      </c>
      <c r="K9" t="s">
        <v>87</v>
      </c>
      <c r="M9" s="25">
        <v>0</v>
      </c>
      <c r="N9" t="s">
        <v>19</v>
      </c>
      <c r="O9" s="23">
        <v>3</v>
      </c>
      <c r="P9" s="26">
        <v>16.000000000472223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16</v>
      </c>
      <c r="S9" t="str">
        <f>InputData[[#This Row],[Col]]&amp;"x"&amp;IF(LEN(InputData[[#This Row],[Alto]])=2,InputData[[#This Row],[Alto]],"0"&amp;InputData[[#This Row],[Alto]])</f>
        <v>3x16</v>
      </c>
    </row>
    <row r="10" spans="1:19" hidden="1" x14ac:dyDescent="0.2">
      <c r="A10" t="s">
        <v>38</v>
      </c>
      <c r="B10" t="s">
        <v>166</v>
      </c>
      <c r="C10" t="s">
        <v>79</v>
      </c>
      <c r="E10" t="s">
        <v>80</v>
      </c>
      <c r="F10" t="str">
        <f>LEFT(InputData[[#This Row],[Referencia]],32)</f>
        <v>COSEJERO y HECHICERO DEL AMOR JA</v>
      </c>
      <c r="G10" t="s">
        <v>41</v>
      </c>
      <c r="H10" t="s">
        <v>20</v>
      </c>
      <c r="I10" s="24">
        <v>705.66399999999999</v>
      </c>
      <c r="J10" t="s">
        <v>39</v>
      </c>
      <c r="K10" t="s">
        <v>42</v>
      </c>
      <c r="M10" s="25">
        <v>0</v>
      </c>
      <c r="N10" t="s">
        <v>19</v>
      </c>
      <c r="O10" s="23">
        <v>3</v>
      </c>
      <c r="P10" s="26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3x05</v>
      </c>
    </row>
    <row r="11" spans="1:19" hidden="1" x14ac:dyDescent="0.2">
      <c r="A11" t="s">
        <v>38</v>
      </c>
      <c r="B11" t="s">
        <v>167</v>
      </c>
      <c r="C11" t="s">
        <v>168</v>
      </c>
      <c r="E11" t="s">
        <v>169</v>
      </c>
      <c r="F11" t="str">
        <f>LEFT(InputData[[#This Row],[Referencia]],32)</f>
        <v>MAGIA CHAMANICA - LOS APUS  MAES</v>
      </c>
      <c r="G11" t="s">
        <v>41</v>
      </c>
      <c r="H11" t="s">
        <v>20</v>
      </c>
      <c r="I11" s="24">
        <v>720.06571428571431</v>
      </c>
      <c r="J11" t="s">
        <v>39</v>
      </c>
      <c r="K11" t="s">
        <v>42</v>
      </c>
      <c r="M11" s="25">
        <v>0</v>
      </c>
      <c r="N11" t="s">
        <v>19</v>
      </c>
      <c r="O11" s="23">
        <v>3</v>
      </c>
      <c r="P11" s="26">
        <v>5.0000000012500001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5</v>
      </c>
      <c r="S11" t="str">
        <f>InputData[[#This Row],[Col]]&amp;"x"&amp;IF(LEN(InputData[[#This Row],[Alto]])=2,InputData[[#This Row],[Alto]],"0"&amp;InputData[[#This Row],[Alto]])</f>
        <v>3x05</v>
      </c>
    </row>
    <row r="12" spans="1:19" hidden="1" x14ac:dyDescent="0.2">
      <c r="A12" t="s">
        <v>21</v>
      </c>
      <c r="B12" t="s">
        <v>170</v>
      </c>
      <c r="C12" t="s">
        <v>90</v>
      </c>
      <c r="D12" t="s">
        <v>171</v>
      </c>
      <c r="E12" t="s">
        <v>172</v>
      </c>
      <c r="F12" t="str">
        <f>LEFT(InputData[[#This Row],[Referencia]],32)</f>
        <v>PIZPIRETA  FM JUJUY ....</v>
      </c>
      <c r="G12" t="s">
        <v>22</v>
      </c>
      <c r="H12" t="s">
        <v>56</v>
      </c>
      <c r="I12" s="24">
        <v>2596.6999999999998</v>
      </c>
      <c r="J12" t="s">
        <v>9</v>
      </c>
      <c r="K12" t="s">
        <v>30</v>
      </c>
      <c r="L12" t="s">
        <v>30</v>
      </c>
      <c r="M12" s="25">
        <v>20</v>
      </c>
      <c r="N12" t="s">
        <v>19</v>
      </c>
      <c r="O12" s="23">
        <v>2</v>
      </c>
      <c r="P12" s="26">
        <v>13.433777777777777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13</v>
      </c>
      <c r="S12" t="str">
        <f>InputData[[#This Row],[Col]]&amp;"x"&amp;IF(LEN(InputData[[#This Row],[Alto]])=2,InputData[[#This Row],[Alto]],"0"&amp;InputData[[#This Row],[Alto]])</f>
        <v>2x13</v>
      </c>
    </row>
    <row r="13" spans="1:19" hidden="1" x14ac:dyDescent="0.2">
      <c r="A13" t="s">
        <v>21</v>
      </c>
      <c r="B13" t="s">
        <v>173</v>
      </c>
      <c r="C13" t="s">
        <v>90</v>
      </c>
      <c r="D13" t="s">
        <v>174</v>
      </c>
      <c r="E13" t="s">
        <v>175</v>
      </c>
      <c r="F13" t="str">
        <f>LEFT(InputData[[#This Row],[Referencia]],32)</f>
        <v>LA MAGIA DE LAS PALABRAS - FM SO</v>
      </c>
      <c r="G13" t="s">
        <v>22</v>
      </c>
      <c r="H13" t="s">
        <v>56</v>
      </c>
      <c r="I13" s="24">
        <v>2337.0300000000002</v>
      </c>
      <c r="J13" t="s">
        <v>9</v>
      </c>
      <c r="K13" t="s">
        <v>30</v>
      </c>
      <c r="L13" t="s">
        <v>30</v>
      </c>
      <c r="M13" s="25">
        <v>34</v>
      </c>
      <c r="N13" t="s">
        <v>19</v>
      </c>
      <c r="O13" s="23">
        <v>2</v>
      </c>
      <c r="P13" s="26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21</v>
      </c>
      <c r="B14" t="s">
        <v>176</v>
      </c>
      <c r="C14" t="s">
        <v>90</v>
      </c>
      <c r="D14" t="s">
        <v>177</v>
      </c>
      <c r="E14" t="s">
        <v>178</v>
      </c>
      <c r="F14" t="str">
        <f>LEFT(InputData[[#This Row],[Referencia]],32)</f>
        <v>FM JUJUY UN DIA PERFECTO</v>
      </c>
      <c r="G14" t="s">
        <v>22</v>
      </c>
      <c r="H14" t="s">
        <v>56</v>
      </c>
      <c r="I14" s="24">
        <v>3505.55</v>
      </c>
      <c r="J14" t="s">
        <v>9</v>
      </c>
      <c r="K14" t="s">
        <v>30</v>
      </c>
      <c r="L14" t="s">
        <v>30</v>
      </c>
      <c r="M14" s="25">
        <v>18</v>
      </c>
      <c r="N14" t="s">
        <v>19</v>
      </c>
      <c r="O14" s="23">
        <v>3</v>
      </c>
      <c r="P14" s="26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t="s">
        <v>21</v>
      </c>
      <c r="B15" t="s">
        <v>179</v>
      </c>
      <c r="C15" t="s">
        <v>103</v>
      </c>
      <c r="E15" t="s">
        <v>107</v>
      </c>
      <c r="F15" t="str">
        <f>LEFT(InputData[[#This Row],[Referencia]],32)</f>
        <v>SEX SHOP ///AVISO ARMADO////</v>
      </c>
      <c r="G15" t="s">
        <v>22</v>
      </c>
      <c r="H15" t="s">
        <v>20</v>
      </c>
      <c r="I15" s="24">
        <v>0</v>
      </c>
      <c r="J15" t="s">
        <v>9</v>
      </c>
      <c r="K15" t="s">
        <v>30</v>
      </c>
      <c r="L15" t="s">
        <v>30</v>
      </c>
      <c r="M15" s="25">
        <v>26</v>
      </c>
      <c r="N15" t="s">
        <v>19</v>
      </c>
      <c r="O15" s="23">
        <v>1</v>
      </c>
      <c r="P15" s="26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hidden="1" x14ac:dyDescent="0.2">
      <c r="A16" t="s">
        <v>21</v>
      </c>
      <c r="B16" t="s">
        <v>180</v>
      </c>
      <c r="C16" t="s">
        <v>181</v>
      </c>
      <c r="D16" t="s">
        <v>182</v>
      </c>
      <c r="E16" t="s">
        <v>183</v>
      </c>
      <c r="F16" t="str">
        <f>LEFT(InputData[[#This Row],[Referencia]],32)</f>
        <v>FRIAR</v>
      </c>
      <c r="G16" t="s">
        <v>22</v>
      </c>
      <c r="H16" t="s">
        <v>40</v>
      </c>
      <c r="I16" s="24">
        <v>5613.95</v>
      </c>
      <c r="J16" t="s">
        <v>39</v>
      </c>
      <c r="K16" t="s">
        <v>30</v>
      </c>
      <c r="L16" t="s">
        <v>30</v>
      </c>
      <c r="M16" s="25">
        <v>33</v>
      </c>
      <c r="N16" t="s">
        <v>19</v>
      </c>
      <c r="O16" s="23">
        <v>5</v>
      </c>
      <c r="P16" s="26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5x10</v>
      </c>
    </row>
    <row r="17" spans="1:19" hidden="1" x14ac:dyDescent="0.2">
      <c r="A17" t="s">
        <v>21</v>
      </c>
      <c r="B17" t="s">
        <v>184</v>
      </c>
      <c r="C17" t="s">
        <v>185</v>
      </c>
      <c r="E17" t="s">
        <v>186</v>
      </c>
      <c r="F17" t="str">
        <f>LEFT(InputData[[#This Row],[Referencia]],32)</f>
        <v>COMUNICADO Sociedades Médicas Ci</v>
      </c>
      <c r="G17" t="s">
        <v>187</v>
      </c>
      <c r="H17" t="s">
        <v>20</v>
      </c>
      <c r="I17" s="24">
        <v>24439.920000000002</v>
      </c>
      <c r="J17" t="s">
        <v>39</v>
      </c>
      <c r="K17" t="s">
        <v>30</v>
      </c>
      <c r="L17" t="s">
        <v>30</v>
      </c>
      <c r="M17" s="25">
        <v>5</v>
      </c>
      <c r="N17" t="s">
        <v>19</v>
      </c>
      <c r="O17" s="23">
        <v>3</v>
      </c>
      <c r="P17" s="26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t="s">
        <v>21</v>
      </c>
      <c r="B18" t="s">
        <v>188</v>
      </c>
      <c r="C18" t="s">
        <v>44</v>
      </c>
      <c r="D18" t="s">
        <v>189</v>
      </c>
      <c r="E18" t="s">
        <v>45</v>
      </c>
      <c r="F18" t="str">
        <f>LEFT(InputData[[#This Row],[Referencia]],32)</f>
        <v>LA COCHERIA SRL</v>
      </c>
      <c r="G18" t="s">
        <v>22</v>
      </c>
      <c r="H18" t="s">
        <v>40</v>
      </c>
      <c r="I18" s="24">
        <v>989.19</v>
      </c>
      <c r="J18" t="s">
        <v>9</v>
      </c>
      <c r="K18" t="s">
        <v>23</v>
      </c>
      <c r="L18" t="s">
        <v>23</v>
      </c>
      <c r="M18" s="25">
        <v>35</v>
      </c>
      <c r="N18" t="s">
        <v>19</v>
      </c>
      <c r="O18" s="23">
        <v>3</v>
      </c>
      <c r="P18" s="26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3x03</v>
      </c>
    </row>
    <row r="19" spans="1:19" hidden="1" x14ac:dyDescent="0.2">
      <c r="A19" t="s">
        <v>21</v>
      </c>
      <c r="B19" t="s">
        <v>190</v>
      </c>
      <c r="C19" t="s">
        <v>53</v>
      </c>
      <c r="D19" t="s">
        <v>54</v>
      </c>
      <c r="E19" t="s">
        <v>191</v>
      </c>
      <c r="F19" t="str">
        <f>LEFT(InputData[[#This Row],[Referencia]],32)</f>
        <v>TOMBOLA....  Gobierno de JUJUY a</v>
      </c>
      <c r="G19" t="s">
        <v>55</v>
      </c>
      <c r="H19" t="s">
        <v>40</v>
      </c>
      <c r="I19" s="24">
        <v>153076.92000000001</v>
      </c>
      <c r="J19" t="s">
        <v>9</v>
      </c>
      <c r="K19" t="s">
        <v>23</v>
      </c>
      <c r="L19" t="s">
        <v>23</v>
      </c>
      <c r="M19" s="25">
        <v>11</v>
      </c>
      <c r="N19" t="s">
        <v>49</v>
      </c>
      <c r="O19" s="23">
        <v>5</v>
      </c>
      <c r="P19" s="26">
        <v>17.000000000722224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21</v>
      </c>
      <c r="B20" t="s">
        <v>192</v>
      </c>
      <c r="C20" t="s">
        <v>50</v>
      </c>
      <c r="D20" t="s">
        <v>193</v>
      </c>
      <c r="E20" t="s">
        <v>51</v>
      </c>
      <c r="F20" t="str">
        <f>LEFT(InputData[[#This Row],[Referencia]],32)</f>
        <v>FARMACIA YRIGOYEN</v>
      </c>
      <c r="G20" t="s">
        <v>22</v>
      </c>
      <c r="H20" t="s">
        <v>40</v>
      </c>
      <c r="I20" s="24">
        <v>364.94</v>
      </c>
      <c r="J20" t="s">
        <v>9</v>
      </c>
      <c r="K20" t="s">
        <v>48</v>
      </c>
      <c r="M20" s="25">
        <v>0</v>
      </c>
      <c r="N20" t="s">
        <v>19</v>
      </c>
      <c r="O20" s="23">
        <v>2</v>
      </c>
      <c r="P20" s="26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2x03</v>
      </c>
    </row>
    <row r="21" spans="1:19" hidden="1" x14ac:dyDescent="0.2">
      <c r="A21" t="s">
        <v>21</v>
      </c>
      <c r="B21" t="s">
        <v>194</v>
      </c>
      <c r="C21" t="s">
        <v>43</v>
      </c>
      <c r="D21" t="s">
        <v>195</v>
      </c>
      <c r="E21" t="s">
        <v>52</v>
      </c>
      <c r="F21" t="str">
        <f>LEFT(InputData[[#This Row],[Referencia]],32)</f>
        <v>WERCHOW OBITUARIO</v>
      </c>
      <c r="G21" t="s">
        <v>22</v>
      </c>
      <c r="H21" t="s">
        <v>40</v>
      </c>
      <c r="I21" s="24">
        <v>1131.22</v>
      </c>
      <c r="J21" t="s">
        <v>9</v>
      </c>
      <c r="K21" t="s">
        <v>48</v>
      </c>
      <c r="L21" t="s">
        <v>48</v>
      </c>
      <c r="M21" s="25">
        <v>35</v>
      </c>
      <c r="N21" t="s">
        <v>19</v>
      </c>
      <c r="O21" s="23">
        <v>5</v>
      </c>
      <c r="P21" s="26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5x03</v>
      </c>
    </row>
    <row r="22" spans="1:19" hidden="1" x14ac:dyDescent="0.2">
      <c r="A22" t="s">
        <v>21</v>
      </c>
      <c r="B22" t="s">
        <v>196</v>
      </c>
      <c r="C22" t="s">
        <v>46</v>
      </c>
      <c r="D22" t="s">
        <v>197</v>
      </c>
      <c r="E22" t="s">
        <v>47</v>
      </c>
      <c r="F22" t="str">
        <f>LEFT(InputData[[#This Row],[Referencia]],32)</f>
        <v>SERIVICIO SOCIALES FUTURO...</v>
      </c>
      <c r="G22" t="s">
        <v>22</v>
      </c>
      <c r="H22" t="s">
        <v>40</v>
      </c>
      <c r="I22" s="24">
        <v>876.18000000000006</v>
      </c>
      <c r="J22" t="s">
        <v>9</v>
      </c>
      <c r="K22" t="s">
        <v>48</v>
      </c>
      <c r="L22" t="s">
        <v>48</v>
      </c>
      <c r="M22" s="25">
        <v>35</v>
      </c>
      <c r="N22" t="s">
        <v>19</v>
      </c>
      <c r="O22" s="23">
        <v>5</v>
      </c>
      <c r="P22" s="26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t="s">
        <v>21</v>
      </c>
      <c r="B23" t="s">
        <v>198</v>
      </c>
      <c r="C23" t="s">
        <v>199</v>
      </c>
      <c r="D23" t="s">
        <v>200</v>
      </c>
      <c r="E23" t="s">
        <v>201</v>
      </c>
      <c r="F23" t="str">
        <f>LEFT(InputData[[#This Row],[Referencia]],32)</f>
        <v>JUJUY MODELS (SUP ESTILOS) bonif</v>
      </c>
      <c r="G23" t="s">
        <v>22</v>
      </c>
      <c r="H23" t="s">
        <v>56</v>
      </c>
      <c r="I23" s="24">
        <v>5211.95</v>
      </c>
      <c r="J23" t="s">
        <v>9</v>
      </c>
      <c r="K23" t="s">
        <v>85</v>
      </c>
      <c r="L23" t="s">
        <v>85</v>
      </c>
      <c r="M23" s="25">
        <v>29</v>
      </c>
      <c r="N23" t="s">
        <v>19</v>
      </c>
      <c r="O23" s="23">
        <v>5</v>
      </c>
      <c r="P23" s="26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21</v>
      </c>
      <c r="B24" t="s">
        <v>202</v>
      </c>
      <c r="C24" t="s">
        <v>203</v>
      </c>
      <c r="D24" t="s">
        <v>204</v>
      </c>
      <c r="E24" t="s">
        <v>205</v>
      </c>
      <c r="F24" t="str">
        <f>LEFT(InputData[[#This Row],[Referencia]],32)</f>
        <v>NEW FOX</v>
      </c>
      <c r="G24" t="s">
        <v>22</v>
      </c>
      <c r="H24" t="s">
        <v>40</v>
      </c>
      <c r="I24" s="24">
        <v>0</v>
      </c>
      <c r="J24" t="s">
        <v>9</v>
      </c>
      <c r="K24" t="s">
        <v>85</v>
      </c>
      <c r="L24" t="s">
        <v>85</v>
      </c>
      <c r="M24" s="25">
        <v>28</v>
      </c>
      <c r="N24" t="s">
        <v>19</v>
      </c>
      <c r="O24" s="23">
        <v>3</v>
      </c>
      <c r="P24" s="26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hidden="1" x14ac:dyDescent="0.2">
      <c r="A25" t="s">
        <v>21</v>
      </c>
      <c r="B25" t="s">
        <v>206</v>
      </c>
      <c r="C25" t="s">
        <v>207</v>
      </c>
      <c r="D25" t="s">
        <v>208</v>
      </c>
      <c r="E25" t="s">
        <v>209</v>
      </c>
      <c r="F25" t="str">
        <f>LEFT(InputData[[#This Row],[Referencia]],32)</f>
        <v>COLEGIO DE OPTICOS ESP ESTILOS /</v>
      </c>
      <c r="G25" t="s">
        <v>22</v>
      </c>
      <c r="H25" t="s">
        <v>56</v>
      </c>
      <c r="I25" s="24">
        <v>1667.57</v>
      </c>
      <c r="J25" t="s">
        <v>9</v>
      </c>
      <c r="K25" t="s">
        <v>85</v>
      </c>
      <c r="L25" t="s">
        <v>85</v>
      </c>
      <c r="M25" s="25">
        <v>28</v>
      </c>
      <c r="N25" t="s">
        <v>19</v>
      </c>
      <c r="O25" s="23">
        <v>2</v>
      </c>
      <c r="P25" s="26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2x13</v>
      </c>
    </row>
    <row r="26" spans="1:19" hidden="1" x14ac:dyDescent="0.2">
      <c r="A26" t="s">
        <v>21</v>
      </c>
      <c r="B26" t="s">
        <v>210</v>
      </c>
      <c r="C26" t="s">
        <v>211</v>
      </c>
      <c r="D26" t="s">
        <v>212</v>
      </c>
      <c r="E26" t="s">
        <v>213</v>
      </c>
      <c r="F26" t="str">
        <f>LEFT(InputData[[#This Row],[Referencia]],32)</f>
        <v>COMPLEJO RETRO - LA TERMINAL</v>
      </c>
      <c r="G26" t="s">
        <v>22</v>
      </c>
      <c r="H26" t="s">
        <v>40</v>
      </c>
      <c r="I26" s="24">
        <v>6097.85</v>
      </c>
      <c r="J26" t="s">
        <v>9</v>
      </c>
      <c r="K26" t="s">
        <v>85</v>
      </c>
      <c r="L26" t="s">
        <v>85</v>
      </c>
      <c r="M26" s="25">
        <v>30</v>
      </c>
      <c r="N26" t="s">
        <v>19</v>
      </c>
      <c r="O26" s="23">
        <v>5</v>
      </c>
      <c r="P26" s="26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21</v>
      </c>
      <c r="B27" t="s">
        <v>214</v>
      </c>
      <c r="C27" t="s">
        <v>215</v>
      </c>
      <c r="E27" t="s">
        <v>216</v>
      </c>
      <c r="F27" t="str">
        <f>LEFT(InputData[[#This Row],[Referencia]],32)</f>
        <v>I nstituto Salteño de Intercambi</v>
      </c>
      <c r="G27" t="s">
        <v>22</v>
      </c>
      <c r="H27" t="s">
        <v>20</v>
      </c>
      <c r="I27" s="24">
        <v>6425.34</v>
      </c>
      <c r="J27" t="s">
        <v>9</v>
      </c>
      <c r="K27" t="s">
        <v>85</v>
      </c>
      <c r="L27" t="s">
        <v>85</v>
      </c>
      <c r="M27" s="25">
        <v>27</v>
      </c>
      <c r="N27" t="s">
        <v>49</v>
      </c>
      <c r="O27" s="23">
        <v>5</v>
      </c>
      <c r="P27" s="26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21</v>
      </c>
      <c r="B28" t="s">
        <v>217</v>
      </c>
      <c r="C28" t="s">
        <v>90</v>
      </c>
      <c r="D28" t="s">
        <v>218</v>
      </c>
      <c r="E28" t="s">
        <v>219</v>
      </c>
      <c r="F28" t="str">
        <f>LEFT(InputData[[#This Row],[Referencia]],32)</f>
        <v>VOTO RUBEN RIVAROLA - SENADOR</v>
      </c>
      <c r="G28" t="s">
        <v>22</v>
      </c>
      <c r="H28" t="s">
        <v>56</v>
      </c>
      <c r="I28" s="24">
        <v>12195.7</v>
      </c>
      <c r="J28" t="s">
        <v>9</v>
      </c>
      <c r="K28" t="s">
        <v>85</v>
      </c>
      <c r="L28" t="s">
        <v>85</v>
      </c>
      <c r="M28" s="25">
        <v>9</v>
      </c>
      <c r="N28" t="s">
        <v>19</v>
      </c>
      <c r="O28" s="23">
        <v>5</v>
      </c>
      <c r="P28" s="26">
        <v>34.769777777777783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21</v>
      </c>
      <c r="B29" t="s">
        <v>220</v>
      </c>
      <c r="C29" t="s">
        <v>221</v>
      </c>
      <c r="D29" t="s">
        <v>222</v>
      </c>
      <c r="E29" t="s">
        <v>223</v>
      </c>
      <c r="F29" t="str">
        <f>LEFT(InputData[[#This Row],[Referencia]],32)</f>
        <v>QUINOA - GASTRONOMICO</v>
      </c>
      <c r="G29" t="s">
        <v>22</v>
      </c>
      <c r="H29" t="s">
        <v>40</v>
      </c>
      <c r="I29" s="24">
        <v>4756.29</v>
      </c>
      <c r="J29" t="s">
        <v>9</v>
      </c>
      <c r="K29" t="s">
        <v>85</v>
      </c>
      <c r="L29" t="s">
        <v>85</v>
      </c>
      <c r="M29" s="25">
        <v>17</v>
      </c>
      <c r="N29" t="s">
        <v>19</v>
      </c>
      <c r="O29" s="23">
        <v>5</v>
      </c>
      <c r="P29" s="26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5x10</v>
      </c>
    </row>
    <row r="30" spans="1:19" hidden="1" x14ac:dyDescent="0.2">
      <c r="A30" t="s">
        <v>21</v>
      </c>
      <c r="B30" t="s">
        <v>224</v>
      </c>
      <c r="C30" t="s">
        <v>225</v>
      </c>
      <c r="D30" t="s">
        <v>226</v>
      </c>
      <c r="E30" t="s">
        <v>227</v>
      </c>
      <c r="F30" t="str">
        <f>LEFT(InputData[[#This Row],[Referencia]],32)</f>
        <v>PANCHAMAMA...</v>
      </c>
      <c r="G30" t="s">
        <v>22</v>
      </c>
      <c r="H30" t="s">
        <v>20</v>
      </c>
      <c r="I30" s="24">
        <v>4756.29</v>
      </c>
      <c r="J30" t="s">
        <v>9</v>
      </c>
      <c r="K30" t="s">
        <v>85</v>
      </c>
      <c r="L30" t="s">
        <v>85</v>
      </c>
      <c r="M30" s="25">
        <v>17</v>
      </c>
      <c r="N30" t="s">
        <v>19</v>
      </c>
      <c r="O30" s="23">
        <v>5</v>
      </c>
      <c r="P30" s="26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5x10</v>
      </c>
    </row>
    <row r="31" spans="1:19" hidden="1" x14ac:dyDescent="0.2">
      <c r="A31" t="s">
        <v>21</v>
      </c>
      <c r="B31" t="s">
        <v>228</v>
      </c>
      <c r="C31" t="s">
        <v>53</v>
      </c>
      <c r="D31" t="s">
        <v>54</v>
      </c>
      <c r="E31" t="s">
        <v>229</v>
      </c>
      <c r="F31" t="str">
        <f>LEFT(InputData[[#This Row],[Referencia]],32)</f>
        <v xml:space="preserve">CENTRO de ATENCION RENTAS JUJUY </v>
      </c>
      <c r="G31" t="s">
        <v>55</v>
      </c>
      <c r="H31" t="s">
        <v>40</v>
      </c>
      <c r="I31" s="24">
        <v>223461.54</v>
      </c>
      <c r="J31" t="s">
        <v>9</v>
      </c>
      <c r="K31" t="s">
        <v>230</v>
      </c>
      <c r="L31" t="s">
        <v>230</v>
      </c>
      <c r="M31" s="25">
        <v>7</v>
      </c>
      <c r="N31" t="s">
        <v>19</v>
      </c>
      <c r="O31" s="23">
        <v>5</v>
      </c>
      <c r="P31" s="26">
        <v>35.000000001694445</v>
      </c>
      <c r="Q31" t="str">
        <f>EVALUATE_LOCATION(InputData[[#This Row],[Section]],InputData[[#This Row],[Forma de Pago]],InputData[[#This Row],[Ubic.Pretendida]],InputData[[#This Row],[Nro pag]])</f>
        <v>&gt;DIFIERE&lt;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21</v>
      </c>
      <c r="B32" t="s">
        <v>231</v>
      </c>
      <c r="C32" t="s">
        <v>232</v>
      </c>
      <c r="E32" t="s">
        <v>233</v>
      </c>
      <c r="F32" t="str">
        <f>LEFT(InputData[[#This Row],[Referencia]],32)</f>
        <v>TECNO EXPRESS S.R.L. Informa a s</v>
      </c>
      <c r="G32" t="s">
        <v>22</v>
      </c>
      <c r="H32" t="s">
        <v>20</v>
      </c>
      <c r="I32" s="24">
        <v>783.62</v>
      </c>
      <c r="J32" t="s">
        <v>39</v>
      </c>
      <c r="K32" t="s">
        <v>89</v>
      </c>
      <c r="L32" t="s">
        <v>89</v>
      </c>
      <c r="M32" s="25">
        <v>4</v>
      </c>
      <c r="N32" t="s">
        <v>19</v>
      </c>
      <c r="O32" s="23">
        <v>2</v>
      </c>
      <c r="P32" s="26">
        <v>2.7657777777777777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2x03</v>
      </c>
    </row>
    <row r="33" spans="1:19" hidden="1" x14ac:dyDescent="0.2">
      <c r="A33" t="s">
        <v>21</v>
      </c>
      <c r="B33" t="s">
        <v>234</v>
      </c>
      <c r="C33" t="s">
        <v>90</v>
      </c>
      <c r="D33" t="s">
        <v>235</v>
      </c>
      <c r="E33" t="s">
        <v>236</v>
      </c>
      <c r="F33" t="str">
        <f>LEFT(InputData[[#This Row],[Referencia]],32)</f>
        <v>RUBEN RIVAROLA SENADOR</v>
      </c>
      <c r="G33" t="s">
        <v>22</v>
      </c>
      <c r="H33" t="s">
        <v>56</v>
      </c>
      <c r="I33" s="24">
        <v>24344.350000000002</v>
      </c>
      <c r="J33" t="s">
        <v>9</v>
      </c>
      <c r="K33" t="s">
        <v>96</v>
      </c>
      <c r="L33" t="s">
        <v>96</v>
      </c>
      <c r="M33" s="25">
        <v>3</v>
      </c>
      <c r="N33" t="s">
        <v>19</v>
      </c>
      <c r="O33" s="23">
        <v>5</v>
      </c>
      <c r="P33" s="26">
        <v>34.769777777777783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35</v>
      </c>
      <c r="S33" t="str">
        <f>InputData[[#This Row],[Col]]&amp;"x"&amp;IF(LEN(InputData[[#This Row],[Alto]])=2,InputData[[#This Row],[Alto]],"0"&amp;InputData[[#This Row],[Alto]])</f>
        <v>5x35</v>
      </c>
    </row>
    <row r="34" spans="1:19" hidden="1" x14ac:dyDescent="0.2">
      <c r="A34" t="s">
        <v>21</v>
      </c>
      <c r="B34" t="s">
        <v>237</v>
      </c>
      <c r="C34" t="s">
        <v>238</v>
      </c>
      <c r="D34" t="s">
        <v>54</v>
      </c>
      <c r="E34" t="s">
        <v>239</v>
      </c>
      <c r="F34" t="str">
        <f>LEFT(InputData[[#This Row],[Referencia]],32)</f>
        <v xml:space="preserve">Programa de mejoras de acceso y </v>
      </c>
      <c r="G34" t="s">
        <v>55</v>
      </c>
      <c r="H34" t="s">
        <v>40</v>
      </c>
      <c r="I34" s="24">
        <v>81040.72</v>
      </c>
      <c r="J34" t="s">
        <v>39</v>
      </c>
      <c r="K34" t="s">
        <v>96</v>
      </c>
      <c r="L34" t="s">
        <v>96</v>
      </c>
      <c r="M34" s="25">
        <v>13</v>
      </c>
      <c r="N34" t="s">
        <v>19</v>
      </c>
      <c r="O34" s="23">
        <v>3</v>
      </c>
      <c r="P34" s="26">
        <v>15.000000000222226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15</v>
      </c>
      <c r="S34" t="str">
        <f>InputData[[#This Row],[Col]]&amp;"x"&amp;IF(LEN(InputData[[#This Row],[Alto]])=2,InputData[[#This Row],[Alto]],"0"&amp;InputData[[#This Row],[Alto]])</f>
        <v>3x15</v>
      </c>
    </row>
    <row r="35" spans="1:19" hidden="1" x14ac:dyDescent="0.2">
      <c r="A35" t="s">
        <v>21</v>
      </c>
      <c r="B35" t="s">
        <v>240</v>
      </c>
      <c r="C35" t="s">
        <v>125</v>
      </c>
      <c r="D35" t="s">
        <v>241</v>
      </c>
      <c r="E35" t="s">
        <v>242</v>
      </c>
      <c r="F35" t="str">
        <f>LEFT(InputData[[#This Row],[Referencia]],32)</f>
        <v>ELECCIONES 2023 CHICA  - TELAM S</v>
      </c>
      <c r="G35" t="s">
        <v>126</v>
      </c>
      <c r="H35" t="s">
        <v>56</v>
      </c>
      <c r="I35" s="24">
        <v>10260</v>
      </c>
      <c r="J35" t="s">
        <v>9</v>
      </c>
      <c r="K35" t="s">
        <v>96</v>
      </c>
      <c r="L35" t="s">
        <v>96</v>
      </c>
      <c r="M35" s="25">
        <v>15</v>
      </c>
      <c r="N35" t="s">
        <v>19</v>
      </c>
      <c r="O35" s="23">
        <v>5</v>
      </c>
      <c r="P35" s="26">
        <v>34.769777777777783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35</v>
      </c>
      <c r="S35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t="s">
        <v>21</v>
      </c>
      <c r="B36" t="s">
        <v>243</v>
      </c>
      <c r="C36" t="s">
        <v>244</v>
      </c>
      <c r="E36" t="s">
        <v>245</v>
      </c>
      <c r="F36" t="str">
        <f>LEFT(InputData[[#This Row],[Referencia]],32)</f>
        <v>MURCIA S.R.L. INFORMA Se comunic</v>
      </c>
      <c r="G36" t="s">
        <v>22</v>
      </c>
      <c r="H36" t="s">
        <v>20</v>
      </c>
      <c r="I36" s="24">
        <v>3962.88</v>
      </c>
      <c r="J36" t="s">
        <v>39</v>
      </c>
      <c r="K36" t="s">
        <v>96</v>
      </c>
      <c r="L36" t="s">
        <v>96</v>
      </c>
      <c r="M36" s="25">
        <v>5</v>
      </c>
      <c r="N36" t="s">
        <v>19</v>
      </c>
      <c r="O36" s="23">
        <v>2</v>
      </c>
      <c r="P36" s="26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2x10</v>
      </c>
    </row>
    <row r="37" spans="1:19" hidden="1" x14ac:dyDescent="0.2">
      <c r="A37" t="s">
        <v>21</v>
      </c>
      <c r="B37" t="s">
        <v>246</v>
      </c>
      <c r="C37" t="s">
        <v>247</v>
      </c>
      <c r="D37" t="s">
        <v>248</v>
      </c>
      <c r="E37" t="s">
        <v>249</v>
      </c>
      <c r="F37" t="str">
        <f>LEFT(InputData[[#This Row],[Referencia]],32)</f>
        <v>DERECHO CIVIL Y PROCESAL - FUNDA</v>
      </c>
      <c r="G37" t="s">
        <v>22</v>
      </c>
      <c r="H37" t="s">
        <v>40</v>
      </c>
      <c r="I37" s="24">
        <v>15191.04</v>
      </c>
      <c r="J37" t="s">
        <v>9</v>
      </c>
      <c r="K37" t="s">
        <v>96</v>
      </c>
      <c r="L37" t="s">
        <v>96</v>
      </c>
      <c r="M37" s="25">
        <v>17</v>
      </c>
      <c r="N37" t="s">
        <v>19</v>
      </c>
      <c r="O37" s="23">
        <v>5</v>
      </c>
      <c r="P37" s="26">
        <v>13.433777777777777</v>
      </c>
      <c r="Q37" t="str">
        <f>EVALUATE_LOCATION(InputData[[#This Row],[Section]],InputData[[#This Row],[Forma de Pago]],InputData[[#This Row],[Ubic.Pretendida]],InputData[[#This Row],[Nro pag]])</f>
        <v>&gt;DIFIERE&lt;</v>
      </c>
      <c r="R37">
        <f>ROUND(InputData[[#This Row],[AltoCm]],0)</f>
        <v>13</v>
      </c>
      <c r="S37" t="str">
        <f>InputData[[#This Row],[Col]]&amp;"x"&amp;IF(LEN(InputData[[#This Row],[Alto]])=2,InputData[[#This Row],[Alto]],"0"&amp;InputData[[#This Row],[Alto]])</f>
        <v>5x13</v>
      </c>
    </row>
    <row r="38" spans="1:19" hidden="1" x14ac:dyDescent="0.2">
      <c r="A38" t="s">
        <v>21</v>
      </c>
      <c r="B38" t="s">
        <v>250</v>
      </c>
      <c r="C38" t="s">
        <v>123</v>
      </c>
      <c r="D38" t="s">
        <v>251</v>
      </c>
      <c r="E38" t="s">
        <v>252</v>
      </c>
      <c r="F38" t="str">
        <f>LEFT(InputData[[#This Row],[Referencia]],32)</f>
        <v>BINGO LOBO....</v>
      </c>
      <c r="G38" t="s">
        <v>22</v>
      </c>
      <c r="H38" t="s">
        <v>40</v>
      </c>
      <c r="I38" s="24">
        <v>18988.8</v>
      </c>
      <c r="J38" t="s">
        <v>9</v>
      </c>
      <c r="K38" t="s">
        <v>96</v>
      </c>
      <c r="L38" t="s">
        <v>96</v>
      </c>
      <c r="M38" s="25">
        <v>11</v>
      </c>
      <c r="N38" t="s">
        <v>19</v>
      </c>
      <c r="O38" s="23">
        <v>5</v>
      </c>
      <c r="P38" s="26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t="s">
        <v>21</v>
      </c>
      <c r="B39" t="s">
        <v>253</v>
      </c>
      <c r="C39" t="s">
        <v>254</v>
      </c>
      <c r="D39" t="s">
        <v>54</v>
      </c>
      <c r="E39" t="s">
        <v>255</v>
      </c>
      <c r="F39" t="str">
        <f>LEFT(InputData[[#This Row],[Referencia]],32)</f>
        <v>RIZZOTTI - FIAD - HL - GM - ZIGA</v>
      </c>
      <c r="G39" t="s">
        <v>22</v>
      </c>
      <c r="H39" t="s">
        <v>40</v>
      </c>
      <c r="I39" s="24">
        <v>87231.900000000009</v>
      </c>
      <c r="J39" t="s">
        <v>9</v>
      </c>
      <c r="K39" t="s">
        <v>256</v>
      </c>
      <c r="L39" t="s">
        <v>256</v>
      </c>
      <c r="M39" s="25">
        <v>36</v>
      </c>
      <c r="N39" t="s">
        <v>19</v>
      </c>
      <c r="O39" s="23">
        <v>5</v>
      </c>
      <c r="P39" s="26">
        <v>16.989777777777778</v>
      </c>
      <c r="Q39" t="str">
        <f>EVALUATE_LOCATION(InputData[[#This Row],[Section]],InputData[[#This Row],[Forma de Pago]],InputData[[#This Row],[Ubic.Pretendida]],InputData[[#This Row],[Nro pag]])</f>
        <v>&gt;DIFIERE&lt;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21</v>
      </c>
      <c r="B40" t="s">
        <v>257</v>
      </c>
      <c r="C40" t="s">
        <v>53</v>
      </c>
      <c r="D40" t="s">
        <v>54</v>
      </c>
      <c r="E40" t="s">
        <v>258</v>
      </c>
      <c r="F40" t="str">
        <f>LEFT(InputData[[#This Row],[Referencia]],32)</f>
        <v>GOBIERNO ISJ INTERNACIONES Y CIR</v>
      </c>
      <c r="G40" t="s">
        <v>55</v>
      </c>
      <c r="H40" t="s">
        <v>40</v>
      </c>
      <c r="I40" s="24">
        <v>192769.23</v>
      </c>
      <c r="J40" t="s">
        <v>9</v>
      </c>
      <c r="K40" t="s">
        <v>256</v>
      </c>
      <c r="L40" t="s">
        <v>256</v>
      </c>
      <c r="M40" s="25">
        <v>36</v>
      </c>
      <c r="N40" t="s">
        <v>19</v>
      </c>
      <c r="O40" s="23">
        <v>5</v>
      </c>
      <c r="P40" s="26">
        <v>17.000000000722224</v>
      </c>
      <c r="Q40" t="str">
        <f>EVALUATE_LOCATION(InputData[[#This Row],[Section]],InputData[[#This Row],[Forma de Pago]],InputData[[#This Row],[Ubic.Pretendida]],InputData[[#This Row],[Nro pag]])</f>
        <v>&gt;DIFIERE&lt;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57</v>
      </c>
      <c r="B41" t="s">
        <v>259</v>
      </c>
      <c r="C41" t="s">
        <v>111</v>
      </c>
      <c r="E41" t="s">
        <v>112</v>
      </c>
      <c r="F41" t="str">
        <f>LEFT(InputData[[#This Row],[Referencia]],32)</f>
        <v xml:space="preserve">LIC. ADRIANA PATRICIA ORELLANA  </v>
      </c>
      <c r="G41" t="s">
        <v>58</v>
      </c>
      <c r="H41" t="s">
        <v>20</v>
      </c>
      <c r="I41" s="24">
        <v>71.564333333333337</v>
      </c>
      <c r="J41" t="s">
        <v>39</v>
      </c>
      <c r="K41" t="s">
        <v>113</v>
      </c>
      <c r="M41" s="25">
        <v>0</v>
      </c>
      <c r="N41" t="s">
        <v>19</v>
      </c>
      <c r="O41" s="23">
        <v>2</v>
      </c>
      <c r="P41" s="26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t="s">
        <v>57</v>
      </c>
      <c r="B42" t="s">
        <v>260</v>
      </c>
      <c r="C42" t="s">
        <v>60</v>
      </c>
      <c r="E42" t="s">
        <v>261</v>
      </c>
      <c r="F42" t="str">
        <f>LEFT(InputData[[#This Row],[Referencia]],32)</f>
        <v>PODOLOGIA Uñas encarnadas - Mico</v>
      </c>
      <c r="G42" t="s">
        <v>58</v>
      </c>
      <c r="H42" t="s">
        <v>20</v>
      </c>
      <c r="I42" s="24">
        <v>178.91066666666666</v>
      </c>
      <c r="J42" t="s">
        <v>9</v>
      </c>
      <c r="K42" t="s">
        <v>59</v>
      </c>
      <c r="M42" s="25">
        <v>0</v>
      </c>
      <c r="N42" t="s">
        <v>19</v>
      </c>
      <c r="O42" s="23">
        <v>2</v>
      </c>
      <c r="P42" s="26">
        <v>5.0000000012500001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5</v>
      </c>
      <c r="S42" t="str">
        <f>InputData[[#This Row],[Col]]&amp;"x"&amp;IF(LEN(InputData[[#This Row],[Alto]])=2,InputData[[#This Row],[Alto]],"0"&amp;InputData[[#This Row],[Alto]])</f>
        <v>2x05</v>
      </c>
    </row>
    <row r="43" spans="1:19" hidden="1" x14ac:dyDescent="0.2">
      <c r="A43" t="s">
        <v>57</v>
      </c>
      <c r="B43" t="s">
        <v>262</v>
      </c>
      <c r="C43" t="s">
        <v>91</v>
      </c>
      <c r="E43" t="s">
        <v>263</v>
      </c>
      <c r="F43" t="str">
        <f>LEFT(InputData[[#This Row],[Referencia]],32)</f>
        <v>CONSULTORIO DE PODOLOGIA UÑAS EN</v>
      </c>
      <c r="G43" t="s">
        <v>58</v>
      </c>
      <c r="H43" t="s">
        <v>20</v>
      </c>
      <c r="I43" s="24">
        <v>178.91066666666666</v>
      </c>
      <c r="J43" t="s">
        <v>39</v>
      </c>
      <c r="K43" t="s">
        <v>59</v>
      </c>
      <c r="M43" s="25">
        <v>0</v>
      </c>
      <c r="N43" t="s">
        <v>19</v>
      </c>
      <c r="O43" s="23">
        <v>2</v>
      </c>
      <c r="P43" s="26">
        <v>5.0000000012500001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5</v>
      </c>
      <c r="S43" t="str">
        <f>InputData[[#This Row],[Col]]&amp;"x"&amp;IF(LEN(InputData[[#This Row],[Alto]])=2,InputData[[#This Row],[Alto]],"0"&amp;InputData[[#This Row],[Alto]])</f>
        <v>2x05</v>
      </c>
    </row>
    <row r="44" spans="1:19" hidden="1" x14ac:dyDescent="0.2">
      <c r="A44" t="s">
        <v>57</v>
      </c>
      <c r="B44" t="s">
        <v>264</v>
      </c>
      <c r="C44" t="s">
        <v>92</v>
      </c>
      <c r="E44" t="s">
        <v>265</v>
      </c>
      <c r="F44" t="str">
        <f>LEFT(InputData[[#This Row],[Referencia]],32)</f>
        <v>LIC. DIEGO CRUZ QUIROPRAXIA  ///</v>
      </c>
      <c r="G44" t="s">
        <v>58</v>
      </c>
      <c r="H44" t="s">
        <v>20</v>
      </c>
      <c r="I44" s="24">
        <v>71.564166666666679</v>
      </c>
      <c r="J44" t="s">
        <v>39</v>
      </c>
      <c r="K44" t="s">
        <v>82</v>
      </c>
      <c r="M44" s="25">
        <v>0</v>
      </c>
      <c r="N44" t="s">
        <v>19</v>
      </c>
      <c r="O44" s="23">
        <v>2</v>
      </c>
      <c r="P44" s="26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57</v>
      </c>
      <c r="B45" t="s">
        <v>266</v>
      </c>
      <c r="C45" t="s">
        <v>61</v>
      </c>
      <c r="D45" t="s">
        <v>267</v>
      </c>
      <c r="E45" t="s">
        <v>62</v>
      </c>
      <c r="F45" t="str">
        <f>LEFT(InputData[[#This Row],[Referencia]],32)</f>
        <v>CEMER...</v>
      </c>
      <c r="G45" t="s">
        <v>58</v>
      </c>
      <c r="H45" t="s">
        <v>40</v>
      </c>
      <c r="I45" s="24">
        <v>188.58064516129033</v>
      </c>
      <c r="J45" t="s">
        <v>39</v>
      </c>
      <c r="K45" t="s">
        <v>63</v>
      </c>
      <c r="M45" s="25">
        <v>0</v>
      </c>
      <c r="N45" t="s">
        <v>19</v>
      </c>
      <c r="O45" s="23">
        <v>2</v>
      </c>
      <c r="P45" s="26">
        <v>4.0000000010000001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4</v>
      </c>
      <c r="S45" t="str">
        <f>InputData[[#This Row],[Col]]&amp;"x"&amp;IF(LEN(InputData[[#This Row],[Alto]])=2,InputData[[#This Row],[Alto]],"0"&amp;InputData[[#This Row],[Alto]])</f>
        <v>2x04</v>
      </c>
    </row>
    <row r="46" spans="1:19" hidden="1" x14ac:dyDescent="0.2">
      <c r="A46" t="s">
        <v>57</v>
      </c>
      <c r="B46" t="s">
        <v>268</v>
      </c>
      <c r="C46" t="s">
        <v>99</v>
      </c>
      <c r="E46" t="s">
        <v>100</v>
      </c>
      <c r="F46" t="str">
        <f>LEFT(InputData[[#This Row],[Referencia]],32)</f>
        <v>Dra. CABEZAS, Laura E. Especiali</v>
      </c>
      <c r="G46" t="s">
        <v>58</v>
      </c>
      <c r="H46" t="s">
        <v>20</v>
      </c>
      <c r="I46" s="24">
        <v>107.34633333333335</v>
      </c>
      <c r="J46" t="s">
        <v>39</v>
      </c>
      <c r="K46" t="s">
        <v>101</v>
      </c>
      <c r="M46" s="25">
        <v>0</v>
      </c>
      <c r="N46" t="s">
        <v>19</v>
      </c>
      <c r="O46" s="23">
        <v>2</v>
      </c>
      <c r="P46" s="26">
        <v>3.0000000007500001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</v>
      </c>
      <c r="S46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t="s">
        <v>57</v>
      </c>
      <c r="B47" t="s">
        <v>269</v>
      </c>
      <c r="C47" t="s">
        <v>117</v>
      </c>
      <c r="E47" t="s">
        <v>270</v>
      </c>
      <c r="F47" t="str">
        <f>LEFT(InputData[[#This Row],[Referencia]],32)</f>
        <v>JUBILACIONES, PENSIONES, REAJUST</v>
      </c>
      <c r="G47" t="s">
        <v>58</v>
      </c>
      <c r="H47" t="s">
        <v>20</v>
      </c>
      <c r="I47" s="24">
        <v>107.34633333333335</v>
      </c>
      <c r="J47" t="s">
        <v>39</v>
      </c>
      <c r="K47" t="s">
        <v>64</v>
      </c>
      <c r="M47" s="25">
        <v>0</v>
      </c>
      <c r="N47" t="s">
        <v>19</v>
      </c>
      <c r="O47" s="23">
        <v>2</v>
      </c>
      <c r="P47" s="26">
        <v>3.0000000007500001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</v>
      </c>
      <c r="S47" t="str">
        <f>InputData[[#This Row],[Col]]&amp;"x"&amp;IF(LEN(InputData[[#This Row],[Alto]])=2,InputData[[#This Row],[Alto]],"0"&amp;InputData[[#This Row],[Alto]])</f>
        <v>2x03</v>
      </c>
    </row>
    <row r="48" spans="1:19" hidden="1" x14ac:dyDescent="0.2">
      <c r="A48" t="s">
        <v>57</v>
      </c>
      <c r="B48" t="s">
        <v>271</v>
      </c>
      <c r="C48" t="s">
        <v>140</v>
      </c>
      <c r="E48" t="s">
        <v>272</v>
      </c>
      <c r="F48" t="str">
        <f>LEFT(InputData[[#This Row],[Referencia]],32)</f>
        <v>Jubilaciones y Pensiones  Famili</v>
      </c>
      <c r="G48" t="s">
        <v>58</v>
      </c>
      <c r="H48" t="s">
        <v>20</v>
      </c>
      <c r="I48" s="24">
        <v>143.12833333333336</v>
      </c>
      <c r="J48" t="s">
        <v>39</v>
      </c>
      <c r="K48" t="s">
        <v>64</v>
      </c>
      <c r="M48" s="25">
        <v>0</v>
      </c>
      <c r="N48" t="s">
        <v>19</v>
      </c>
      <c r="O48" s="23">
        <v>2</v>
      </c>
      <c r="P48" s="26">
        <v>4.0000000010000001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4</v>
      </c>
      <c r="S48" t="str">
        <f>InputData[[#This Row],[Col]]&amp;"x"&amp;IF(LEN(InputData[[#This Row],[Alto]])=2,InputData[[#This Row],[Alto]],"0"&amp;InputData[[#This Row],[Alto]])</f>
        <v>2x04</v>
      </c>
    </row>
    <row r="49" spans="1:19" hidden="1" x14ac:dyDescent="0.2">
      <c r="A49" t="s">
        <v>57</v>
      </c>
      <c r="B49" t="s">
        <v>273</v>
      </c>
      <c r="C49" t="s">
        <v>97</v>
      </c>
      <c r="E49" t="s">
        <v>274</v>
      </c>
      <c r="F49" t="str">
        <f>LEFT(InputData[[#This Row],[Referencia]],32)</f>
        <v>-ALIMENTOS- SUCESIONES- -DIVORCI</v>
      </c>
      <c r="G49" t="s">
        <v>58</v>
      </c>
      <c r="H49" t="s">
        <v>20</v>
      </c>
      <c r="I49" s="24">
        <v>153.35178571428574</v>
      </c>
      <c r="J49" t="s">
        <v>39</v>
      </c>
      <c r="K49" t="s">
        <v>64</v>
      </c>
      <c r="M49" s="25">
        <v>0</v>
      </c>
      <c r="N49" t="s">
        <v>19</v>
      </c>
      <c r="O49" s="23">
        <v>2</v>
      </c>
      <c r="P49" s="26">
        <v>4.0000000010000001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4</v>
      </c>
      <c r="S49" t="str">
        <f>InputData[[#This Row],[Col]]&amp;"x"&amp;IF(LEN(InputData[[#This Row],[Alto]])=2,InputData[[#This Row],[Alto]],"0"&amp;InputData[[#This Row],[Alto]])</f>
        <v>2x04</v>
      </c>
    </row>
    <row r="50" spans="1:19" hidden="1" x14ac:dyDescent="0.2">
      <c r="A50" t="s">
        <v>57</v>
      </c>
      <c r="B50" t="s">
        <v>275</v>
      </c>
      <c r="C50" t="s">
        <v>115</v>
      </c>
      <c r="E50" t="s">
        <v>276</v>
      </c>
      <c r="F50" t="str">
        <f>LEFT(InputData[[#This Row],[Referencia]],32)</f>
        <v>MICHEL ESTUDIO JURIDICO AVISO AR</v>
      </c>
      <c r="G50" t="s">
        <v>58</v>
      </c>
      <c r="H50" t="s">
        <v>20</v>
      </c>
      <c r="I50" s="24">
        <v>250.47466666666665</v>
      </c>
      <c r="J50" t="s">
        <v>39</v>
      </c>
      <c r="K50" t="s">
        <v>64</v>
      </c>
      <c r="M50" s="25">
        <v>0</v>
      </c>
      <c r="N50" t="s">
        <v>19</v>
      </c>
      <c r="O50" s="23">
        <v>2</v>
      </c>
      <c r="P50" s="26">
        <v>7.0000000017499984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7</v>
      </c>
      <c r="S50" t="str">
        <f>InputData[[#This Row],[Col]]&amp;"x"&amp;IF(LEN(InputData[[#This Row],[Alto]])=2,InputData[[#This Row],[Alto]],"0"&amp;InputData[[#This Row],[Alto]])</f>
        <v>2x07</v>
      </c>
    </row>
    <row r="51" spans="1:19" hidden="1" x14ac:dyDescent="0.2">
      <c r="A51" t="s">
        <v>57</v>
      </c>
      <c r="B51" t="s">
        <v>277</v>
      </c>
      <c r="C51" t="s">
        <v>278</v>
      </c>
      <c r="E51" t="s">
        <v>279</v>
      </c>
      <c r="F51" t="str">
        <f>LEFT(InputData[[#This Row],[Referencia]],32)</f>
        <v>ESTUDIO JURÍDICO INTEGRAL  Moral</v>
      </c>
      <c r="G51" t="s">
        <v>58</v>
      </c>
      <c r="H51" t="s">
        <v>20</v>
      </c>
      <c r="I51" s="24">
        <v>143.12833333333336</v>
      </c>
      <c r="J51" t="s">
        <v>39</v>
      </c>
      <c r="K51" t="s">
        <v>64</v>
      </c>
      <c r="M51" s="25">
        <v>0</v>
      </c>
      <c r="N51" t="s">
        <v>19</v>
      </c>
      <c r="O51" s="23">
        <v>2</v>
      </c>
      <c r="P51" s="26">
        <v>4.0000000010000001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4</v>
      </c>
      <c r="S51" t="str">
        <f>InputData[[#This Row],[Col]]&amp;"x"&amp;IF(LEN(InputData[[#This Row],[Alto]])=2,InputData[[#This Row],[Alto]],"0"&amp;InputData[[#This Row],[Alto]])</f>
        <v>2x04</v>
      </c>
    </row>
    <row r="52" spans="1:19" hidden="1" x14ac:dyDescent="0.2">
      <c r="A52" t="s">
        <v>280</v>
      </c>
      <c r="B52" t="s">
        <v>281</v>
      </c>
      <c r="C52" t="s">
        <v>282</v>
      </c>
      <c r="E52" t="s">
        <v>283</v>
      </c>
      <c r="F52" t="str">
        <f>LEFT(InputData[[#This Row],[Referencia]],32)</f>
        <v>+ LIMA, Néstor (q.e.p.d.) Fallec</v>
      </c>
      <c r="G52" t="s">
        <v>284</v>
      </c>
      <c r="H52" t="s">
        <v>20</v>
      </c>
      <c r="I52" s="24">
        <v>3052.6200000000008</v>
      </c>
      <c r="J52" t="s">
        <v>9</v>
      </c>
      <c r="K52" t="s">
        <v>285</v>
      </c>
      <c r="M52" s="25">
        <v>0</v>
      </c>
      <c r="N52" t="s">
        <v>19</v>
      </c>
      <c r="O52" s="23">
        <v>2</v>
      </c>
      <c r="P52" s="26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2x10</v>
      </c>
    </row>
    <row r="53" spans="1:19" hidden="1" x14ac:dyDescent="0.2">
      <c r="A53" t="s">
        <v>280</v>
      </c>
      <c r="B53" t="s">
        <v>286</v>
      </c>
      <c r="C53" t="s">
        <v>287</v>
      </c>
      <c r="E53" t="s">
        <v>288</v>
      </c>
      <c r="F53" t="str">
        <f>LEFT(InputData[[#This Row],[Referencia]],32)</f>
        <v>+ GARCIA ORLANDO DEL VALLE (LU7O</v>
      </c>
      <c r="G53" t="s">
        <v>284</v>
      </c>
      <c r="H53" t="s">
        <v>20</v>
      </c>
      <c r="I53" s="24">
        <v>3450.78</v>
      </c>
      <c r="J53" t="s">
        <v>39</v>
      </c>
      <c r="K53" t="s">
        <v>285</v>
      </c>
      <c r="M53" s="25">
        <v>0</v>
      </c>
      <c r="N53" t="s">
        <v>19</v>
      </c>
      <c r="O53" s="23">
        <v>2</v>
      </c>
      <c r="P53" s="26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2x10</v>
      </c>
    </row>
    <row r="54" spans="1:19" hidden="1" x14ac:dyDescent="0.2">
      <c r="A54" t="s">
        <v>280</v>
      </c>
      <c r="B54" t="s">
        <v>289</v>
      </c>
      <c r="C54" t="s">
        <v>290</v>
      </c>
      <c r="E54" t="s">
        <v>291</v>
      </c>
      <c r="F54" t="str">
        <f>LEFT(InputData[[#This Row],[Referencia]],32)</f>
        <v xml:space="preserve">+ NELSO FAUSTINO LUNA  q.e.p.d. </v>
      </c>
      <c r="G54" t="s">
        <v>284</v>
      </c>
      <c r="H54" t="s">
        <v>20</v>
      </c>
      <c r="I54" s="24">
        <v>2645.6</v>
      </c>
      <c r="J54" t="s">
        <v>9</v>
      </c>
      <c r="K54" t="s">
        <v>285</v>
      </c>
      <c r="M54" s="25">
        <v>0</v>
      </c>
      <c r="N54" t="s">
        <v>19</v>
      </c>
      <c r="O54" s="23">
        <v>2</v>
      </c>
      <c r="P54" s="26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2x06</v>
      </c>
    </row>
    <row r="55" spans="1:19" hidden="1" x14ac:dyDescent="0.2">
      <c r="A55" t="s">
        <v>280</v>
      </c>
      <c r="B55" t="s">
        <v>292</v>
      </c>
      <c r="C55" t="s">
        <v>293</v>
      </c>
      <c r="E55" t="s">
        <v>294</v>
      </c>
      <c r="F55" t="str">
        <f>LEFT(InputData[[#This Row],[Referencia]],32)</f>
        <v xml:space="preserve">RAUL LEANDRO CABANA 14/09/1956  </v>
      </c>
      <c r="G55" t="s">
        <v>284</v>
      </c>
      <c r="H55" t="s">
        <v>20</v>
      </c>
      <c r="I55" s="24">
        <v>3968.4</v>
      </c>
      <c r="J55" t="s">
        <v>9</v>
      </c>
      <c r="K55" t="s">
        <v>285</v>
      </c>
      <c r="M55" s="25">
        <v>0</v>
      </c>
      <c r="N55" t="s">
        <v>19</v>
      </c>
      <c r="O55" s="23">
        <v>2</v>
      </c>
      <c r="P55" s="26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2x10</v>
      </c>
    </row>
    <row r="56" spans="1:19" hidden="1" x14ac:dyDescent="0.2">
      <c r="A56" t="s">
        <v>280</v>
      </c>
      <c r="B56" t="s">
        <v>295</v>
      </c>
      <c r="C56" t="s">
        <v>296</v>
      </c>
      <c r="E56" t="s">
        <v>297</v>
      </c>
      <c r="F56" t="str">
        <f>LEFT(InputData[[#This Row],[Referencia]],32)</f>
        <v>+ CLAUDIA APAZA DE ARRUETA 18-02</v>
      </c>
      <c r="G56" t="s">
        <v>284</v>
      </c>
      <c r="H56" t="s">
        <v>20</v>
      </c>
      <c r="I56" s="24">
        <v>5952.6</v>
      </c>
      <c r="J56" t="s">
        <v>9</v>
      </c>
      <c r="K56" t="s">
        <v>285</v>
      </c>
      <c r="M56" s="25">
        <v>0</v>
      </c>
      <c r="N56" t="s">
        <v>19</v>
      </c>
      <c r="O56" s="23">
        <v>3</v>
      </c>
      <c r="P56" s="26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36</v>
      </c>
      <c r="B57" t="s">
        <v>298</v>
      </c>
      <c r="C57" t="s">
        <v>65</v>
      </c>
      <c r="D57" t="s">
        <v>66</v>
      </c>
      <c r="E57" t="s">
        <v>67</v>
      </c>
      <c r="F57" t="str">
        <f>LEFT(InputData[[#This Row],[Referencia]],32)</f>
        <v>CINE ALFA...</v>
      </c>
      <c r="G57" t="s">
        <v>22</v>
      </c>
      <c r="H57" t="s">
        <v>56</v>
      </c>
      <c r="I57" s="24">
        <v>6597.2</v>
      </c>
      <c r="J57" t="s">
        <v>9</v>
      </c>
      <c r="K57" t="s">
        <v>30</v>
      </c>
      <c r="M57" s="25">
        <v>0</v>
      </c>
      <c r="N57" t="s">
        <v>19</v>
      </c>
      <c r="O57" s="23">
        <v>5</v>
      </c>
      <c r="P57" s="26">
        <v>13.433777777777777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13</v>
      </c>
      <c r="S57" t="str">
        <f>InputData[[#This Row],[Col]]&amp;"x"&amp;IF(LEN(InputData[[#This Row],[Alto]])=2,InputData[[#This Row],[Alto]],"0"&amp;InputData[[#This Row],[Alto]])</f>
        <v>5x13</v>
      </c>
    </row>
    <row r="58" spans="1:19" hidden="1" x14ac:dyDescent="0.2">
      <c r="A58" t="s">
        <v>36</v>
      </c>
      <c r="B58" t="s">
        <v>299</v>
      </c>
      <c r="C58" t="s">
        <v>300</v>
      </c>
      <c r="D58" t="s">
        <v>301</v>
      </c>
      <c r="E58" t="s">
        <v>302</v>
      </c>
      <c r="F58" t="str">
        <f>LEFT(InputData[[#This Row],[Referencia]],32)</f>
        <v>PORKMAN - DÍA DEL GASTRONOMICO</v>
      </c>
      <c r="G58" t="s">
        <v>22</v>
      </c>
      <c r="H58" t="s">
        <v>40</v>
      </c>
      <c r="I58" s="24">
        <v>6097.85</v>
      </c>
      <c r="J58" t="s">
        <v>9</v>
      </c>
      <c r="K58" t="s">
        <v>23</v>
      </c>
      <c r="L58" t="s">
        <v>23</v>
      </c>
      <c r="M58" s="25">
        <v>3</v>
      </c>
      <c r="N58" t="s">
        <v>19</v>
      </c>
      <c r="O58" s="23">
        <v>5</v>
      </c>
      <c r="P58" s="26">
        <v>16.989777777777778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17</v>
      </c>
      <c r="S58" t="str">
        <f>InputData[[#This Row],[Col]]&amp;"x"&amp;IF(LEN(InputData[[#This Row],[Alto]])=2,InputData[[#This Row],[Alto]],"0"&amp;InputData[[#This Row],[Alto]])</f>
        <v>5x17</v>
      </c>
    </row>
    <row r="59" spans="1:19" hidden="1" x14ac:dyDescent="0.2">
      <c r="A59" t="s">
        <v>36</v>
      </c>
      <c r="B59" t="s">
        <v>303</v>
      </c>
      <c r="C59" t="s">
        <v>304</v>
      </c>
      <c r="D59" t="s">
        <v>305</v>
      </c>
      <c r="E59" t="s">
        <v>306</v>
      </c>
      <c r="F59" t="str">
        <f>LEFT(InputData[[#This Row],[Referencia]],32)</f>
        <v>FIAMBRERIA IRENE  ESP GASTRONOMI</v>
      </c>
      <c r="G59" t="s">
        <v>22</v>
      </c>
      <c r="H59" t="s">
        <v>40</v>
      </c>
      <c r="I59" s="24">
        <v>1951.31</v>
      </c>
      <c r="J59" t="s">
        <v>9</v>
      </c>
      <c r="K59" t="s">
        <v>23</v>
      </c>
      <c r="L59" t="s">
        <v>23</v>
      </c>
      <c r="M59" s="25">
        <v>6</v>
      </c>
      <c r="N59" t="s">
        <v>19</v>
      </c>
      <c r="O59" s="23">
        <v>2</v>
      </c>
      <c r="P59" s="26">
        <v>13.433777777777777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13</v>
      </c>
      <c r="S59" t="str">
        <f>InputData[[#This Row],[Col]]&amp;"x"&amp;IF(LEN(InputData[[#This Row],[Alto]])=2,InputData[[#This Row],[Alto]],"0"&amp;InputData[[#This Row],[Alto]])</f>
        <v>2x13</v>
      </c>
    </row>
    <row r="60" spans="1:19" hidden="1" x14ac:dyDescent="0.2">
      <c r="A60" t="s">
        <v>36</v>
      </c>
      <c r="B60" t="s">
        <v>307</v>
      </c>
      <c r="C60" t="s">
        <v>308</v>
      </c>
      <c r="D60" t="s">
        <v>309</v>
      </c>
      <c r="E60" t="s">
        <v>310</v>
      </c>
      <c r="F60" t="str">
        <f>LEFT(InputData[[#This Row],[Referencia]],32)</f>
        <v>IMPAR - LA RABIOLA CHOCOLATE ESP</v>
      </c>
      <c r="G60" t="s">
        <v>22</v>
      </c>
      <c r="H60" t="s">
        <v>40</v>
      </c>
      <c r="I60" s="24">
        <v>3902.62</v>
      </c>
      <c r="J60" t="s">
        <v>9</v>
      </c>
      <c r="K60" t="s">
        <v>23</v>
      </c>
      <c r="L60" t="s">
        <v>23</v>
      </c>
      <c r="M60" s="25">
        <v>8</v>
      </c>
      <c r="N60" t="s">
        <v>19</v>
      </c>
      <c r="O60" s="23">
        <v>4</v>
      </c>
      <c r="P60" s="26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4x13</v>
      </c>
    </row>
    <row r="61" spans="1:19" hidden="1" x14ac:dyDescent="0.2">
      <c r="A61" t="s">
        <v>36</v>
      </c>
      <c r="B61" t="s">
        <v>311</v>
      </c>
      <c r="C61" t="s">
        <v>128</v>
      </c>
      <c r="D61" t="s">
        <v>312</v>
      </c>
      <c r="E61" t="s">
        <v>313</v>
      </c>
      <c r="F61" t="str">
        <f>LEFT(InputData[[#This Row],[Referencia]],32)</f>
        <v>IMPAR - LUISIÑO ESP GASTRONOMICO</v>
      </c>
      <c r="G61" t="s">
        <v>22</v>
      </c>
      <c r="H61" t="s">
        <v>40</v>
      </c>
      <c r="I61" s="24">
        <v>3658.71</v>
      </c>
      <c r="J61" t="s">
        <v>9</v>
      </c>
      <c r="K61" t="s">
        <v>23</v>
      </c>
      <c r="L61" t="s">
        <v>23</v>
      </c>
      <c r="M61" s="25">
        <v>2</v>
      </c>
      <c r="N61" t="s">
        <v>19</v>
      </c>
      <c r="O61" s="23">
        <v>5</v>
      </c>
      <c r="P61" s="26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5x10</v>
      </c>
    </row>
    <row r="62" spans="1:19" hidden="1" x14ac:dyDescent="0.2">
      <c r="A62" t="s">
        <v>36</v>
      </c>
      <c r="B62" t="s">
        <v>314</v>
      </c>
      <c r="C62" t="s">
        <v>315</v>
      </c>
      <c r="D62" t="s">
        <v>316</v>
      </c>
      <c r="E62" t="s">
        <v>317</v>
      </c>
      <c r="F62" t="str">
        <f>LEFT(InputData[[#This Row],[Referencia]],32)</f>
        <v>FRIGORIFICO VILLALBA ESP GASTRON</v>
      </c>
      <c r="G62" t="s">
        <v>22</v>
      </c>
      <c r="H62" t="s">
        <v>40</v>
      </c>
      <c r="I62" s="24">
        <v>2926.9700000000003</v>
      </c>
      <c r="J62" t="s">
        <v>9</v>
      </c>
      <c r="K62" t="s">
        <v>23</v>
      </c>
      <c r="L62" t="s">
        <v>23</v>
      </c>
      <c r="M62" s="25">
        <v>6</v>
      </c>
      <c r="N62" t="s">
        <v>19</v>
      </c>
      <c r="O62" s="23">
        <v>3</v>
      </c>
      <c r="P62" s="26">
        <v>13.433777777777777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13</v>
      </c>
      <c r="S62" t="str">
        <f>InputData[[#This Row],[Col]]&amp;"x"&amp;IF(LEN(InputData[[#This Row],[Alto]])=2,InputData[[#This Row],[Alto]],"0"&amp;InputData[[#This Row],[Alto]])</f>
        <v>3x13</v>
      </c>
    </row>
    <row r="63" spans="1:19" hidden="1" x14ac:dyDescent="0.2">
      <c r="A63" t="s">
        <v>36</v>
      </c>
      <c r="B63" t="s">
        <v>318</v>
      </c>
      <c r="C63" t="s">
        <v>127</v>
      </c>
      <c r="D63" t="s">
        <v>319</v>
      </c>
      <c r="E63" t="s">
        <v>320</v>
      </c>
      <c r="F63" t="str">
        <f>LEFT(InputData[[#This Row],[Referencia]],32)</f>
        <v>CONFITERIA CRILLON ESP GASTRONOM</v>
      </c>
      <c r="G63" t="s">
        <v>22</v>
      </c>
      <c r="H63" t="s">
        <v>40</v>
      </c>
      <c r="I63" s="24">
        <v>1463.48</v>
      </c>
      <c r="J63" t="s">
        <v>9</v>
      </c>
      <c r="K63" t="s">
        <v>23</v>
      </c>
      <c r="L63" t="s">
        <v>23</v>
      </c>
      <c r="M63" s="25">
        <v>6</v>
      </c>
      <c r="N63" t="s">
        <v>19</v>
      </c>
      <c r="O63" s="23">
        <v>2</v>
      </c>
      <c r="P63" s="26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2x10</v>
      </c>
    </row>
    <row r="64" spans="1:19" hidden="1" x14ac:dyDescent="0.2">
      <c r="A64" t="s">
        <v>36</v>
      </c>
      <c r="B64" t="s">
        <v>321</v>
      </c>
      <c r="C64" t="s">
        <v>322</v>
      </c>
      <c r="D64" t="s">
        <v>323</v>
      </c>
      <c r="E64" t="s">
        <v>324</v>
      </c>
      <c r="F64" t="str">
        <f>LEFT(InputData[[#This Row],[Referencia]],32)</f>
        <v>EL MOJON EMPANADAS</v>
      </c>
      <c r="G64" t="s">
        <v>22</v>
      </c>
      <c r="H64" t="s">
        <v>40</v>
      </c>
      <c r="I64" s="24">
        <v>2853.77</v>
      </c>
      <c r="J64" t="s">
        <v>9</v>
      </c>
      <c r="K64" t="s">
        <v>23</v>
      </c>
      <c r="L64" t="s">
        <v>23</v>
      </c>
      <c r="M64" s="25">
        <v>2</v>
      </c>
      <c r="N64" t="s">
        <v>19</v>
      </c>
      <c r="O64" s="23">
        <v>3</v>
      </c>
      <c r="P64" s="26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3x10</v>
      </c>
    </row>
    <row r="65" spans="1:19" hidden="1" x14ac:dyDescent="0.2">
      <c r="A65" t="s">
        <v>36</v>
      </c>
      <c r="B65" t="s">
        <v>325</v>
      </c>
      <c r="C65" t="s">
        <v>326</v>
      </c>
      <c r="D65" t="s">
        <v>327</v>
      </c>
      <c r="E65" t="s">
        <v>328</v>
      </c>
      <c r="F65" t="str">
        <f>LEFT(InputData[[#This Row],[Referencia]],32)</f>
        <v>LOLA M DIA DEL GASTRONÓMICO</v>
      </c>
      <c r="G65" t="s">
        <v>22</v>
      </c>
      <c r="H65" t="s">
        <v>40</v>
      </c>
      <c r="I65" s="24">
        <v>4756.29</v>
      </c>
      <c r="J65" t="s">
        <v>9</v>
      </c>
      <c r="K65" t="s">
        <v>23</v>
      </c>
      <c r="L65" t="s">
        <v>23</v>
      </c>
      <c r="M65" s="25">
        <v>4</v>
      </c>
      <c r="N65" t="s">
        <v>19</v>
      </c>
      <c r="O65" s="23">
        <v>5</v>
      </c>
      <c r="P65" s="26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5x10</v>
      </c>
    </row>
    <row r="66" spans="1:19" hidden="1" x14ac:dyDescent="0.2">
      <c r="A66" t="s">
        <v>36</v>
      </c>
      <c r="B66" t="s">
        <v>329</v>
      </c>
      <c r="C66" t="s">
        <v>330</v>
      </c>
      <c r="D66" t="s">
        <v>331</v>
      </c>
      <c r="E66" t="s">
        <v>332</v>
      </c>
      <c r="F66" t="str">
        <f>LEFT(InputData[[#This Row],[Referencia]],32)</f>
        <v xml:space="preserve"> SENCO - DIA DEL GASTRONÓMICO</v>
      </c>
      <c r="G66" t="s">
        <v>22</v>
      </c>
      <c r="H66" t="s">
        <v>40</v>
      </c>
      <c r="I66" s="24">
        <v>7927.1500000000005</v>
      </c>
      <c r="J66" t="s">
        <v>9</v>
      </c>
      <c r="K66" t="s">
        <v>23</v>
      </c>
      <c r="L66" t="s">
        <v>23</v>
      </c>
      <c r="M66" s="25">
        <v>5</v>
      </c>
      <c r="N66" t="s">
        <v>19</v>
      </c>
      <c r="O66" s="23">
        <v>5</v>
      </c>
      <c r="P66" s="26">
        <v>16.989777777777778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17</v>
      </c>
      <c r="S66" t="str">
        <f>InputData[[#This Row],[Col]]&amp;"x"&amp;IF(LEN(InputData[[#This Row],[Alto]])=2,InputData[[#This Row],[Alto]],"0"&amp;InputData[[#This Row],[Alto]])</f>
        <v>5x17</v>
      </c>
    </row>
    <row r="67" spans="1:19" hidden="1" x14ac:dyDescent="0.2">
      <c r="A67" t="s">
        <v>36</v>
      </c>
      <c r="B67" t="s">
        <v>333</v>
      </c>
      <c r="C67" t="s">
        <v>334</v>
      </c>
      <c r="D67" t="s">
        <v>335</v>
      </c>
      <c r="E67" t="s">
        <v>336</v>
      </c>
      <c r="F67" t="str">
        <f>LEFT(InputData[[#This Row],[Referencia]],32)</f>
        <v>BALDI FIAMBRERIA ESP GASTRONOMIC</v>
      </c>
      <c r="G67" t="s">
        <v>22</v>
      </c>
      <c r="H67" t="s">
        <v>40</v>
      </c>
      <c r="I67" s="24">
        <v>2439.1</v>
      </c>
      <c r="J67" t="s">
        <v>9</v>
      </c>
      <c r="K67" t="s">
        <v>23</v>
      </c>
      <c r="L67" t="s">
        <v>23</v>
      </c>
      <c r="M67" s="25">
        <v>4</v>
      </c>
      <c r="N67" t="s">
        <v>19</v>
      </c>
      <c r="O67" s="23">
        <v>5</v>
      </c>
      <c r="P67" s="26">
        <v>6.3217777777777773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6</v>
      </c>
      <c r="S67" t="str">
        <f>InputData[[#This Row],[Col]]&amp;"x"&amp;IF(LEN(InputData[[#This Row],[Alto]])=2,InputData[[#This Row],[Alto]],"0"&amp;InputData[[#This Row],[Alto]])</f>
        <v>5x06</v>
      </c>
    </row>
    <row r="68" spans="1:19" hidden="1" x14ac:dyDescent="0.2">
      <c r="A68" t="s">
        <v>36</v>
      </c>
      <c r="B68" t="s">
        <v>337</v>
      </c>
      <c r="C68" t="s">
        <v>338</v>
      </c>
      <c r="D68" t="s">
        <v>339</v>
      </c>
      <c r="E68" t="s">
        <v>340</v>
      </c>
      <c r="F68" t="str">
        <f>LEFT(InputData[[#This Row],[Referencia]],32)</f>
        <v>PAGINA IMPAR - GUAJIRA</v>
      </c>
      <c r="G68" t="s">
        <v>22</v>
      </c>
      <c r="H68" t="s">
        <v>40</v>
      </c>
      <c r="I68" s="24">
        <v>6097.74</v>
      </c>
      <c r="J68" t="s">
        <v>9</v>
      </c>
      <c r="K68" t="s">
        <v>23</v>
      </c>
      <c r="L68" t="s">
        <v>23</v>
      </c>
      <c r="M68" s="25">
        <v>7</v>
      </c>
      <c r="N68" t="s">
        <v>19</v>
      </c>
      <c r="O68" s="23">
        <v>5</v>
      </c>
      <c r="P68" s="26">
        <v>16.989777777777778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17</v>
      </c>
      <c r="S68" t="str">
        <f>InputData[[#This Row],[Col]]&amp;"x"&amp;IF(LEN(InputData[[#This Row],[Alto]])=2,InputData[[#This Row],[Alto]],"0"&amp;InputData[[#This Row],[Alto]])</f>
        <v>5x17</v>
      </c>
    </row>
    <row r="69" spans="1:19" hidden="1" x14ac:dyDescent="0.2">
      <c r="A69" t="s">
        <v>36</v>
      </c>
      <c r="B69" t="s">
        <v>341</v>
      </c>
      <c r="C69" t="s">
        <v>342</v>
      </c>
      <c r="D69" t="s">
        <v>343</v>
      </c>
      <c r="E69" t="s">
        <v>344</v>
      </c>
      <c r="F69" t="str">
        <f>LEFT(InputData[[#This Row],[Referencia]],32)</f>
        <v>UTHGRA DIA DEL GASTRONOMICO</v>
      </c>
      <c r="G69" t="s">
        <v>22</v>
      </c>
      <c r="H69" t="s">
        <v>40</v>
      </c>
      <c r="I69" s="24">
        <v>6341.72</v>
      </c>
      <c r="J69" t="s">
        <v>9</v>
      </c>
      <c r="K69" t="s">
        <v>23</v>
      </c>
      <c r="L69" t="s">
        <v>23</v>
      </c>
      <c r="M69" s="25">
        <v>1</v>
      </c>
      <c r="N69" t="s">
        <v>19</v>
      </c>
      <c r="O69" s="23">
        <v>5</v>
      </c>
      <c r="P69" s="26">
        <v>13.433777777777777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13</v>
      </c>
      <c r="S69" t="str">
        <f>InputData[[#This Row],[Col]]&amp;"x"&amp;IF(LEN(InputData[[#This Row],[Alto]])=2,InputData[[#This Row],[Alto]],"0"&amp;InputData[[#This Row],[Alto]])</f>
        <v>5x13</v>
      </c>
    </row>
    <row r="70" spans="1:19" hidden="1" x14ac:dyDescent="0.2">
      <c r="A70" t="s">
        <v>36</v>
      </c>
      <c r="B70" t="s">
        <v>345</v>
      </c>
      <c r="C70" t="s">
        <v>346</v>
      </c>
      <c r="D70" t="s">
        <v>347</v>
      </c>
      <c r="E70" t="s">
        <v>348</v>
      </c>
      <c r="F70" t="str">
        <f>LEFT(InputData[[#This Row],[Referencia]],32)</f>
        <v>IGA - DIA DEL TRABAJADOR GASTRON</v>
      </c>
      <c r="G70" t="s">
        <v>22</v>
      </c>
      <c r="H70" t="s">
        <v>40</v>
      </c>
      <c r="I70" s="24">
        <v>4756.29</v>
      </c>
      <c r="J70" t="s">
        <v>9</v>
      </c>
      <c r="K70" t="s">
        <v>23</v>
      </c>
      <c r="L70" t="s">
        <v>23</v>
      </c>
      <c r="M70" s="25">
        <v>8</v>
      </c>
      <c r="N70" t="s">
        <v>19</v>
      </c>
      <c r="O70" s="23">
        <v>5</v>
      </c>
      <c r="P70" s="26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84</v>
      </c>
    </row>
    <row r="2" spans="1:14" ht="21.95" customHeight="1" x14ac:dyDescent="0.2">
      <c r="A2" s="28" t="s">
        <v>49</v>
      </c>
      <c r="B2" s="28" t="s">
        <v>21</v>
      </c>
      <c r="C2" s="27">
        <v>11</v>
      </c>
      <c r="D2" s="27" t="s">
        <v>23</v>
      </c>
      <c r="E2" s="27" t="s">
        <v>28</v>
      </c>
      <c r="F2" s="27" t="s">
        <v>29</v>
      </c>
      <c r="G2" s="27" t="s">
        <v>366</v>
      </c>
      <c r="H2" s="27" t="s">
        <v>9</v>
      </c>
      <c r="I2" s="27" t="s">
        <v>54</v>
      </c>
      <c r="J2" s="27" t="s">
        <v>40</v>
      </c>
      <c r="K2" s="27" t="s">
        <v>190</v>
      </c>
      <c r="L2" s="22">
        <v>1</v>
      </c>
      <c r="M2" s="11"/>
      <c r="N2" s="14" t="str">
        <f>IF(FontColor(L2)&lt;&gt;0,"","Warning")</f>
        <v/>
      </c>
    </row>
    <row r="3" spans="1:14" ht="15" x14ac:dyDescent="0.2">
      <c r="A3" s="33" t="s">
        <v>49</v>
      </c>
      <c r="B3" s="33"/>
      <c r="C3" s="31" t="s">
        <v>105</v>
      </c>
      <c r="D3" s="32"/>
      <c r="E3" s="32"/>
      <c r="F3" s="32"/>
      <c r="G3" s="32"/>
      <c r="H3" s="32"/>
      <c r="I3" s="32"/>
      <c r="J3" s="32"/>
      <c r="K3" s="32"/>
      <c r="L3" s="20">
        <v>1</v>
      </c>
      <c r="M3" s="12"/>
    </row>
    <row r="4" spans="1:14" ht="21.95" customHeight="1" x14ac:dyDescent="0.2">
      <c r="A4" s="33" t="s">
        <v>49</v>
      </c>
      <c r="B4" s="33"/>
      <c r="C4" s="27">
        <v>27</v>
      </c>
      <c r="D4" s="27" t="s">
        <v>85</v>
      </c>
      <c r="E4" s="27" t="s">
        <v>28</v>
      </c>
      <c r="F4" s="27" t="s">
        <v>29</v>
      </c>
      <c r="G4" s="27" t="s">
        <v>367</v>
      </c>
      <c r="H4" s="27" t="s">
        <v>9</v>
      </c>
      <c r="I4" s="27" t="s">
        <v>28</v>
      </c>
      <c r="J4" s="27" t="s">
        <v>20</v>
      </c>
      <c r="K4" s="27" t="s">
        <v>214</v>
      </c>
      <c r="L4" s="22">
        <v>1</v>
      </c>
    </row>
    <row r="5" spans="1:14" ht="15" x14ac:dyDescent="0.2">
      <c r="A5" s="33" t="s">
        <v>49</v>
      </c>
      <c r="B5" s="33"/>
      <c r="C5" s="31" t="s">
        <v>134</v>
      </c>
      <c r="D5" s="32"/>
      <c r="E5" s="32"/>
      <c r="F5" s="32"/>
      <c r="G5" s="32"/>
      <c r="H5" s="32"/>
      <c r="I5" s="32"/>
      <c r="J5" s="32"/>
      <c r="K5" s="32"/>
      <c r="L5" s="20">
        <v>1</v>
      </c>
    </row>
    <row r="6" spans="1:14" ht="21.95" customHeight="1" x14ac:dyDescent="0.2">
      <c r="A6" s="28" t="s">
        <v>28</v>
      </c>
      <c r="B6" s="28" t="s">
        <v>36</v>
      </c>
      <c r="C6" s="27">
        <v>0</v>
      </c>
      <c r="D6" s="27" t="s">
        <v>30</v>
      </c>
      <c r="E6" s="27" t="s">
        <v>28</v>
      </c>
      <c r="F6" s="27" t="s">
        <v>37</v>
      </c>
      <c r="G6" s="27" t="s">
        <v>67</v>
      </c>
      <c r="H6" s="27" t="s">
        <v>9</v>
      </c>
      <c r="I6" s="27" t="s">
        <v>66</v>
      </c>
      <c r="J6" s="27" t="s">
        <v>56</v>
      </c>
      <c r="K6" s="27" t="s">
        <v>298</v>
      </c>
      <c r="L6" s="22">
        <v>1</v>
      </c>
    </row>
    <row r="7" spans="1:14" ht="15" x14ac:dyDescent="0.2">
      <c r="A7" s="33" t="s">
        <v>28</v>
      </c>
      <c r="B7" s="33"/>
      <c r="C7" s="31" t="s">
        <v>68</v>
      </c>
      <c r="D7" s="32"/>
      <c r="E7" s="32"/>
      <c r="F7" s="32"/>
      <c r="G7" s="32"/>
      <c r="H7" s="32"/>
      <c r="I7" s="32"/>
      <c r="J7" s="32"/>
      <c r="K7" s="32"/>
      <c r="L7" s="20">
        <v>1</v>
      </c>
    </row>
    <row r="8" spans="1:14" ht="21.95" customHeight="1" x14ac:dyDescent="0.2">
      <c r="A8" s="33" t="s">
        <v>28</v>
      </c>
      <c r="B8" s="33"/>
      <c r="C8" s="27">
        <v>1</v>
      </c>
      <c r="D8" s="27" t="s">
        <v>23</v>
      </c>
      <c r="E8" s="27" t="s">
        <v>28</v>
      </c>
      <c r="F8" s="27" t="s">
        <v>37</v>
      </c>
      <c r="G8" s="27" t="s">
        <v>344</v>
      </c>
      <c r="H8" s="27" t="s">
        <v>9</v>
      </c>
      <c r="I8" s="27" t="s">
        <v>343</v>
      </c>
      <c r="J8" s="27" t="s">
        <v>40</v>
      </c>
      <c r="K8" s="27" t="s">
        <v>341</v>
      </c>
      <c r="L8" s="22">
        <v>1</v>
      </c>
    </row>
    <row r="9" spans="1:14" ht="15" x14ac:dyDescent="0.2">
      <c r="A9" s="33" t="s">
        <v>28</v>
      </c>
      <c r="B9" s="33"/>
      <c r="C9" s="31" t="s">
        <v>349</v>
      </c>
      <c r="D9" s="32"/>
      <c r="E9" s="32"/>
      <c r="F9" s="32"/>
      <c r="G9" s="32"/>
      <c r="H9" s="32"/>
      <c r="I9" s="32"/>
      <c r="J9" s="32"/>
      <c r="K9" s="32"/>
      <c r="L9" s="20">
        <v>1</v>
      </c>
    </row>
    <row r="10" spans="1:14" ht="21.95" customHeight="1" x14ac:dyDescent="0.2">
      <c r="A10" s="33" t="s">
        <v>28</v>
      </c>
      <c r="B10" s="33"/>
      <c r="C10" s="28">
        <v>2</v>
      </c>
      <c r="D10" s="28" t="s">
        <v>23</v>
      </c>
      <c r="E10" s="28" t="s">
        <v>28</v>
      </c>
      <c r="F10" s="27" t="s">
        <v>94</v>
      </c>
      <c r="G10" s="27" t="s">
        <v>324</v>
      </c>
      <c r="H10" s="28" t="s">
        <v>9</v>
      </c>
      <c r="I10" s="27" t="s">
        <v>323</v>
      </c>
      <c r="J10" s="28" t="s">
        <v>40</v>
      </c>
      <c r="K10" s="27" t="s">
        <v>321</v>
      </c>
      <c r="L10" s="22">
        <v>1</v>
      </c>
      <c r="N10" s="14" t="str">
        <f>IF(FontColor(L10)&lt;&gt;0,"","Warning")</f>
        <v/>
      </c>
    </row>
    <row r="11" spans="1:14" ht="21.95" customHeight="1" x14ac:dyDescent="0.2">
      <c r="A11" s="33" t="s">
        <v>28</v>
      </c>
      <c r="B11" s="33"/>
      <c r="C11" s="30"/>
      <c r="D11" s="30"/>
      <c r="E11" s="30" t="s">
        <v>28</v>
      </c>
      <c r="F11" s="27" t="s">
        <v>104</v>
      </c>
      <c r="G11" s="27" t="s">
        <v>368</v>
      </c>
      <c r="H11" s="29" t="s">
        <v>9</v>
      </c>
      <c r="I11" s="27" t="s">
        <v>312</v>
      </c>
      <c r="J11" s="29" t="s">
        <v>40</v>
      </c>
      <c r="K11" s="27" t="s">
        <v>311</v>
      </c>
      <c r="L11" s="22">
        <v>1</v>
      </c>
    </row>
    <row r="12" spans="1:14" ht="15" x14ac:dyDescent="0.2">
      <c r="A12" s="33" t="s">
        <v>28</v>
      </c>
      <c r="B12" s="33"/>
      <c r="C12" s="31" t="s">
        <v>118</v>
      </c>
      <c r="D12" s="32"/>
      <c r="E12" s="32"/>
      <c r="F12" s="32"/>
      <c r="G12" s="32"/>
      <c r="H12" s="32"/>
      <c r="I12" s="32"/>
      <c r="J12" s="32"/>
      <c r="K12" s="32"/>
      <c r="L12" s="20">
        <v>2</v>
      </c>
    </row>
    <row r="13" spans="1:14" ht="21.95" customHeight="1" x14ac:dyDescent="0.2">
      <c r="A13" s="33" t="s">
        <v>28</v>
      </c>
      <c r="B13" s="33"/>
      <c r="C13" s="27">
        <v>3</v>
      </c>
      <c r="D13" s="27" t="s">
        <v>23</v>
      </c>
      <c r="E13" s="27" t="s">
        <v>28</v>
      </c>
      <c r="F13" s="27" t="s">
        <v>29</v>
      </c>
      <c r="G13" s="27" t="s">
        <v>302</v>
      </c>
      <c r="H13" s="27" t="s">
        <v>9</v>
      </c>
      <c r="I13" s="27" t="s">
        <v>301</v>
      </c>
      <c r="J13" s="27" t="s">
        <v>40</v>
      </c>
      <c r="K13" s="27" t="s">
        <v>299</v>
      </c>
      <c r="L13" s="22">
        <v>1</v>
      </c>
    </row>
    <row r="14" spans="1:14" ht="15" x14ac:dyDescent="0.2">
      <c r="A14" s="33" t="s">
        <v>28</v>
      </c>
      <c r="B14" s="33"/>
      <c r="C14" s="31" t="s">
        <v>75</v>
      </c>
      <c r="D14" s="32"/>
      <c r="E14" s="32"/>
      <c r="F14" s="32"/>
      <c r="G14" s="32"/>
      <c r="H14" s="32"/>
      <c r="I14" s="32"/>
      <c r="J14" s="32"/>
      <c r="K14" s="32"/>
      <c r="L14" s="20">
        <v>1</v>
      </c>
    </row>
    <row r="15" spans="1:14" ht="21.95" customHeight="1" x14ac:dyDescent="0.2">
      <c r="A15" s="33" t="s">
        <v>28</v>
      </c>
      <c r="B15" s="33"/>
      <c r="C15" s="28">
        <v>4</v>
      </c>
      <c r="D15" s="28" t="s">
        <v>23</v>
      </c>
      <c r="E15" s="28" t="s">
        <v>28</v>
      </c>
      <c r="F15" s="27" t="s">
        <v>133</v>
      </c>
      <c r="G15" s="27" t="s">
        <v>369</v>
      </c>
      <c r="H15" s="28" t="s">
        <v>9</v>
      </c>
      <c r="I15" s="27" t="s">
        <v>335</v>
      </c>
      <c r="J15" s="28" t="s">
        <v>40</v>
      </c>
      <c r="K15" s="27" t="s">
        <v>333</v>
      </c>
      <c r="L15" s="22">
        <v>1</v>
      </c>
    </row>
    <row r="16" spans="1:14" ht="21.95" customHeight="1" x14ac:dyDescent="0.2">
      <c r="A16" s="33" t="s">
        <v>28</v>
      </c>
      <c r="B16" s="33"/>
      <c r="C16" s="30"/>
      <c r="D16" s="30"/>
      <c r="E16" s="30" t="s">
        <v>28</v>
      </c>
      <c r="F16" s="27" t="s">
        <v>104</v>
      </c>
      <c r="G16" s="27" t="s">
        <v>328</v>
      </c>
      <c r="H16" s="29" t="s">
        <v>9</v>
      </c>
      <c r="I16" s="27" t="s">
        <v>327</v>
      </c>
      <c r="J16" s="29" t="s">
        <v>40</v>
      </c>
      <c r="K16" s="27" t="s">
        <v>325</v>
      </c>
      <c r="L16" s="22">
        <v>1</v>
      </c>
    </row>
    <row r="17" spans="1:12" ht="15" x14ac:dyDescent="0.2">
      <c r="A17" s="33" t="s">
        <v>28</v>
      </c>
      <c r="B17" s="33"/>
      <c r="C17" s="31" t="s">
        <v>83</v>
      </c>
      <c r="D17" s="32"/>
      <c r="E17" s="32"/>
      <c r="F17" s="32"/>
      <c r="G17" s="32"/>
      <c r="H17" s="32"/>
      <c r="I17" s="32"/>
      <c r="J17" s="32"/>
      <c r="K17" s="32"/>
      <c r="L17" s="20">
        <v>2</v>
      </c>
    </row>
    <row r="18" spans="1:12" ht="21.95" customHeight="1" x14ac:dyDescent="0.2">
      <c r="A18" s="33" t="s">
        <v>28</v>
      </c>
      <c r="B18" s="33"/>
      <c r="C18" s="27">
        <v>5</v>
      </c>
      <c r="D18" s="27" t="s">
        <v>23</v>
      </c>
      <c r="E18" s="27" t="s">
        <v>28</v>
      </c>
      <c r="F18" s="27" t="s">
        <v>29</v>
      </c>
      <c r="G18" s="27" t="s">
        <v>332</v>
      </c>
      <c r="H18" s="27" t="s">
        <v>9</v>
      </c>
      <c r="I18" s="27" t="s">
        <v>331</v>
      </c>
      <c r="J18" s="27" t="s">
        <v>40</v>
      </c>
      <c r="K18" s="27" t="s">
        <v>329</v>
      </c>
      <c r="L18" s="22">
        <v>1</v>
      </c>
    </row>
    <row r="19" spans="1:12" ht="15" x14ac:dyDescent="0.2">
      <c r="A19" s="33" t="s">
        <v>28</v>
      </c>
      <c r="B19" s="33"/>
      <c r="C19" s="31" t="s">
        <v>129</v>
      </c>
      <c r="D19" s="32"/>
      <c r="E19" s="32"/>
      <c r="F19" s="32"/>
      <c r="G19" s="32"/>
      <c r="H19" s="32"/>
      <c r="I19" s="32"/>
      <c r="J19" s="32"/>
      <c r="K19" s="32"/>
      <c r="L19" s="20">
        <v>1</v>
      </c>
    </row>
    <row r="20" spans="1:12" ht="21.95" customHeight="1" x14ac:dyDescent="0.2">
      <c r="A20" s="33" t="s">
        <v>28</v>
      </c>
      <c r="B20" s="33"/>
      <c r="C20" s="28">
        <v>6</v>
      </c>
      <c r="D20" s="28" t="s">
        <v>23</v>
      </c>
      <c r="E20" s="28" t="s">
        <v>28</v>
      </c>
      <c r="F20" s="27" t="s">
        <v>88</v>
      </c>
      <c r="G20" s="27" t="s">
        <v>370</v>
      </c>
      <c r="H20" s="28" t="s">
        <v>9</v>
      </c>
      <c r="I20" s="27" t="s">
        <v>319</v>
      </c>
      <c r="J20" s="28" t="s">
        <v>40</v>
      </c>
      <c r="K20" s="27" t="s">
        <v>318</v>
      </c>
      <c r="L20" s="22">
        <v>1</v>
      </c>
    </row>
    <row r="21" spans="1:12" ht="21.95" customHeight="1" x14ac:dyDescent="0.2">
      <c r="A21" s="33" t="s">
        <v>28</v>
      </c>
      <c r="B21" s="33"/>
      <c r="C21" s="30"/>
      <c r="D21" s="30"/>
      <c r="E21" s="30" t="s">
        <v>28</v>
      </c>
      <c r="F21" s="27" t="s">
        <v>110</v>
      </c>
      <c r="G21" s="27" t="s">
        <v>371</v>
      </c>
      <c r="H21" s="29" t="s">
        <v>9</v>
      </c>
      <c r="I21" s="27" t="s">
        <v>305</v>
      </c>
      <c r="J21" s="29" t="s">
        <v>40</v>
      </c>
      <c r="K21" s="27" t="s">
        <v>303</v>
      </c>
      <c r="L21" s="22">
        <v>1</v>
      </c>
    </row>
    <row r="22" spans="1:12" ht="21.95" customHeight="1" x14ac:dyDescent="0.2">
      <c r="A22" s="33" t="s">
        <v>28</v>
      </c>
      <c r="B22" s="33"/>
      <c r="C22" s="30"/>
      <c r="D22" s="30"/>
      <c r="E22" s="30" t="s">
        <v>28</v>
      </c>
      <c r="F22" s="27" t="s">
        <v>120</v>
      </c>
      <c r="G22" s="27" t="s">
        <v>372</v>
      </c>
      <c r="H22" s="29" t="s">
        <v>9</v>
      </c>
      <c r="I22" s="27" t="s">
        <v>316</v>
      </c>
      <c r="J22" s="29" t="s">
        <v>40</v>
      </c>
      <c r="K22" s="27" t="s">
        <v>314</v>
      </c>
      <c r="L22" s="22">
        <v>1</v>
      </c>
    </row>
    <row r="23" spans="1:12" ht="15" x14ac:dyDescent="0.2">
      <c r="A23" s="33" t="s">
        <v>28</v>
      </c>
      <c r="B23" s="33"/>
      <c r="C23" s="31" t="s">
        <v>131</v>
      </c>
      <c r="D23" s="32"/>
      <c r="E23" s="32"/>
      <c r="F23" s="32"/>
      <c r="G23" s="32"/>
      <c r="H23" s="32"/>
      <c r="I23" s="32"/>
      <c r="J23" s="32"/>
      <c r="K23" s="32"/>
      <c r="L23" s="20">
        <v>3</v>
      </c>
    </row>
    <row r="24" spans="1:12" ht="21.95" customHeight="1" x14ac:dyDescent="0.2">
      <c r="A24" s="33" t="s">
        <v>28</v>
      </c>
      <c r="B24" s="33"/>
      <c r="C24" s="27">
        <v>7</v>
      </c>
      <c r="D24" s="27" t="s">
        <v>23</v>
      </c>
      <c r="E24" s="27" t="s">
        <v>28</v>
      </c>
      <c r="F24" s="27" t="s">
        <v>29</v>
      </c>
      <c r="G24" s="27" t="s">
        <v>340</v>
      </c>
      <c r="H24" s="27" t="s">
        <v>9</v>
      </c>
      <c r="I24" s="27" t="s">
        <v>339</v>
      </c>
      <c r="J24" s="27" t="s">
        <v>40</v>
      </c>
      <c r="K24" s="27" t="s">
        <v>337</v>
      </c>
      <c r="L24" s="22">
        <v>1</v>
      </c>
    </row>
    <row r="25" spans="1:12" ht="15" x14ac:dyDescent="0.2">
      <c r="A25" s="33" t="s">
        <v>28</v>
      </c>
      <c r="B25" s="33"/>
      <c r="C25" s="31" t="s">
        <v>119</v>
      </c>
      <c r="D25" s="32"/>
      <c r="E25" s="32"/>
      <c r="F25" s="32"/>
      <c r="G25" s="32"/>
      <c r="H25" s="32"/>
      <c r="I25" s="32"/>
      <c r="J25" s="32"/>
      <c r="K25" s="32"/>
      <c r="L25" s="20">
        <v>1</v>
      </c>
    </row>
    <row r="26" spans="1:12" ht="21.95" customHeight="1" x14ac:dyDescent="0.2">
      <c r="A26" s="33" t="s">
        <v>28</v>
      </c>
      <c r="B26" s="33"/>
      <c r="C26" s="28">
        <v>8</v>
      </c>
      <c r="D26" s="28" t="s">
        <v>23</v>
      </c>
      <c r="E26" s="28" t="s">
        <v>28</v>
      </c>
      <c r="F26" s="27" t="s">
        <v>130</v>
      </c>
      <c r="G26" s="27" t="s">
        <v>373</v>
      </c>
      <c r="H26" s="28" t="s">
        <v>9</v>
      </c>
      <c r="I26" s="27" t="s">
        <v>309</v>
      </c>
      <c r="J26" s="28" t="s">
        <v>40</v>
      </c>
      <c r="K26" s="27" t="s">
        <v>307</v>
      </c>
      <c r="L26" s="22">
        <v>1</v>
      </c>
    </row>
    <row r="27" spans="1:12" ht="21.95" customHeight="1" x14ac:dyDescent="0.2">
      <c r="A27" s="33" t="s">
        <v>28</v>
      </c>
      <c r="B27" s="33"/>
      <c r="C27" s="30"/>
      <c r="D27" s="30"/>
      <c r="E27" s="30" t="s">
        <v>28</v>
      </c>
      <c r="F27" s="27" t="s">
        <v>104</v>
      </c>
      <c r="G27" s="27" t="s">
        <v>374</v>
      </c>
      <c r="H27" s="29" t="s">
        <v>9</v>
      </c>
      <c r="I27" s="27" t="s">
        <v>347</v>
      </c>
      <c r="J27" s="29" t="s">
        <v>40</v>
      </c>
      <c r="K27" s="27" t="s">
        <v>345</v>
      </c>
      <c r="L27" s="22">
        <v>1</v>
      </c>
    </row>
    <row r="28" spans="1:12" ht="15" x14ac:dyDescent="0.2">
      <c r="A28" s="33" t="s">
        <v>28</v>
      </c>
      <c r="B28" s="33"/>
      <c r="C28" s="31" t="s">
        <v>108</v>
      </c>
      <c r="D28" s="32"/>
      <c r="E28" s="32"/>
      <c r="F28" s="32"/>
      <c r="G28" s="32"/>
      <c r="H28" s="32"/>
      <c r="I28" s="32"/>
      <c r="J28" s="32"/>
      <c r="K28" s="32"/>
      <c r="L28" s="20">
        <v>2</v>
      </c>
    </row>
    <row r="29" spans="1:12" ht="21.95" customHeight="1" x14ac:dyDescent="0.2">
      <c r="A29" s="33" t="s">
        <v>28</v>
      </c>
      <c r="B29" s="28" t="s">
        <v>280</v>
      </c>
      <c r="C29" s="28">
        <v>0</v>
      </c>
      <c r="D29" s="28" t="s">
        <v>285</v>
      </c>
      <c r="E29" s="28" t="s">
        <v>28</v>
      </c>
      <c r="F29" s="27" t="s">
        <v>74</v>
      </c>
      <c r="G29" s="27" t="s">
        <v>375</v>
      </c>
      <c r="H29" s="28" t="s">
        <v>9</v>
      </c>
      <c r="I29" s="28" t="s">
        <v>28</v>
      </c>
      <c r="J29" s="28" t="s">
        <v>20</v>
      </c>
      <c r="K29" s="27" t="s">
        <v>289</v>
      </c>
      <c r="L29" s="22">
        <v>1</v>
      </c>
    </row>
    <row r="30" spans="1:12" ht="21.95" customHeight="1" x14ac:dyDescent="0.2">
      <c r="A30" s="33" t="s">
        <v>28</v>
      </c>
      <c r="B30" s="33"/>
      <c r="C30" s="30"/>
      <c r="D30" s="30"/>
      <c r="E30" s="30" t="s">
        <v>28</v>
      </c>
      <c r="F30" s="28" t="s">
        <v>88</v>
      </c>
      <c r="G30" s="27" t="s">
        <v>376</v>
      </c>
      <c r="H30" s="29" t="s">
        <v>9</v>
      </c>
      <c r="I30" s="29" t="s">
        <v>28</v>
      </c>
      <c r="J30" s="29" t="s">
        <v>20</v>
      </c>
      <c r="K30" s="27" t="s">
        <v>281</v>
      </c>
      <c r="L30" s="22">
        <v>1</v>
      </c>
    </row>
    <row r="31" spans="1:12" ht="21.95" customHeight="1" x14ac:dyDescent="0.2">
      <c r="A31" s="33" t="s">
        <v>28</v>
      </c>
      <c r="B31" s="33"/>
      <c r="C31" s="30"/>
      <c r="D31" s="30"/>
      <c r="E31" s="30" t="s">
        <v>28</v>
      </c>
      <c r="F31" s="30"/>
      <c r="G31" s="27" t="s">
        <v>377</v>
      </c>
      <c r="H31" s="27" t="s">
        <v>39</v>
      </c>
      <c r="I31" s="29" t="s">
        <v>28</v>
      </c>
      <c r="J31" s="29" t="s">
        <v>20</v>
      </c>
      <c r="K31" s="27" t="s">
        <v>286</v>
      </c>
      <c r="L31" s="22">
        <v>1</v>
      </c>
    </row>
    <row r="32" spans="1:12" ht="21.95" customHeight="1" x14ac:dyDescent="0.2">
      <c r="A32" s="33" t="s">
        <v>28</v>
      </c>
      <c r="B32" s="33"/>
      <c r="C32" s="30"/>
      <c r="D32" s="30"/>
      <c r="E32" s="30" t="s">
        <v>28</v>
      </c>
      <c r="F32" s="30"/>
      <c r="G32" s="27" t="s">
        <v>378</v>
      </c>
      <c r="H32" s="28" t="s">
        <v>9</v>
      </c>
      <c r="I32" s="29" t="s">
        <v>28</v>
      </c>
      <c r="J32" s="29" t="s">
        <v>20</v>
      </c>
      <c r="K32" s="27" t="s">
        <v>292</v>
      </c>
      <c r="L32" s="22">
        <v>1</v>
      </c>
    </row>
    <row r="33" spans="1:12" ht="21.95" customHeight="1" x14ac:dyDescent="0.2">
      <c r="A33" s="33" t="s">
        <v>28</v>
      </c>
      <c r="B33" s="33"/>
      <c r="C33" s="30"/>
      <c r="D33" s="30"/>
      <c r="E33" s="30" t="s">
        <v>28</v>
      </c>
      <c r="F33" s="27" t="s">
        <v>94</v>
      </c>
      <c r="G33" s="27" t="s">
        <v>379</v>
      </c>
      <c r="H33" s="29" t="s">
        <v>9</v>
      </c>
      <c r="I33" s="29" t="s">
        <v>28</v>
      </c>
      <c r="J33" s="29" t="s">
        <v>20</v>
      </c>
      <c r="K33" s="27" t="s">
        <v>295</v>
      </c>
      <c r="L33" s="22">
        <v>1</v>
      </c>
    </row>
    <row r="34" spans="1:12" ht="15" x14ac:dyDescent="0.2">
      <c r="A34" s="33" t="s">
        <v>28</v>
      </c>
      <c r="B34" s="33"/>
      <c r="C34" s="31" t="s">
        <v>68</v>
      </c>
      <c r="D34" s="32"/>
      <c r="E34" s="32"/>
      <c r="F34" s="32"/>
      <c r="G34" s="32"/>
      <c r="H34" s="32"/>
      <c r="I34" s="32"/>
      <c r="J34" s="32"/>
      <c r="K34" s="32"/>
      <c r="L34" s="20">
        <v>5</v>
      </c>
    </row>
    <row r="35" spans="1:12" ht="21.95" customHeight="1" x14ac:dyDescent="0.2">
      <c r="A35" s="33" t="s">
        <v>28</v>
      </c>
      <c r="B35" s="28" t="s">
        <v>57</v>
      </c>
      <c r="C35" s="28">
        <v>0</v>
      </c>
      <c r="D35" s="28" t="s">
        <v>64</v>
      </c>
      <c r="E35" s="28" t="s">
        <v>28</v>
      </c>
      <c r="F35" s="27" t="s">
        <v>70</v>
      </c>
      <c r="G35" s="27" t="s">
        <v>122</v>
      </c>
      <c r="H35" s="28" t="s">
        <v>39</v>
      </c>
      <c r="I35" s="28" t="s">
        <v>28</v>
      </c>
      <c r="J35" s="28" t="s">
        <v>20</v>
      </c>
      <c r="K35" s="27" t="s">
        <v>269</v>
      </c>
      <c r="L35" s="22">
        <v>1</v>
      </c>
    </row>
    <row r="36" spans="1:12" ht="21.95" customHeight="1" x14ac:dyDescent="0.2">
      <c r="A36" s="33" t="s">
        <v>28</v>
      </c>
      <c r="B36" s="33"/>
      <c r="C36" s="30"/>
      <c r="D36" s="30"/>
      <c r="E36" s="30" t="s">
        <v>28</v>
      </c>
      <c r="F36" s="28" t="s">
        <v>72</v>
      </c>
      <c r="G36" s="27" t="s">
        <v>380</v>
      </c>
      <c r="H36" s="29" t="s">
        <v>39</v>
      </c>
      <c r="I36" s="29" t="s">
        <v>28</v>
      </c>
      <c r="J36" s="29" t="s">
        <v>20</v>
      </c>
      <c r="K36" s="27" t="s">
        <v>271</v>
      </c>
      <c r="L36" s="22">
        <v>1</v>
      </c>
    </row>
    <row r="37" spans="1:12" ht="21.95" customHeight="1" x14ac:dyDescent="0.2">
      <c r="A37" s="33" t="s">
        <v>28</v>
      </c>
      <c r="B37" s="33"/>
      <c r="C37" s="30"/>
      <c r="D37" s="30"/>
      <c r="E37" s="30" t="s">
        <v>28</v>
      </c>
      <c r="F37" s="30"/>
      <c r="G37" s="27" t="s">
        <v>381</v>
      </c>
      <c r="H37" s="29" t="s">
        <v>39</v>
      </c>
      <c r="I37" s="29" t="s">
        <v>28</v>
      </c>
      <c r="J37" s="29" t="s">
        <v>20</v>
      </c>
      <c r="K37" s="27" t="s">
        <v>273</v>
      </c>
      <c r="L37" s="22">
        <v>1</v>
      </c>
    </row>
    <row r="38" spans="1:12" ht="21.95" customHeight="1" x14ac:dyDescent="0.2">
      <c r="A38" s="33" t="s">
        <v>28</v>
      </c>
      <c r="B38" s="33"/>
      <c r="C38" s="30"/>
      <c r="D38" s="30"/>
      <c r="E38" s="30" t="s">
        <v>28</v>
      </c>
      <c r="F38" s="30"/>
      <c r="G38" s="27" t="s">
        <v>382</v>
      </c>
      <c r="H38" s="29" t="s">
        <v>39</v>
      </c>
      <c r="I38" s="29" t="s">
        <v>28</v>
      </c>
      <c r="J38" s="29" t="s">
        <v>20</v>
      </c>
      <c r="K38" s="27" t="s">
        <v>277</v>
      </c>
      <c r="L38" s="22">
        <v>1</v>
      </c>
    </row>
    <row r="39" spans="1:12" ht="21.95" customHeight="1" x14ac:dyDescent="0.2">
      <c r="A39" s="33" t="s">
        <v>28</v>
      </c>
      <c r="B39" s="33"/>
      <c r="C39" s="30"/>
      <c r="D39" s="30"/>
      <c r="E39" s="30" t="s">
        <v>28</v>
      </c>
      <c r="F39" s="27" t="s">
        <v>98</v>
      </c>
      <c r="G39" s="27" t="s">
        <v>116</v>
      </c>
      <c r="H39" s="29" t="s">
        <v>39</v>
      </c>
      <c r="I39" s="29" t="s">
        <v>28</v>
      </c>
      <c r="J39" s="29" t="s">
        <v>20</v>
      </c>
      <c r="K39" s="27" t="s">
        <v>275</v>
      </c>
      <c r="L39" s="22">
        <v>1</v>
      </c>
    </row>
    <row r="40" spans="1:12" ht="21.95" customHeight="1" x14ac:dyDescent="0.2">
      <c r="A40" s="33" t="s">
        <v>28</v>
      </c>
      <c r="B40" s="33"/>
      <c r="C40" s="30"/>
      <c r="D40" s="27" t="s">
        <v>63</v>
      </c>
      <c r="E40" s="29" t="s">
        <v>28</v>
      </c>
      <c r="F40" s="27" t="s">
        <v>72</v>
      </c>
      <c r="G40" s="27" t="s">
        <v>62</v>
      </c>
      <c r="H40" s="29" t="s">
        <v>39</v>
      </c>
      <c r="I40" s="27" t="s">
        <v>267</v>
      </c>
      <c r="J40" s="27" t="s">
        <v>40</v>
      </c>
      <c r="K40" s="27" t="s">
        <v>266</v>
      </c>
      <c r="L40" s="22">
        <v>1</v>
      </c>
    </row>
    <row r="41" spans="1:12" ht="21.95" customHeight="1" x14ac:dyDescent="0.2">
      <c r="A41" s="33" t="s">
        <v>28</v>
      </c>
      <c r="B41" s="33"/>
      <c r="C41" s="30"/>
      <c r="D41" s="27" t="s">
        <v>82</v>
      </c>
      <c r="E41" s="29" t="s">
        <v>28</v>
      </c>
      <c r="F41" s="27" t="s">
        <v>69</v>
      </c>
      <c r="G41" s="27" t="s">
        <v>93</v>
      </c>
      <c r="H41" s="29" t="s">
        <v>39</v>
      </c>
      <c r="I41" s="28" t="s">
        <v>28</v>
      </c>
      <c r="J41" s="28" t="s">
        <v>20</v>
      </c>
      <c r="K41" s="27" t="s">
        <v>264</v>
      </c>
      <c r="L41" s="22">
        <v>1</v>
      </c>
    </row>
    <row r="42" spans="1:12" ht="21.95" customHeight="1" x14ac:dyDescent="0.2">
      <c r="A42" s="33" t="s">
        <v>28</v>
      </c>
      <c r="B42" s="33"/>
      <c r="C42" s="30"/>
      <c r="D42" s="28" t="s">
        <v>59</v>
      </c>
      <c r="E42" s="29" t="s">
        <v>28</v>
      </c>
      <c r="F42" s="28" t="s">
        <v>71</v>
      </c>
      <c r="G42" s="27" t="s">
        <v>383</v>
      </c>
      <c r="H42" s="29" t="s">
        <v>39</v>
      </c>
      <c r="I42" s="29" t="s">
        <v>28</v>
      </c>
      <c r="J42" s="29" t="s">
        <v>20</v>
      </c>
      <c r="K42" s="27" t="s">
        <v>262</v>
      </c>
      <c r="L42" s="22">
        <v>1</v>
      </c>
    </row>
    <row r="43" spans="1:12" ht="21.95" customHeight="1" x14ac:dyDescent="0.2">
      <c r="A43" s="33" t="s">
        <v>28</v>
      </c>
      <c r="B43" s="33"/>
      <c r="C43" s="30"/>
      <c r="D43" s="30"/>
      <c r="E43" s="30" t="s">
        <v>28</v>
      </c>
      <c r="F43" s="30"/>
      <c r="G43" s="27" t="s">
        <v>384</v>
      </c>
      <c r="H43" s="27" t="s">
        <v>9</v>
      </c>
      <c r="I43" s="29" t="s">
        <v>28</v>
      </c>
      <c r="J43" s="29" t="s">
        <v>20</v>
      </c>
      <c r="K43" s="27" t="s">
        <v>260</v>
      </c>
      <c r="L43" s="22">
        <v>1</v>
      </c>
    </row>
    <row r="44" spans="1:12" ht="21.95" customHeight="1" x14ac:dyDescent="0.2">
      <c r="A44" s="33" t="s">
        <v>28</v>
      </c>
      <c r="B44" s="33"/>
      <c r="C44" s="30"/>
      <c r="D44" s="27" t="s">
        <v>101</v>
      </c>
      <c r="E44" s="29" t="s">
        <v>28</v>
      </c>
      <c r="F44" s="27" t="s">
        <v>70</v>
      </c>
      <c r="G44" s="27" t="s">
        <v>102</v>
      </c>
      <c r="H44" s="28" t="s">
        <v>39</v>
      </c>
      <c r="I44" s="29" t="s">
        <v>28</v>
      </c>
      <c r="J44" s="29" t="s">
        <v>20</v>
      </c>
      <c r="K44" s="27" t="s">
        <v>268</v>
      </c>
      <c r="L44" s="22">
        <v>1</v>
      </c>
    </row>
    <row r="45" spans="1:12" ht="21.95" customHeight="1" x14ac:dyDescent="0.2">
      <c r="A45" s="33" t="s">
        <v>28</v>
      </c>
      <c r="B45" s="33"/>
      <c r="C45" s="30"/>
      <c r="D45" s="27" t="s">
        <v>113</v>
      </c>
      <c r="E45" s="29" t="s">
        <v>28</v>
      </c>
      <c r="F45" s="27" t="s">
        <v>69</v>
      </c>
      <c r="G45" s="27" t="s">
        <v>114</v>
      </c>
      <c r="H45" s="29" t="s">
        <v>39</v>
      </c>
      <c r="I45" s="29" t="s">
        <v>28</v>
      </c>
      <c r="J45" s="29" t="s">
        <v>20</v>
      </c>
      <c r="K45" s="27" t="s">
        <v>259</v>
      </c>
      <c r="L45" s="22">
        <v>1</v>
      </c>
    </row>
    <row r="46" spans="1:12" ht="15" x14ac:dyDescent="0.2">
      <c r="A46" s="33" t="s">
        <v>28</v>
      </c>
      <c r="B46" s="33"/>
      <c r="C46" s="31" t="s">
        <v>68</v>
      </c>
      <c r="D46" s="32"/>
      <c r="E46" s="32"/>
      <c r="F46" s="32"/>
      <c r="G46" s="32"/>
      <c r="H46" s="32"/>
      <c r="I46" s="32"/>
      <c r="J46" s="32"/>
      <c r="K46" s="32"/>
      <c r="L46" s="20">
        <v>11</v>
      </c>
    </row>
    <row r="47" spans="1:12" ht="21.95" customHeight="1" x14ac:dyDescent="0.2">
      <c r="A47" s="33" t="s">
        <v>28</v>
      </c>
      <c r="B47" s="28" t="s">
        <v>21</v>
      </c>
      <c r="C47" s="27">
        <v>0</v>
      </c>
      <c r="D47" s="27" t="s">
        <v>48</v>
      </c>
      <c r="E47" s="27" t="s">
        <v>28</v>
      </c>
      <c r="F47" s="27" t="s">
        <v>70</v>
      </c>
      <c r="G47" s="27" t="s">
        <v>51</v>
      </c>
      <c r="H47" s="27" t="s">
        <v>9</v>
      </c>
      <c r="I47" s="27" t="s">
        <v>193</v>
      </c>
      <c r="J47" s="27" t="s">
        <v>40</v>
      </c>
      <c r="K47" s="27" t="s">
        <v>192</v>
      </c>
      <c r="L47" s="22">
        <v>1</v>
      </c>
    </row>
    <row r="48" spans="1:12" ht="15" x14ac:dyDescent="0.2">
      <c r="A48" s="33" t="s">
        <v>28</v>
      </c>
      <c r="B48" s="33"/>
      <c r="C48" s="31" t="s">
        <v>68</v>
      </c>
      <c r="D48" s="32"/>
      <c r="E48" s="32"/>
      <c r="F48" s="32"/>
      <c r="G48" s="32"/>
      <c r="H48" s="32"/>
      <c r="I48" s="32"/>
      <c r="J48" s="32"/>
      <c r="K48" s="32"/>
      <c r="L48" s="20">
        <v>1</v>
      </c>
    </row>
    <row r="49" spans="1:12" ht="21.95" customHeight="1" x14ac:dyDescent="0.2">
      <c r="A49" s="33" t="s">
        <v>28</v>
      </c>
      <c r="B49" s="33"/>
      <c r="C49" s="27">
        <v>3</v>
      </c>
      <c r="D49" s="27" t="s">
        <v>96</v>
      </c>
      <c r="E49" s="27" t="s">
        <v>28</v>
      </c>
      <c r="F49" s="27" t="s">
        <v>109</v>
      </c>
      <c r="G49" s="27" t="s">
        <v>236</v>
      </c>
      <c r="H49" s="27" t="s">
        <v>9</v>
      </c>
      <c r="I49" s="27" t="s">
        <v>235</v>
      </c>
      <c r="J49" s="27" t="s">
        <v>56</v>
      </c>
      <c r="K49" s="27" t="s">
        <v>234</v>
      </c>
      <c r="L49" s="22">
        <v>1</v>
      </c>
    </row>
    <row r="50" spans="1:12" ht="15" x14ac:dyDescent="0.2">
      <c r="A50" s="33" t="s">
        <v>28</v>
      </c>
      <c r="B50" s="33"/>
      <c r="C50" s="31" t="s">
        <v>75</v>
      </c>
      <c r="D50" s="32"/>
      <c r="E50" s="32"/>
      <c r="F50" s="32"/>
      <c r="G50" s="32"/>
      <c r="H50" s="32"/>
      <c r="I50" s="32"/>
      <c r="J50" s="32"/>
      <c r="K50" s="32"/>
      <c r="L50" s="20">
        <v>1</v>
      </c>
    </row>
    <row r="51" spans="1:12" ht="21.95" customHeight="1" x14ac:dyDescent="0.2">
      <c r="A51" s="33" t="s">
        <v>28</v>
      </c>
      <c r="B51" s="33"/>
      <c r="C51" s="27">
        <v>4</v>
      </c>
      <c r="D51" s="27" t="s">
        <v>89</v>
      </c>
      <c r="E51" s="27" t="s">
        <v>28</v>
      </c>
      <c r="F51" s="27" t="s">
        <v>70</v>
      </c>
      <c r="G51" s="27" t="s">
        <v>385</v>
      </c>
      <c r="H51" s="27" t="s">
        <v>39</v>
      </c>
      <c r="I51" s="27" t="s">
        <v>28</v>
      </c>
      <c r="J51" s="27" t="s">
        <v>20</v>
      </c>
      <c r="K51" s="27" t="s">
        <v>231</v>
      </c>
      <c r="L51" s="22">
        <v>1</v>
      </c>
    </row>
    <row r="52" spans="1:12" ht="15" x14ac:dyDescent="0.2">
      <c r="A52" s="33" t="s">
        <v>28</v>
      </c>
      <c r="B52" s="33"/>
      <c r="C52" s="31" t="s">
        <v>83</v>
      </c>
      <c r="D52" s="32"/>
      <c r="E52" s="32"/>
      <c r="F52" s="32"/>
      <c r="G52" s="32"/>
      <c r="H52" s="32"/>
      <c r="I52" s="32"/>
      <c r="J52" s="32"/>
      <c r="K52" s="32"/>
      <c r="L52" s="20">
        <v>1</v>
      </c>
    </row>
    <row r="53" spans="1:12" ht="21.95" customHeight="1" x14ac:dyDescent="0.2">
      <c r="A53" s="33" t="s">
        <v>28</v>
      </c>
      <c r="B53" s="33"/>
      <c r="C53" s="28">
        <v>5</v>
      </c>
      <c r="D53" s="27" t="s">
        <v>96</v>
      </c>
      <c r="E53" s="28" t="s">
        <v>28</v>
      </c>
      <c r="F53" s="27" t="s">
        <v>88</v>
      </c>
      <c r="G53" s="27" t="s">
        <v>386</v>
      </c>
      <c r="H53" s="28" t="s">
        <v>39</v>
      </c>
      <c r="I53" s="28" t="s">
        <v>28</v>
      </c>
      <c r="J53" s="28" t="s">
        <v>20</v>
      </c>
      <c r="K53" s="27" t="s">
        <v>243</v>
      </c>
      <c r="L53" s="22">
        <v>1</v>
      </c>
    </row>
    <row r="54" spans="1:12" ht="21.95" customHeight="1" x14ac:dyDescent="0.2">
      <c r="A54" s="33" t="s">
        <v>28</v>
      </c>
      <c r="B54" s="33"/>
      <c r="C54" s="30"/>
      <c r="D54" s="27" t="s">
        <v>30</v>
      </c>
      <c r="E54" s="29" t="s">
        <v>28</v>
      </c>
      <c r="F54" s="27" t="s">
        <v>120</v>
      </c>
      <c r="G54" s="27" t="s">
        <v>387</v>
      </c>
      <c r="H54" s="29" t="s">
        <v>39</v>
      </c>
      <c r="I54" s="29" t="s">
        <v>28</v>
      </c>
      <c r="J54" s="29" t="s">
        <v>20</v>
      </c>
      <c r="K54" s="27" t="s">
        <v>184</v>
      </c>
      <c r="L54" s="22">
        <v>1</v>
      </c>
    </row>
    <row r="55" spans="1:12" ht="15" x14ac:dyDescent="0.2">
      <c r="A55" s="33" t="s">
        <v>28</v>
      </c>
      <c r="B55" s="33"/>
      <c r="C55" s="31" t="s">
        <v>129</v>
      </c>
      <c r="D55" s="32"/>
      <c r="E55" s="32"/>
      <c r="F55" s="32"/>
      <c r="G55" s="32"/>
      <c r="H55" s="32"/>
      <c r="I55" s="32"/>
      <c r="J55" s="32"/>
      <c r="K55" s="32"/>
      <c r="L55" s="20">
        <v>2</v>
      </c>
    </row>
    <row r="56" spans="1:12" ht="21.95" customHeight="1" x14ac:dyDescent="0.2">
      <c r="A56" s="33" t="s">
        <v>28</v>
      </c>
      <c r="B56" s="33"/>
      <c r="C56" s="27">
        <v>7</v>
      </c>
      <c r="D56" s="27" t="s">
        <v>230</v>
      </c>
      <c r="E56" s="27" t="s">
        <v>350</v>
      </c>
      <c r="F56" s="27" t="s">
        <v>109</v>
      </c>
      <c r="G56" s="27" t="s">
        <v>388</v>
      </c>
      <c r="H56" s="27" t="s">
        <v>9</v>
      </c>
      <c r="I56" s="27" t="s">
        <v>54</v>
      </c>
      <c r="J56" s="27" t="s">
        <v>40</v>
      </c>
      <c r="K56" s="27" t="s">
        <v>228</v>
      </c>
      <c r="L56" s="22">
        <v>1</v>
      </c>
    </row>
    <row r="57" spans="1:12" ht="15" x14ac:dyDescent="0.2">
      <c r="A57" s="33" t="s">
        <v>28</v>
      </c>
      <c r="B57" s="33"/>
      <c r="C57" s="31" t="s">
        <v>119</v>
      </c>
      <c r="D57" s="32"/>
      <c r="E57" s="32"/>
      <c r="F57" s="32"/>
      <c r="G57" s="32"/>
      <c r="H57" s="32"/>
      <c r="I57" s="32"/>
      <c r="J57" s="32"/>
      <c r="K57" s="32"/>
      <c r="L57" s="20">
        <v>1</v>
      </c>
    </row>
    <row r="58" spans="1:12" ht="21.95" customHeight="1" x14ac:dyDescent="0.2">
      <c r="A58" s="33" t="s">
        <v>28</v>
      </c>
      <c r="B58" s="33"/>
      <c r="C58" s="27">
        <v>9</v>
      </c>
      <c r="D58" s="27" t="s">
        <v>85</v>
      </c>
      <c r="E58" s="27" t="s">
        <v>28</v>
      </c>
      <c r="F58" s="27" t="s">
        <v>109</v>
      </c>
      <c r="G58" s="27" t="s">
        <v>219</v>
      </c>
      <c r="H58" s="27" t="s">
        <v>9</v>
      </c>
      <c r="I58" s="27" t="s">
        <v>218</v>
      </c>
      <c r="J58" s="27" t="s">
        <v>56</v>
      </c>
      <c r="K58" s="27" t="s">
        <v>217</v>
      </c>
      <c r="L58" s="22">
        <v>1</v>
      </c>
    </row>
    <row r="59" spans="1:12" ht="15" x14ac:dyDescent="0.2">
      <c r="A59" s="33" t="s">
        <v>28</v>
      </c>
      <c r="B59" s="33"/>
      <c r="C59" s="31" t="s">
        <v>351</v>
      </c>
      <c r="D59" s="32"/>
      <c r="E59" s="32"/>
      <c r="F59" s="32"/>
      <c r="G59" s="32"/>
      <c r="H59" s="32"/>
      <c r="I59" s="32"/>
      <c r="J59" s="32"/>
      <c r="K59" s="32"/>
      <c r="L59" s="20">
        <v>1</v>
      </c>
    </row>
    <row r="60" spans="1:12" ht="21.95" customHeight="1" x14ac:dyDescent="0.2">
      <c r="A60" s="33" t="s">
        <v>28</v>
      </c>
      <c r="B60" s="33"/>
      <c r="C60" s="27">
        <v>11</v>
      </c>
      <c r="D60" s="27" t="s">
        <v>96</v>
      </c>
      <c r="E60" s="27" t="s">
        <v>28</v>
      </c>
      <c r="F60" s="27" t="s">
        <v>29</v>
      </c>
      <c r="G60" s="27" t="s">
        <v>252</v>
      </c>
      <c r="H60" s="27" t="s">
        <v>9</v>
      </c>
      <c r="I60" s="27" t="s">
        <v>251</v>
      </c>
      <c r="J60" s="27" t="s">
        <v>40</v>
      </c>
      <c r="K60" s="27" t="s">
        <v>250</v>
      </c>
      <c r="L60" s="22">
        <v>1</v>
      </c>
    </row>
    <row r="61" spans="1:12" ht="15" x14ac:dyDescent="0.2">
      <c r="A61" s="33" t="s">
        <v>28</v>
      </c>
      <c r="B61" s="33"/>
      <c r="C61" s="31" t="s">
        <v>105</v>
      </c>
      <c r="D61" s="32"/>
      <c r="E61" s="32"/>
      <c r="F61" s="32"/>
      <c r="G61" s="32"/>
      <c r="H61" s="32"/>
      <c r="I61" s="32"/>
      <c r="J61" s="32"/>
      <c r="K61" s="32"/>
      <c r="L61" s="20">
        <v>1</v>
      </c>
    </row>
    <row r="62" spans="1:12" ht="21.95" customHeight="1" x14ac:dyDescent="0.2">
      <c r="A62" s="33" t="s">
        <v>28</v>
      </c>
      <c r="B62" s="33"/>
      <c r="C62" s="27">
        <v>13</v>
      </c>
      <c r="D62" s="27" t="s">
        <v>96</v>
      </c>
      <c r="E62" s="27" t="s">
        <v>28</v>
      </c>
      <c r="F62" s="27" t="s">
        <v>352</v>
      </c>
      <c r="G62" s="27" t="s">
        <v>389</v>
      </c>
      <c r="H62" s="27" t="s">
        <v>39</v>
      </c>
      <c r="I62" s="27" t="s">
        <v>54</v>
      </c>
      <c r="J62" s="27" t="s">
        <v>40</v>
      </c>
      <c r="K62" s="27" t="s">
        <v>237</v>
      </c>
      <c r="L62" s="22">
        <v>1</v>
      </c>
    </row>
    <row r="63" spans="1:12" ht="15" x14ac:dyDescent="0.2">
      <c r="A63" s="33" t="s">
        <v>28</v>
      </c>
      <c r="B63" s="33"/>
      <c r="C63" s="31" t="s">
        <v>132</v>
      </c>
      <c r="D63" s="32"/>
      <c r="E63" s="32"/>
      <c r="F63" s="32"/>
      <c r="G63" s="32"/>
      <c r="H63" s="32"/>
      <c r="I63" s="32"/>
      <c r="J63" s="32"/>
      <c r="K63" s="32"/>
      <c r="L63" s="20">
        <v>1</v>
      </c>
    </row>
    <row r="64" spans="1:12" ht="21.95" customHeight="1" x14ac:dyDescent="0.2">
      <c r="A64" s="33" t="s">
        <v>28</v>
      </c>
      <c r="B64" s="33"/>
      <c r="C64" s="27">
        <v>15</v>
      </c>
      <c r="D64" s="27" t="s">
        <v>96</v>
      </c>
      <c r="E64" s="27" t="s">
        <v>28</v>
      </c>
      <c r="F64" s="27" t="s">
        <v>109</v>
      </c>
      <c r="G64" s="27" t="s">
        <v>390</v>
      </c>
      <c r="H64" s="27" t="s">
        <v>9</v>
      </c>
      <c r="I64" s="27" t="s">
        <v>241</v>
      </c>
      <c r="J64" s="27" t="s">
        <v>56</v>
      </c>
      <c r="K64" s="27" t="s">
        <v>240</v>
      </c>
      <c r="L64" s="22">
        <v>1</v>
      </c>
    </row>
    <row r="65" spans="1:12" ht="15" x14ac:dyDescent="0.2">
      <c r="A65" s="33" t="s">
        <v>28</v>
      </c>
      <c r="B65" s="33"/>
      <c r="C65" s="31" t="s">
        <v>95</v>
      </c>
      <c r="D65" s="32"/>
      <c r="E65" s="32"/>
      <c r="F65" s="32"/>
      <c r="G65" s="32"/>
      <c r="H65" s="32"/>
      <c r="I65" s="32"/>
      <c r="J65" s="32"/>
      <c r="K65" s="32"/>
      <c r="L65" s="20">
        <v>1</v>
      </c>
    </row>
    <row r="66" spans="1:12" ht="21.95" customHeight="1" x14ac:dyDescent="0.2">
      <c r="A66" s="33" t="s">
        <v>28</v>
      </c>
      <c r="B66" s="33"/>
      <c r="C66" s="28">
        <v>17</v>
      </c>
      <c r="D66" s="27" t="s">
        <v>96</v>
      </c>
      <c r="E66" s="27" t="s">
        <v>350</v>
      </c>
      <c r="F66" s="27" t="s">
        <v>37</v>
      </c>
      <c r="G66" s="27" t="s">
        <v>391</v>
      </c>
      <c r="H66" s="28" t="s">
        <v>9</v>
      </c>
      <c r="I66" s="27" t="s">
        <v>248</v>
      </c>
      <c r="J66" s="28" t="s">
        <v>40</v>
      </c>
      <c r="K66" s="27" t="s">
        <v>246</v>
      </c>
      <c r="L66" s="22">
        <v>1</v>
      </c>
    </row>
    <row r="67" spans="1:12" ht="21.95" customHeight="1" x14ac:dyDescent="0.2">
      <c r="A67" s="33" t="s">
        <v>28</v>
      </c>
      <c r="B67" s="33"/>
      <c r="C67" s="30"/>
      <c r="D67" s="28" t="s">
        <v>85</v>
      </c>
      <c r="E67" s="28" t="s">
        <v>28</v>
      </c>
      <c r="F67" s="28" t="s">
        <v>104</v>
      </c>
      <c r="G67" s="27" t="s">
        <v>223</v>
      </c>
      <c r="H67" s="29" t="s">
        <v>9</v>
      </c>
      <c r="I67" s="27" t="s">
        <v>222</v>
      </c>
      <c r="J67" s="29" t="s">
        <v>40</v>
      </c>
      <c r="K67" s="27" t="s">
        <v>220</v>
      </c>
      <c r="L67" s="22">
        <v>1</v>
      </c>
    </row>
    <row r="68" spans="1:12" ht="21.95" customHeight="1" x14ac:dyDescent="0.2">
      <c r="A68" s="33" t="s">
        <v>28</v>
      </c>
      <c r="B68" s="33"/>
      <c r="C68" s="30"/>
      <c r="D68" s="30"/>
      <c r="E68" s="30" t="s">
        <v>28</v>
      </c>
      <c r="F68" s="30"/>
      <c r="G68" s="27" t="s">
        <v>227</v>
      </c>
      <c r="H68" s="29" t="s">
        <v>9</v>
      </c>
      <c r="I68" s="27" t="s">
        <v>226</v>
      </c>
      <c r="J68" s="27" t="s">
        <v>20</v>
      </c>
      <c r="K68" s="27" t="s">
        <v>224</v>
      </c>
      <c r="L68" s="22">
        <v>1</v>
      </c>
    </row>
    <row r="69" spans="1:12" ht="15" x14ac:dyDescent="0.2">
      <c r="A69" s="33" t="s">
        <v>28</v>
      </c>
      <c r="B69" s="33"/>
      <c r="C69" s="31" t="s">
        <v>124</v>
      </c>
      <c r="D69" s="32"/>
      <c r="E69" s="32"/>
      <c r="F69" s="32"/>
      <c r="G69" s="32"/>
      <c r="H69" s="32"/>
      <c r="I69" s="32"/>
      <c r="J69" s="32"/>
      <c r="K69" s="32"/>
      <c r="L69" s="20">
        <v>3</v>
      </c>
    </row>
    <row r="70" spans="1:12" ht="21.95" customHeight="1" x14ac:dyDescent="0.2">
      <c r="A70" s="33" t="s">
        <v>28</v>
      </c>
      <c r="B70" s="33"/>
      <c r="C70" s="27">
        <v>18</v>
      </c>
      <c r="D70" s="27" t="s">
        <v>30</v>
      </c>
      <c r="E70" s="27" t="s">
        <v>28</v>
      </c>
      <c r="F70" s="27" t="s">
        <v>94</v>
      </c>
      <c r="G70" s="27" t="s">
        <v>178</v>
      </c>
      <c r="H70" s="27" t="s">
        <v>9</v>
      </c>
      <c r="I70" s="27" t="s">
        <v>177</v>
      </c>
      <c r="J70" s="27" t="s">
        <v>56</v>
      </c>
      <c r="K70" s="27" t="s">
        <v>176</v>
      </c>
      <c r="L70" s="22">
        <v>1</v>
      </c>
    </row>
    <row r="71" spans="1:12" ht="15" x14ac:dyDescent="0.2">
      <c r="A71" s="33" t="s">
        <v>28</v>
      </c>
      <c r="B71" s="33"/>
      <c r="C71" s="31" t="s">
        <v>121</v>
      </c>
      <c r="D71" s="32"/>
      <c r="E71" s="32"/>
      <c r="F71" s="32"/>
      <c r="G71" s="32"/>
      <c r="H71" s="32"/>
      <c r="I71" s="32"/>
      <c r="J71" s="32"/>
      <c r="K71" s="32"/>
      <c r="L71" s="20">
        <v>1</v>
      </c>
    </row>
    <row r="72" spans="1:12" ht="21.95" customHeight="1" x14ac:dyDescent="0.2">
      <c r="A72" s="33" t="s">
        <v>28</v>
      </c>
      <c r="B72" s="33"/>
      <c r="C72" s="27">
        <v>20</v>
      </c>
      <c r="D72" s="27" t="s">
        <v>30</v>
      </c>
      <c r="E72" s="27" t="s">
        <v>28</v>
      </c>
      <c r="F72" s="27" t="s">
        <v>110</v>
      </c>
      <c r="G72" s="27" t="s">
        <v>172</v>
      </c>
      <c r="H72" s="27" t="s">
        <v>9</v>
      </c>
      <c r="I72" s="27" t="s">
        <v>171</v>
      </c>
      <c r="J72" s="27" t="s">
        <v>56</v>
      </c>
      <c r="K72" s="27" t="s">
        <v>170</v>
      </c>
      <c r="L72" s="22">
        <v>1</v>
      </c>
    </row>
    <row r="73" spans="1:12" ht="15" x14ac:dyDescent="0.2">
      <c r="A73" s="33" t="s">
        <v>28</v>
      </c>
      <c r="B73" s="33"/>
      <c r="C73" s="31" t="s">
        <v>353</v>
      </c>
      <c r="D73" s="32"/>
      <c r="E73" s="32"/>
      <c r="F73" s="32"/>
      <c r="G73" s="32"/>
      <c r="H73" s="32"/>
      <c r="I73" s="32"/>
      <c r="J73" s="32"/>
      <c r="K73" s="32"/>
      <c r="L73" s="20">
        <v>1</v>
      </c>
    </row>
    <row r="74" spans="1:12" ht="21.95" customHeight="1" x14ac:dyDescent="0.2">
      <c r="A74" s="33" t="s">
        <v>28</v>
      </c>
      <c r="B74" s="33"/>
      <c r="C74" s="27">
        <v>26</v>
      </c>
      <c r="D74" s="27" t="s">
        <v>30</v>
      </c>
      <c r="E74" s="27" t="s">
        <v>28</v>
      </c>
      <c r="F74" s="27" t="s">
        <v>106</v>
      </c>
      <c r="G74" s="27" t="s">
        <v>107</v>
      </c>
      <c r="H74" s="27" t="s">
        <v>9</v>
      </c>
      <c r="I74" s="27" t="s">
        <v>28</v>
      </c>
      <c r="J74" s="27" t="s">
        <v>20</v>
      </c>
      <c r="K74" s="27" t="s">
        <v>179</v>
      </c>
      <c r="L74" s="22">
        <v>1</v>
      </c>
    </row>
    <row r="75" spans="1:12" ht="15" x14ac:dyDescent="0.2">
      <c r="A75" s="33" t="s">
        <v>28</v>
      </c>
      <c r="B75" s="33"/>
      <c r="C75" s="31" t="s">
        <v>354</v>
      </c>
      <c r="D75" s="32"/>
      <c r="E75" s="32"/>
      <c r="F75" s="32"/>
      <c r="G75" s="32"/>
      <c r="H75" s="32"/>
      <c r="I75" s="32"/>
      <c r="J75" s="32"/>
      <c r="K75" s="32"/>
      <c r="L75" s="20">
        <v>1</v>
      </c>
    </row>
    <row r="76" spans="1:12" ht="21.95" customHeight="1" x14ac:dyDescent="0.2">
      <c r="A76" s="33" t="s">
        <v>28</v>
      </c>
      <c r="B76" s="33"/>
      <c r="C76" s="28">
        <v>28</v>
      </c>
      <c r="D76" s="28" t="s">
        <v>85</v>
      </c>
      <c r="E76" s="28" t="s">
        <v>28</v>
      </c>
      <c r="F76" s="27" t="s">
        <v>110</v>
      </c>
      <c r="G76" s="27" t="s">
        <v>392</v>
      </c>
      <c r="H76" s="28" t="s">
        <v>9</v>
      </c>
      <c r="I76" s="27" t="s">
        <v>208</v>
      </c>
      <c r="J76" s="27" t="s">
        <v>56</v>
      </c>
      <c r="K76" s="27" t="s">
        <v>206</v>
      </c>
      <c r="L76" s="22">
        <v>1</v>
      </c>
    </row>
    <row r="77" spans="1:12" ht="21.95" customHeight="1" x14ac:dyDescent="0.2">
      <c r="A77" s="33" t="s">
        <v>28</v>
      </c>
      <c r="B77" s="33"/>
      <c r="C77" s="30"/>
      <c r="D77" s="30"/>
      <c r="E77" s="30" t="s">
        <v>28</v>
      </c>
      <c r="F77" s="27" t="s">
        <v>94</v>
      </c>
      <c r="G77" s="27" t="s">
        <v>205</v>
      </c>
      <c r="H77" s="29" t="s">
        <v>9</v>
      </c>
      <c r="I77" s="27" t="s">
        <v>204</v>
      </c>
      <c r="J77" s="27" t="s">
        <v>40</v>
      </c>
      <c r="K77" s="27" t="s">
        <v>202</v>
      </c>
      <c r="L77" s="22">
        <v>1</v>
      </c>
    </row>
    <row r="78" spans="1:12" ht="15" x14ac:dyDescent="0.2">
      <c r="A78" s="33" t="s">
        <v>28</v>
      </c>
      <c r="B78" s="33"/>
      <c r="C78" s="31" t="s">
        <v>355</v>
      </c>
      <c r="D78" s="32"/>
      <c r="E78" s="32"/>
      <c r="F78" s="32"/>
      <c r="G78" s="32"/>
      <c r="H78" s="32"/>
      <c r="I78" s="32"/>
      <c r="J78" s="32"/>
      <c r="K78" s="32"/>
      <c r="L78" s="20">
        <v>2</v>
      </c>
    </row>
    <row r="79" spans="1:12" ht="21.95" customHeight="1" x14ac:dyDescent="0.2">
      <c r="A79" s="33" t="s">
        <v>28</v>
      </c>
      <c r="B79" s="33"/>
      <c r="C79" s="27">
        <v>29</v>
      </c>
      <c r="D79" s="27" t="s">
        <v>85</v>
      </c>
      <c r="E79" s="27" t="s">
        <v>28</v>
      </c>
      <c r="F79" s="27" t="s">
        <v>29</v>
      </c>
      <c r="G79" s="27" t="s">
        <v>393</v>
      </c>
      <c r="H79" s="27" t="s">
        <v>9</v>
      </c>
      <c r="I79" s="27" t="s">
        <v>200</v>
      </c>
      <c r="J79" s="27" t="s">
        <v>56</v>
      </c>
      <c r="K79" s="27" t="s">
        <v>198</v>
      </c>
      <c r="L79" s="22">
        <v>1</v>
      </c>
    </row>
    <row r="80" spans="1:12" ht="15" x14ac:dyDescent="0.2">
      <c r="A80" s="33" t="s">
        <v>28</v>
      </c>
      <c r="B80" s="33"/>
      <c r="C80" s="31" t="s">
        <v>356</v>
      </c>
      <c r="D80" s="32"/>
      <c r="E80" s="32"/>
      <c r="F80" s="32"/>
      <c r="G80" s="32"/>
      <c r="H80" s="32"/>
      <c r="I80" s="32"/>
      <c r="J80" s="32"/>
      <c r="K80" s="32"/>
      <c r="L80" s="20">
        <v>1</v>
      </c>
    </row>
    <row r="81" spans="1:12" ht="21.95" customHeight="1" x14ac:dyDescent="0.2">
      <c r="A81" s="33" t="s">
        <v>28</v>
      </c>
      <c r="B81" s="33"/>
      <c r="C81" s="27">
        <v>30</v>
      </c>
      <c r="D81" s="27" t="s">
        <v>85</v>
      </c>
      <c r="E81" s="27" t="s">
        <v>28</v>
      </c>
      <c r="F81" s="27" t="s">
        <v>29</v>
      </c>
      <c r="G81" s="27" t="s">
        <v>213</v>
      </c>
      <c r="H81" s="27" t="s">
        <v>9</v>
      </c>
      <c r="I81" s="27" t="s">
        <v>212</v>
      </c>
      <c r="J81" s="27" t="s">
        <v>40</v>
      </c>
      <c r="K81" s="27" t="s">
        <v>210</v>
      </c>
      <c r="L81" s="22">
        <v>1</v>
      </c>
    </row>
    <row r="82" spans="1:12" ht="15" x14ac:dyDescent="0.2">
      <c r="A82" s="33" t="s">
        <v>28</v>
      </c>
      <c r="B82" s="33"/>
      <c r="C82" s="31" t="s">
        <v>357</v>
      </c>
      <c r="D82" s="32"/>
      <c r="E82" s="32"/>
      <c r="F82" s="32"/>
      <c r="G82" s="32"/>
      <c r="H82" s="32"/>
      <c r="I82" s="32"/>
      <c r="J82" s="32"/>
      <c r="K82" s="32"/>
      <c r="L82" s="20">
        <v>1</v>
      </c>
    </row>
    <row r="83" spans="1:12" ht="21.95" customHeight="1" x14ac:dyDescent="0.2">
      <c r="A83" s="33" t="s">
        <v>28</v>
      </c>
      <c r="B83" s="33"/>
      <c r="C83" s="27">
        <v>33</v>
      </c>
      <c r="D83" s="27" t="s">
        <v>30</v>
      </c>
      <c r="E83" s="27" t="s">
        <v>28</v>
      </c>
      <c r="F83" s="27" t="s">
        <v>104</v>
      </c>
      <c r="G83" s="27" t="s">
        <v>183</v>
      </c>
      <c r="H83" s="27" t="s">
        <v>39</v>
      </c>
      <c r="I83" s="27" t="s">
        <v>182</v>
      </c>
      <c r="J83" s="27" t="s">
        <v>40</v>
      </c>
      <c r="K83" s="27" t="s">
        <v>180</v>
      </c>
      <c r="L83" s="22">
        <v>1</v>
      </c>
    </row>
    <row r="84" spans="1:12" ht="15" x14ac:dyDescent="0.2">
      <c r="A84" s="33" t="s">
        <v>28</v>
      </c>
      <c r="B84" s="33"/>
      <c r="C84" s="31" t="s">
        <v>358</v>
      </c>
      <c r="D84" s="32"/>
      <c r="E84" s="32"/>
      <c r="F84" s="32"/>
      <c r="G84" s="32"/>
      <c r="H84" s="32"/>
      <c r="I84" s="32"/>
      <c r="J84" s="32"/>
      <c r="K84" s="32"/>
      <c r="L84" s="20">
        <v>1</v>
      </c>
    </row>
    <row r="85" spans="1:12" ht="21.95" customHeight="1" x14ac:dyDescent="0.2">
      <c r="A85" s="33" t="s">
        <v>28</v>
      </c>
      <c r="B85" s="33"/>
      <c r="C85" s="27">
        <v>34</v>
      </c>
      <c r="D85" s="27" t="s">
        <v>30</v>
      </c>
      <c r="E85" s="27" t="s">
        <v>28</v>
      </c>
      <c r="F85" s="27" t="s">
        <v>88</v>
      </c>
      <c r="G85" s="27" t="s">
        <v>394</v>
      </c>
      <c r="H85" s="27" t="s">
        <v>9</v>
      </c>
      <c r="I85" s="27" t="s">
        <v>174</v>
      </c>
      <c r="J85" s="27" t="s">
        <v>56</v>
      </c>
      <c r="K85" s="27" t="s">
        <v>173</v>
      </c>
      <c r="L85" s="22">
        <v>1</v>
      </c>
    </row>
    <row r="86" spans="1:12" ht="15" x14ac:dyDescent="0.2">
      <c r="A86" s="33" t="s">
        <v>28</v>
      </c>
      <c r="B86" s="33"/>
      <c r="C86" s="31" t="s">
        <v>359</v>
      </c>
      <c r="D86" s="32"/>
      <c r="E86" s="32"/>
      <c r="F86" s="32"/>
      <c r="G86" s="32"/>
      <c r="H86" s="32"/>
      <c r="I86" s="32"/>
      <c r="J86" s="32"/>
      <c r="K86" s="32"/>
      <c r="L86" s="20">
        <v>1</v>
      </c>
    </row>
    <row r="87" spans="1:12" ht="21.95" customHeight="1" x14ac:dyDescent="0.2">
      <c r="A87" s="33" t="s">
        <v>28</v>
      </c>
      <c r="B87" s="33"/>
      <c r="C87" s="28">
        <v>35</v>
      </c>
      <c r="D87" s="28" t="s">
        <v>48</v>
      </c>
      <c r="E87" s="28" t="s">
        <v>28</v>
      </c>
      <c r="F87" s="28" t="s">
        <v>73</v>
      </c>
      <c r="G87" s="27" t="s">
        <v>47</v>
      </c>
      <c r="H87" s="28" t="s">
        <v>9</v>
      </c>
      <c r="I87" s="27" t="s">
        <v>197</v>
      </c>
      <c r="J87" s="28" t="s">
        <v>40</v>
      </c>
      <c r="K87" s="27" t="s">
        <v>196</v>
      </c>
      <c r="L87" s="22">
        <v>1</v>
      </c>
    </row>
    <row r="88" spans="1:12" ht="21.95" customHeight="1" x14ac:dyDescent="0.2">
      <c r="A88" s="33" t="s">
        <v>28</v>
      </c>
      <c r="B88" s="33"/>
      <c r="C88" s="30"/>
      <c r="D88" s="30"/>
      <c r="E88" s="30" t="s">
        <v>28</v>
      </c>
      <c r="F88" s="30"/>
      <c r="G88" s="27" t="s">
        <v>52</v>
      </c>
      <c r="H88" s="29" t="s">
        <v>9</v>
      </c>
      <c r="I88" s="27" t="s">
        <v>195</v>
      </c>
      <c r="J88" s="29" t="s">
        <v>40</v>
      </c>
      <c r="K88" s="27" t="s">
        <v>194</v>
      </c>
      <c r="L88" s="22">
        <v>1</v>
      </c>
    </row>
    <row r="89" spans="1:12" ht="21.95" customHeight="1" x14ac:dyDescent="0.2">
      <c r="A89" s="33" t="s">
        <v>28</v>
      </c>
      <c r="B89" s="33"/>
      <c r="C89" s="30"/>
      <c r="D89" s="27" t="s">
        <v>23</v>
      </c>
      <c r="E89" s="29" t="s">
        <v>28</v>
      </c>
      <c r="F89" s="27" t="s">
        <v>76</v>
      </c>
      <c r="G89" s="27" t="s">
        <v>45</v>
      </c>
      <c r="H89" s="29" t="s">
        <v>9</v>
      </c>
      <c r="I89" s="27" t="s">
        <v>189</v>
      </c>
      <c r="J89" s="29" t="s">
        <v>40</v>
      </c>
      <c r="K89" s="27" t="s">
        <v>188</v>
      </c>
      <c r="L89" s="22">
        <v>1</v>
      </c>
    </row>
    <row r="90" spans="1:12" ht="15" x14ac:dyDescent="0.2">
      <c r="A90" s="33" t="s">
        <v>28</v>
      </c>
      <c r="B90" s="33"/>
      <c r="C90" s="31" t="s">
        <v>360</v>
      </c>
      <c r="D90" s="32"/>
      <c r="E90" s="32"/>
      <c r="F90" s="32"/>
      <c r="G90" s="32"/>
      <c r="H90" s="32"/>
      <c r="I90" s="32"/>
      <c r="J90" s="32"/>
      <c r="K90" s="32"/>
      <c r="L90" s="20">
        <v>3</v>
      </c>
    </row>
    <row r="91" spans="1:12" ht="21.95" customHeight="1" x14ac:dyDescent="0.2">
      <c r="A91" s="33" t="s">
        <v>28</v>
      </c>
      <c r="B91" s="33"/>
      <c r="C91" s="28">
        <v>36</v>
      </c>
      <c r="D91" s="28" t="s">
        <v>256</v>
      </c>
      <c r="E91" s="28" t="s">
        <v>350</v>
      </c>
      <c r="F91" s="28" t="s">
        <v>29</v>
      </c>
      <c r="G91" s="27" t="s">
        <v>395</v>
      </c>
      <c r="H91" s="28" t="s">
        <v>9</v>
      </c>
      <c r="I91" s="28" t="s">
        <v>54</v>
      </c>
      <c r="J91" s="28" t="s">
        <v>40</v>
      </c>
      <c r="K91" s="27" t="s">
        <v>253</v>
      </c>
      <c r="L91" s="22">
        <v>1</v>
      </c>
    </row>
    <row r="92" spans="1:12" ht="21.95" customHeight="1" x14ac:dyDescent="0.2">
      <c r="A92" s="33" t="s">
        <v>28</v>
      </c>
      <c r="B92" s="33"/>
      <c r="C92" s="30"/>
      <c r="D92" s="30"/>
      <c r="E92" s="30" t="s">
        <v>350</v>
      </c>
      <c r="F92" s="30"/>
      <c r="G92" s="27" t="s">
        <v>396</v>
      </c>
      <c r="H92" s="29" t="s">
        <v>9</v>
      </c>
      <c r="I92" s="29" t="s">
        <v>54</v>
      </c>
      <c r="J92" s="29" t="s">
        <v>40</v>
      </c>
      <c r="K92" s="27" t="s">
        <v>257</v>
      </c>
      <c r="L92" s="22">
        <v>1</v>
      </c>
    </row>
    <row r="93" spans="1:12" ht="15" x14ac:dyDescent="0.2">
      <c r="A93" s="33" t="s">
        <v>28</v>
      </c>
      <c r="B93" s="33"/>
      <c r="C93" s="31" t="s">
        <v>361</v>
      </c>
      <c r="D93" s="32"/>
      <c r="E93" s="32"/>
      <c r="F93" s="32"/>
      <c r="G93" s="32"/>
      <c r="H93" s="32"/>
      <c r="I93" s="32"/>
      <c r="J93" s="32"/>
      <c r="K93" s="32"/>
      <c r="L93" s="20">
        <v>2</v>
      </c>
    </row>
    <row r="94" spans="1:12" ht="21.95" customHeight="1" x14ac:dyDescent="0.2">
      <c r="A94" s="33" t="s">
        <v>28</v>
      </c>
      <c r="B94" s="28" t="s">
        <v>38</v>
      </c>
      <c r="C94" s="28">
        <v>0</v>
      </c>
      <c r="D94" s="28" t="s">
        <v>42</v>
      </c>
      <c r="E94" s="28" t="s">
        <v>28</v>
      </c>
      <c r="F94" s="28" t="s">
        <v>78</v>
      </c>
      <c r="G94" s="27" t="s">
        <v>81</v>
      </c>
      <c r="H94" s="28" t="s">
        <v>39</v>
      </c>
      <c r="I94" s="28" t="s">
        <v>28</v>
      </c>
      <c r="J94" s="28" t="s">
        <v>20</v>
      </c>
      <c r="K94" s="27" t="s">
        <v>166</v>
      </c>
      <c r="L94" s="22">
        <v>1</v>
      </c>
    </row>
    <row r="95" spans="1:12" ht="21.95" customHeight="1" x14ac:dyDescent="0.2">
      <c r="A95" s="33" t="s">
        <v>28</v>
      </c>
      <c r="B95" s="33"/>
      <c r="C95" s="30"/>
      <c r="D95" s="30"/>
      <c r="E95" s="30" t="s">
        <v>28</v>
      </c>
      <c r="F95" s="30"/>
      <c r="G95" s="27" t="s">
        <v>397</v>
      </c>
      <c r="H95" s="29" t="s">
        <v>39</v>
      </c>
      <c r="I95" s="29" t="s">
        <v>28</v>
      </c>
      <c r="J95" s="29" t="s">
        <v>20</v>
      </c>
      <c r="K95" s="27" t="s">
        <v>167</v>
      </c>
      <c r="L95" s="22">
        <v>1</v>
      </c>
    </row>
    <row r="96" spans="1:12" ht="21.95" customHeight="1" x14ac:dyDescent="0.2">
      <c r="A96" s="33" t="s">
        <v>28</v>
      </c>
      <c r="B96" s="33"/>
      <c r="C96" s="30"/>
      <c r="D96" s="28" t="s">
        <v>141</v>
      </c>
      <c r="E96" s="29" t="s">
        <v>28</v>
      </c>
      <c r="F96" s="28" t="s">
        <v>77</v>
      </c>
      <c r="G96" s="28" t="s">
        <v>398</v>
      </c>
      <c r="H96" s="29" t="s">
        <v>39</v>
      </c>
      <c r="I96" s="29" t="s">
        <v>28</v>
      </c>
      <c r="J96" s="29" t="s">
        <v>20</v>
      </c>
      <c r="K96" s="27" t="s">
        <v>154</v>
      </c>
      <c r="L96" s="22">
        <v>1</v>
      </c>
    </row>
    <row r="97" spans="1:12" ht="21.95" customHeight="1" x14ac:dyDescent="0.2">
      <c r="A97" s="33" t="s">
        <v>28</v>
      </c>
      <c r="B97" s="33"/>
      <c r="C97" s="30"/>
      <c r="D97" s="30"/>
      <c r="E97" s="30" t="s">
        <v>28</v>
      </c>
      <c r="F97" s="30"/>
      <c r="G97" s="30"/>
      <c r="H97" s="30" t="s">
        <v>39</v>
      </c>
      <c r="I97" s="30" t="s">
        <v>28</v>
      </c>
      <c r="J97" s="30" t="s">
        <v>20</v>
      </c>
      <c r="K97" s="38" t="s">
        <v>157</v>
      </c>
      <c r="L97" s="37">
        <v>1</v>
      </c>
    </row>
    <row r="98" spans="1:12" ht="21.95" customHeight="1" x14ac:dyDescent="0.2">
      <c r="A98" s="33" t="s">
        <v>28</v>
      </c>
      <c r="B98" s="33"/>
      <c r="C98" s="30"/>
      <c r="D98" s="30"/>
      <c r="E98" s="30" t="s">
        <v>28</v>
      </c>
      <c r="F98" s="30"/>
      <c r="G98" s="27" t="s">
        <v>399</v>
      </c>
      <c r="H98" s="29" t="s">
        <v>39</v>
      </c>
      <c r="I98" s="29" t="s">
        <v>28</v>
      </c>
      <c r="J98" s="29" t="s">
        <v>20</v>
      </c>
      <c r="K98" s="27" t="s">
        <v>147</v>
      </c>
      <c r="L98" s="22">
        <v>1</v>
      </c>
    </row>
    <row r="99" spans="1:12" ht="21.95" customHeight="1" x14ac:dyDescent="0.2">
      <c r="A99" s="33" t="s">
        <v>28</v>
      </c>
      <c r="B99" s="33"/>
      <c r="C99" s="30"/>
      <c r="D99" s="30"/>
      <c r="E99" s="30" t="s">
        <v>28</v>
      </c>
      <c r="F99" s="27" t="s">
        <v>362</v>
      </c>
      <c r="G99" s="27" t="s">
        <v>400</v>
      </c>
      <c r="H99" s="29" t="s">
        <v>39</v>
      </c>
      <c r="I99" s="27" t="s">
        <v>152</v>
      </c>
      <c r="J99" s="28" t="s">
        <v>40</v>
      </c>
      <c r="K99" s="27" t="s">
        <v>150</v>
      </c>
      <c r="L99" s="22">
        <v>1</v>
      </c>
    </row>
    <row r="100" spans="1:12" ht="21.95" customHeight="1" x14ac:dyDescent="0.2">
      <c r="A100" s="33" t="s">
        <v>28</v>
      </c>
      <c r="B100" s="33"/>
      <c r="C100" s="30"/>
      <c r="D100" s="30"/>
      <c r="E100" s="30" t="s">
        <v>28</v>
      </c>
      <c r="F100" s="27" t="s">
        <v>363</v>
      </c>
      <c r="G100" s="27" t="s">
        <v>401</v>
      </c>
      <c r="H100" s="29" t="s">
        <v>39</v>
      </c>
      <c r="I100" s="27" t="s">
        <v>144</v>
      </c>
      <c r="J100" s="29" t="s">
        <v>40</v>
      </c>
      <c r="K100" s="27" t="s">
        <v>142</v>
      </c>
      <c r="L100" s="22">
        <v>1</v>
      </c>
    </row>
    <row r="101" spans="1:12" ht="21.95" customHeight="1" x14ac:dyDescent="0.2">
      <c r="A101" s="33" t="s">
        <v>28</v>
      </c>
      <c r="B101" s="33"/>
      <c r="C101" s="30"/>
      <c r="D101" s="27" t="s">
        <v>135</v>
      </c>
      <c r="E101" s="29" t="s">
        <v>28</v>
      </c>
      <c r="F101" s="27" t="s">
        <v>364</v>
      </c>
      <c r="G101" s="27" t="s">
        <v>138</v>
      </c>
      <c r="H101" s="29" t="s">
        <v>39</v>
      </c>
      <c r="I101" s="28" t="s">
        <v>28</v>
      </c>
      <c r="J101" s="28" t="s">
        <v>20</v>
      </c>
      <c r="K101" s="27" t="s">
        <v>136</v>
      </c>
      <c r="L101" s="22">
        <v>1</v>
      </c>
    </row>
    <row r="102" spans="1:12" ht="21.95" customHeight="1" x14ac:dyDescent="0.2">
      <c r="A102" s="33" t="s">
        <v>28</v>
      </c>
      <c r="B102" s="33"/>
      <c r="C102" s="30"/>
      <c r="D102" s="28" t="s">
        <v>87</v>
      </c>
      <c r="E102" s="29" t="s">
        <v>28</v>
      </c>
      <c r="F102" s="27" t="s">
        <v>362</v>
      </c>
      <c r="G102" s="27" t="s">
        <v>402</v>
      </c>
      <c r="H102" s="29" t="s">
        <v>39</v>
      </c>
      <c r="I102" s="29" t="s">
        <v>28</v>
      </c>
      <c r="J102" s="29" t="s">
        <v>20</v>
      </c>
      <c r="K102" s="27" t="s">
        <v>160</v>
      </c>
      <c r="L102" s="22">
        <v>1</v>
      </c>
    </row>
    <row r="103" spans="1:12" ht="21.95" customHeight="1" x14ac:dyDescent="0.2">
      <c r="A103" s="33" t="s">
        <v>28</v>
      </c>
      <c r="B103" s="33"/>
      <c r="C103" s="30"/>
      <c r="D103" s="30"/>
      <c r="E103" s="30" t="s">
        <v>28</v>
      </c>
      <c r="F103" s="27" t="s">
        <v>365</v>
      </c>
      <c r="G103" s="27" t="s">
        <v>403</v>
      </c>
      <c r="H103" s="29" t="s">
        <v>39</v>
      </c>
      <c r="I103" s="29" t="s">
        <v>28</v>
      </c>
      <c r="J103" s="29" t="s">
        <v>20</v>
      </c>
      <c r="K103" s="27" t="s">
        <v>163</v>
      </c>
      <c r="L103" s="22">
        <v>1</v>
      </c>
    </row>
    <row r="104" spans="1:12" ht="21.95" customHeight="1" x14ac:dyDescent="0.2">
      <c r="A104" s="34" t="s">
        <v>28</v>
      </c>
      <c r="B104" s="34"/>
      <c r="C104" s="35" t="s">
        <v>68</v>
      </c>
      <c r="D104" s="36"/>
      <c r="E104" s="36"/>
      <c r="F104" s="36"/>
      <c r="G104" s="36"/>
      <c r="H104" s="36"/>
      <c r="I104" s="36"/>
      <c r="J104" s="36"/>
      <c r="K104" s="36"/>
      <c r="L104" s="21">
        <v>10</v>
      </c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15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5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5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5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5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5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5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5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5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5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5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5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5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5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5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5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5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5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5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5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5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5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5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5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5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5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5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5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5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5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124">
    <mergeCell ref="I29:I33"/>
    <mergeCell ref="I35:I39"/>
    <mergeCell ref="I41:I45"/>
    <mergeCell ref="I53:I54"/>
    <mergeCell ref="I91:I92"/>
    <mergeCell ref="I94:I98"/>
    <mergeCell ref="I101:I103"/>
    <mergeCell ref="J10:J11"/>
    <mergeCell ref="J15:J16"/>
    <mergeCell ref="J20:J22"/>
    <mergeCell ref="J26:J27"/>
    <mergeCell ref="J29:J33"/>
    <mergeCell ref="J35:J39"/>
    <mergeCell ref="J41:J45"/>
    <mergeCell ref="J53:J54"/>
    <mergeCell ref="J66:J67"/>
    <mergeCell ref="J87:J89"/>
    <mergeCell ref="J91:J92"/>
    <mergeCell ref="J94:J98"/>
    <mergeCell ref="J99:J100"/>
    <mergeCell ref="J101:J103"/>
    <mergeCell ref="F67:F68"/>
    <mergeCell ref="F87:F88"/>
    <mergeCell ref="F91:F92"/>
    <mergeCell ref="F94:F95"/>
    <mergeCell ref="F96:F98"/>
    <mergeCell ref="G96:G97"/>
    <mergeCell ref="H10:H11"/>
    <mergeCell ref="H15:H16"/>
    <mergeCell ref="H20:H22"/>
    <mergeCell ref="H26:H27"/>
    <mergeCell ref="H29:H30"/>
    <mergeCell ref="H32:H33"/>
    <mergeCell ref="H35:H42"/>
    <mergeCell ref="H44:H45"/>
    <mergeCell ref="H53:H54"/>
    <mergeCell ref="H66:H68"/>
    <mergeCell ref="H76:H77"/>
    <mergeCell ref="H87:H89"/>
    <mergeCell ref="H91:H92"/>
    <mergeCell ref="H94:H103"/>
    <mergeCell ref="D91:D92"/>
    <mergeCell ref="D94:D95"/>
    <mergeCell ref="D96:D100"/>
    <mergeCell ref="D102:D103"/>
    <mergeCell ref="E10:E11"/>
    <mergeCell ref="E15:E16"/>
    <mergeCell ref="E20:E22"/>
    <mergeCell ref="E26:E27"/>
    <mergeCell ref="E29:E33"/>
    <mergeCell ref="E35:E45"/>
    <mergeCell ref="E53:E54"/>
    <mergeCell ref="E67:E68"/>
    <mergeCell ref="E76:E77"/>
    <mergeCell ref="E87:E89"/>
    <mergeCell ref="E91:E92"/>
    <mergeCell ref="E94:E103"/>
    <mergeCell ref="A2:A5"/>
    <mergeCell ref="A6:A104"/>
    <mergeCell ref="B2:B5"/>
    <mergeCell ref="B6:B28"/>
    <mergeCell ref="B29:B34"/>
    <mergeCell ref="B35:B46"/>
    <mergeCell ref="B47:B93"/>
    <mergeCell ref="B94:B104"/>
    <mergeCell ref="C3:K3"/>
    <mergeCell ref="C5:K5"/>
    <mergeCell ref="C7:K7"/>
    <mergeCell ref="C9:K9"/>
    <mergeCell ref="C10:C11"/>
    <mergeCell ref="C12:K12"/>
    <mergeCell ref="C14:K14"/>
    <mergeCell ref="C15:C16"/>
    <mergeCell ref="C17:K17"/>
    <mergeCell ref="C19:K19"/>
    <mergeCell ref="C20:C22"/>
    <mergeCell ref="C23:K23"/>
    <mergeCell ref="C25:K25"/>
    <mergeCell ref="C26:C27"/>
    <mergeCell ref="C34:K34"/>
    <mergeCell ref="C35:C45"/>
    <mergeCell ref="C46:K46"/>
    <mergeCell ref="C48:K48"/>
    <mergeCell ref="C50:K50"/>
    <mergeCell ref="C52:K52"/>
    <mergeCell ref="C53:C54"/>
    <mergeCell ref="C55:K55"/>
    <mergeCell ref="C57:K57"/>
    <mergeCell ref="C59:K59"/>
    <mergeCell ref="C61:K61"/>
    <mergeCell ref="C63:K63"/>
    <mergeCell ref="C65:K65"/>
    <mergeCell ref="C66:C68"/>
    <mergeCell ref="C69:K69"/>
    <mergeCell ref="C28:K28"/>
    <mergeCell ref="C29:C33"/>
    <mergeCell ref="C71:K71"/>
    <mergeCell ref="C73:K73"/>
    <mergeCell ref="C75:K75"/>
    <mergeCell ref="C76:C77"/>
    <mergeCell ref="C78:K78"/>
    <mergeCell ref="C80:K80"/>
    <mergeCell ref="C82:K82"/>
    <mergeCell ref="C84:K84"/>
    <mergeCell ref="C86:K86"/>
    <mergeCell ref="C87:C89"/>
    <mergeCell ref="C90:K90"/>
    <mergeCell ref="C91:C92"/>
    <mergeCell ref="C93:K93"/>
    <mergeCell ref="C94:C103"/>
    <mergeCell ref="C104:K104"/>
    <mergeCell ref="D67:D68"/>
    <mergeCell ref="D10:D11"/>
    <mergeCell ref="D15:D16"/>
    <mergeCell ref="D20:D22"/>
    <mergeCell ref="D26:D27"/>
    <mergeCell ref="D29:D33"/>
    <mergeCell ref="D35:D39"/>
    <mergeCell ref="D42:D43"/>
    <mergeCell ref="D76:D77"/>
    <mergeCell ref="D87:D88"/>
    <mergeCell ref="F30:F32"/>
    <mergeCell ref="F36:F38"/>
    <mergeCell ref="F42:F43"/>
  </mergeCells>
  <conditionalFormatting sqref="A1:A1048576">
    <cfRule type="cellIs" dxfId="400" priority="4" operator="equal">
      <formula>"Faltante"</formula>
    </cfRule>
  </conditionalFormatting>
  <conditionalFormatting sqref="J1:J1048576">
    <cfRule type="cellIs" dxfId="399" priority="19" operator="equal">
      <formula>"Cuenta Corriente"</formula>
    </cfRule>
  </conditionalFormatting>
  <conditionalFormatting sqref="N2">
    <cfRule type="cellIs" dxfId="398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páginas&amp;C141 avisos&amp;Rmiércoles 02 agosto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2023-08-02T11:49:10Z</cp:lastPrinted>
  <dcterms:created xsi:type="dcterms:W3CDTF">2015-10-29T20:42:16Z</dcterms:created>
  <dcterms:modified xsi:type="dcterms:W3CDTF">2023-08-02T11:49:25Z</dcterms:modified>
</cp:coreProperties>
</file>