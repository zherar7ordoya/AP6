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0640" windowHeight="11160" activeTab="1"/>
  </bookViews>
  <sheets>
    <sheet name="InputSheet" sheetId="2041" r:id="rId1"/>
    <sheet name="OutputSheet" sheetId="101" r:id="rId2"/>
  </sheets>
  <functionGroups builtInGroupCount="17"/>
  <definedNames>
    <definedName name="_xlnm._FilterDatabase" localSheetId="1" hidden="1">OutputSheet!$A$1:$L$164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52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2041" l="1"/>
  <c r="F3" i="2041"/>
  <c r="F4" i="2041"/>
  <c r="F5" i="2041"/>
  <c r="F6" i="2041"/>
  <c r="F7" i="2041"/>
  <c r="F8" i="2041"/>
  <c r="F9" i="2041"/>
  <c r="F10" i="2041"/>
  <c r="F11" i="2041"/>
  <c r="F12" i="2041"/>
  <c r="F13" i="2041"/>
  <c r="F14" i="2041"/>
  <c r="F15" i="2041"/>
  <c r="F16" i="2041"/>
  <c r="F17" i="2041"/>
  <c r="F18" i="2041"/>
  <c r="F19" i="2041"/>
  <c r="F20" i="2041"/>
  <c r="F21" i="2041"/>
  <c r="F22" i="2041"/>
  <c r="F23" i="2041"/>
  <c r="F24" i="2041"/>
  <c r="F25" i="2041"/>
  <c r="F26" i="2041"/>
  <c r="F27" i="2041"/>
  <c r="F28" i="2041"/>
  <c r="F29" i="2041"/>
  <c r="F30" i="2041"/>
  <c r="F31" i="2041"/>
  <c r="F32" i="2041"/>
  <c r="F33" i="2041"/>
  <c r="F34" i="2041"/>
  <c r="F35" i="2041"/>
  <c r="F36" i="2041"/>
  <c r="F37" i="2041"/>
  <c r="F38" i="2041"/>
  <c r="F39" i="2041"/>
  <c r="F40" i="2041"/>
  <c r="F41" i="2041"/>
  <c r="F42" i="2041"/>
  <c r="F43" i="2041"/>
  <c r="F44" i="2041"/>
  <c r="F45" i="2041"/>
  <c r="F46" i="2041"/>
  <c r="F47" i="2041"/>
  <c r="F48" i="2041"/>
  <c r="F49" i="2041"/>
  <c r="F50" i="2041"/>
  <c r="F51" i="2041"/>
  <c r="F52" i="2041"/>
  <c r="F53" i="2041"/>
  <c r="F54" i="2041"/>
  <c r="F55" i="2041"/>
  <c r="F56" i="2041"/>
  <c r="R2" i="2041"/>
  <c r="S2" i="2041" s="1"/>
  <c r="R3" i="2041"/>
  <c r="S3" i="2041" s="1"/>
  <c r="R4" i="2041"/>
  <c r="S4" i="2041" s="1"/>
  <c r="R5" i="2041"/>
  <c r="S5" i="2041" s="1"/>
  <c r="R6" i="2041"/>
  <c r="S6" i="2041" s="1"/>
  <c r="R7" i="2041"/>
  <c r="S7" i="2041" s="1"/>
  <c r="R8" i="2041"/>
  <c r="S8" i="2041" s="1"/>
  <c r="R9" i="2041"/>
  <c r="S9" i="2041" s="1"/>
  <c r="R10" i="2041"/>
  <c r="S10" i="2041" s="1"/>
  <c r="R11" i="2041"/>
  <c r="S11" i="2041" s="1"/>
  <c r="R12" i="2041"/>
  <c r="S12" i="2041" s="1"/>
  <c r="R13" i="2041"/>
  <c r="S13" i="2041" s="1"/>
  <c r="R14" i="2041"/>
  <c r="S14" i="2041" s="1"/>
  <c r="R15" i="2041"/>
  <c r="S15" i="2041" s="1"/>
  <c r="R16" i="2041"/>
  <c r="S16" i="2041" s="1"/>
  <c r="R17" i="2041"/>
  <c r="S17" i="2041" s="1"/>
  <c r="R18" i="2041"/>
  <c r="S18" i="2041" s="1"/>
  <c r="R19" i="2041"/>
  <c r="S19" i="2041" s="1"/>
  <c r="R20" i="2041"/>
  <c r="S20" i="2041" s="1"/>
  <c r="R21" i="2041"/>
  <c r="S21" i="2041" s="1"/>
  <c r="R22" i="2041"/>
  <c r="S22" i="2041" s="1"/>
  <c r="R23" i="2041"/>
  <c r="S23" i="2041" s="1"/>
  <c r="R24" i="2041"/>
  <c r="S24" i="2041" s="1"/>
  <c r="R25" i="2041"/>
  <c r="S25" i="2041" s="1"/>
  <c r="R26" i="2041"/>
  <c r="S26" i="2041" s="1"/>
  <c r="R27" i="2041"/>
  <c r="S27" i="2041" s="1"/>
  <c r="R28" i="2041"/>
  <c r="S28" i="2041" s="1"/>
  <c r="R29" i="2041"/>
  <c r="S29" i="2041" s="1"/>
  <c r="R30" i="2041"/>
  <c r="S30" i="2041" s="1"/>
  <c r="R31" i="2041"/>
  <c r="S31" i="2041" s="1"/>
  <c r="R32" i="2041"/>
  <c r="S32" i="2041" s="1"/>
  <c r="R33" i="2041"/>
  <c r="S33" i="2041" s="1"/>
  <c r="R34" i="2041"/>
  <c r="S34" i="2041" s="1"/>
  <c r="R35" i="2041"/>
  <c r="S35" i="2041" s="1"/>
  <c r="R36" i="2041"/>
  <c r="S36" i="2041" s="1"/>
  <c r="R37" i="2041"/>
  <c r="S37" i="2041" s="1"/>
  <c r="R38" i="2041"/>
  <c r="S38" i="2041" s="1"/>
  <c r="R39" i="2041"/>
  <c r="S39" i="2041" s="1"/>
  <c r="R40" i="2041"/>
  <c r="S40" i="2041" s="1"/>
  <c r="R41" i="2041"/>
  <c r="S41" i="2041" s="1"/>
  <c r="R42" i="2041"/>
  <c r="S42" i="2041" s="1"/>
  <c r="R43" i="2041"/>
  <c r="S43" i="2041" s="1"/>
  <c r="R44" i="2041"/>
  <c r="S44" i="2041" s="1"/>
  <c r="R45" i="2041"/>
  <c r="S45" i="2041" s="1"/>
  <c r="R46" i="2041"/>
  <c r="S46" i="2041" s="1"/>
  <c r="R47" i="2041"/>
  <c r="S47" i="2041" s="1"/>
  <c r="R48" i="2041"/>
  <c r="S48" i="2041" s="1"/>
  <c r="R49" i="2041"/>
  <c r="S49" i="2041" s="1"/>
  <c r="R50" i="2041"/>
  <c r="S50" i="2041" s="1"/>
  <c r="R51" i="2041"/>
  <c r="S51" i="2041" s="1"/>
  <c r="R52" i="2041"/>
  <c r="S52" i="2041" s="1"/>
  <c r="R53" i="2041"/>
  <c r="S53" i="2041" s="1"/>
  <c r="R54" i="2041"/>
  <c r="S54" i="2041" s="1"/>
  <c r="R55" i="2041"/>
  <c r="S55" i="2041" s="1"/>
  <c r="R56" i="2041"/>
  <c r="S56" i="2041" s="1"/>
  <c r="Q2" i="2041"/>
  <c r="Q4" i="2041"/>
  <c r="Q7" i="2041"/>
  <c r="Q8" i="2041"/>
  <c r="Q10" i="2041"/>
  <c r="Q12" i="2041"/>
  <c r="Q15" i="2041"/>
  <c r="Q17" i="2041"/>
  <c r="Q19" i="2041"/>
  <c r="Q21" i="2041"/>
  <c r="Q23" i="2041"/>
  <c r="Q25" i="2041"/>
  <c r="Q27" i="2041"/>
  <c r="Q29" i="2041"/>
  <c r="Q33" i="2041"/>
  <c r="Q37" i="2041"/>
  <c r="Q41" i="2041"/>
  <c r="Q45" i="2041"/>
  <c r="Q49" i="2041"/>
  <c r="Q53" i="2041"/>
  <c r="Q3" i="2041"/>
  <c r="Q5" i="2041"/>
  <c r="Q6" i="2041"/>
  <c r="Q9" i="2041"/>
  <c r="Q11" i="2041"/>
  <c r="Q13" i="2041"/>
  <c r="Q14" i="2041"/>
  <c r="Q16" i="2041"/>
  <c r="Q18" i="2041"/>
  <c r="Q20" i="2041"/>
  <c r="Q22" i="2041"/>
  <c r="Q24" i="2041"/>
  <c r="Q26" i="2041"/>
  <c r="Q28" i="2041"/>
  <c r="Q30" i="2041"/>
  <c r="Q32" i="2041"/>
  <c r="Q34" i="2041"/>
  <c r="Q36" i="2041"/>
  <c r="Q38" i="2041"/>
  <c r="Q40" i="2041"/>
  <c r="Q42" i="2041"/>
  <c r="Q44" i="2041"/>
  <c r="Q46" i="2041"/>
  <c r="Q48" i="2041"/>
  <c r="Q50" i="2041"/>
  <c r="Q52" i="2041"/>
  <c r="Q54" i="2041"/>
  <c r="Q56" i="2041"/>
  <c r="Q31" i="2041"/>
  <c r="Q35" i="2041"/>
  <c r="Q39" i="2041"/>
  <c r="Q43" i="2041"/>
  <c r="Q47" i="2041"/>
  <c r="Q51" i="2041"/>
  <c r="Q55" i="2041"/>
  <c r="N10" i="101"/>
  <c r="N2" i="101"/>
</calcChain>
</file>

<file path=xl/sharedStrings.xml><?xml version="1.0" encoding="utf-8"?>
<sst xmlns="http://schemas.openxmlformats.org/spreadsheetml/2006/main" count="1069" uniqueCount="317">
  <si>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</si>
  <si>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</si>
  <si>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</si>
  <si>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</si>
  <si>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</si>
  <si>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</si>
  <si>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</si>
  <si>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</si>
  <si>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</si>
  <si>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</si>
  <si>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</si>
  <si>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</si>
  <si>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</si>
  <si>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</si>
  <si>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</si>
  <si>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</si>
  <si>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</si>
  <si>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</si>
  <si>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</si>
  <si>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</si>
  <si>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Contado</t>
  </si>
  <si>
    <t>Cuerpo Central</t>
  </si>
  <si>
    <t>Editorial Comercial - Jujuy</t>
  </si>
  <si>
    <t>SU</t>
  </si>
  <si>
    <t>Ubic</t>
  </si>
  <si>
    <t>Imagen</t>
  </si>
  <si>
    <t>Med</t>
  </si>
  <si>
    <t>OP</t>
  </si>
  <si>
    <t xml:space="preserve"> </t>
  </si>
  <si>
    <t>5x17</t>
  </si>
  <si>
    <t>SUDC</t>
  </si>
  <si>
    <t>PagE</t>
  </si>
  <si>
    <t>EvaLoc</t>
  </si>
  <si>
    <t>¿Color?</t>
  </si>
  <si>
    <t>Modalidad</t>
  </si>
  <si>
    <t>#</t>
  </si>
  <si>
    <t>Sup Especial</t>
  </si>
  <si>
    <t>5x13</t>
  </si>
  <si>
    <t>Clasificiados</t>
  </si>
  <si>
    <t>B&amp;N</t>
  </si>
  <si>
    <t>Cuenta Corriente</t>
  </si>
  <si>
    <t>Notables - Jujuy +1 Col</t>
  </si>
  <si>
    <t>JAGRUP</t>
  </si>
  <si>
    <t>WERCHOW MEDICINA PRIVADA S.A.</t>
  </si>
  <si>
    <t>La Cocheria S.r.l.</t>
  </si>
  <si>
    <t>LA COCHERIA SRL</t>
  </si>
  <si>
    <t>Servicios Sociales Futuro S R L</t>
  </si>
  <si>
    <t>SERIVICIO SOCIALES FUTURO...</t>
  </si>
  <si>
    <t>SER</t>
  </si>
  <si>
    <t>Faltante</t>
  </si>
  <si>
    <t>Farmacia Yrigoyen S C S</t>
  </si>
  <si>
    <t>FARMACIA YRIGOYEN</t>
  </si>
  <si>
    <t>WERCHOW OBITUARIO</t>
  </si>
  <si>
    <t>Direccion De Prensa Y Medios De Comunicacion</t>
  </si>
  <si>
    <t>&gt;PENDIENTE&lt;</t>
  </si>
  <si>
    <t>Editorial Comercial - Jujuy cm OFICIAL</t>
  </si>
  <si>
    <t>Promocionales</t>
  </si>
  <si>
    <t>Guia Profesionaes</t>
  </si>
  <si>
    <t>Guia Prof 2 Col - Jujuy</t>
  </si>
  <si>
    <t>Empresa La Piedad S.A.</t>
  </si>
  <si>
    <t>CEMER...</t>
  </si>
  <si>
    <t>JGESTET</t>
  </si>
  <si>
    <t>JGABOGA</t>
  </si>
  <si>
    <t>Cine Teatro Alfa S.R.L.</t>
  </si>
  <si>
    <t>125632</t>
  </si>
  <si>
    <t>CINE ALFA...</t>
  </si>
  <si>
    <t>∑ 0</t>
  </si>
  <si>
    <t>2x02</t>
  </si>
  <si>
    <t>2x03</t>
  </si>
  <si>
    <t>2x04</t>
  </si>
  <si>
    <t>5x03</t>
  </si>
  <si>
    <t>∑ 3</t>
  </si>
  <si>
    <t>3x03</t>
  </si>
  <si>
    <t>JGKINES</t>
  </si>
  <si>
    <t>CTRL+ALT+F9</t>
  </si>
  <si>
    <t>2x10</t>
  </si>
  <si>
    <t>JGOTRPRO</t>
  </si>
  <si>
    <t>Editora Sociedad Anonima</t>
  </si>
  <si>
    <t>1-1505731-3</t>
  </si>
  <si>
    <t>Poclava  Reinaldo</t>
  </si>
  <si>
    <t>MARTILLERO PÚBLICO JUDICIAL Poclava, Reinaldo MP 205 Tasaciones - Remates - Ventas Cel 388-44286038 4428603</t>
  </si>
  <si>
    <t>MARTILLERO PÚBLICO JUDICIAL Pocl</t>
  </si>
  <si>
    <t>1-1506157-2</t>
  </si>
  <si>
    <t>CRUZ DIEGO FERNANDO</t>
  </si>
  <si>
    <t>LIC. DIEGO CRUZ QUIROPRAXIA  ////CAMBIAR DIRECCION///  OTERO N° 464, 1er Piso, Consultorio 15 Cel 388-154096585</t>
  </si>
  <si>
    <t>LIC. DIEGO CRUZ QUIROPRAXIA  ///</t>
  </si>
  <si>
    <t>3x10</t>
  </si>
  <si>
    <t>IAC</t>
  </si>
  <si>
    <t>Armada  Ailen</t>
  </si>
  <si>
    <t>2x07</t>
  </si>
  <si>
    <t>Vera Inés Del Carmen</t>
  </si>
  <si>
    <t>CARMEN UNA VIDENTE</t>
  </si>
  <si>
    <t>1-1507181-2</t>
  </si>
  <si>
    <t>Cultivar S.r.l.</t>
  </si>
  <si>
    <t>03202304</t>
  </si>
  <si>
    <t>BUSQUEDA LABORAL  ARQUITECTO</t>
  </si>
  <si>
    <t>5x35</t>
  </si>
  <si>
    <t>2x13</t>
  </si>
  <si>
    <t>1-1507216-2</t>
  </si>
  <si>
    <t>Orellana  Adriana</t>
  </si>
  <si>
    <t>LIC. ADRIANA PATRICIA ORELLANA  PSICOLOGA M.P. 126 PSICOTERAICIAS) BELGRANO 860  SEXTO PISO  SOLICITAR TURNOS 3885013996</t>
  </si>
  <si>
    <t>JGPSICO</t>
  </si>
  <si>
    <t xml:space="preserve">LIC. ADRIANA PATRICIA ORELLANA  </t>
  </si>
  <si>
    <t>1-1507348-1</t>
  </si>
  <si>
    <t>Michel  Natalia</t>
  </si>
  <si>
    <t>MICHEL ESTUDIO JURIDICO AVISO ARMADO  SE MODIFICA IMAGEN</t>
  </si>
  <si>
    <t>MICHEL ESTUDIO JURIDICO AVISO AR</t>
  </si>
  <si>
    <t>1-1507610-2</t>
  </si>
  <si>
    <t>Palavecino Rodriguez Jose Miguel</t>
  </si>
  <si>
    <t>PROBLEMAS DE COLUMNA Y EXTREMIDADES                 QUIROPRAM. Palavecino  M.P. 1899 Independencia 518 - Cel. 155090998.</t>
  </si>
  <si>
    <t>1-1507584-4</t>
  </si>
  <si>
    <t>Reyes  Arturo Rodrigo</t>
  </si>
  <si>
    <t>PONE EN ORDEN LA DOCUMENTACION DE TUS TERRENOS              -  CENTRO JURIDICO NOA CEL.388 4759631</t>
  </si>
  <si>
    <t>1-1507585-1</t>
  </si>
  <si>
    <t>JUBILACIONES, PENSIONES, REAJUSTE DE HABERES.- Dr. Reyes Rod5775043 Dr. Reyes Martin 3884868136 Hipólito Yrigoyen N° 680</t>
  </si>
  <si>
    <t>∑ 7</t>
  </si>
  <si>
    <t>JUBILACIONES, PENSIONES, REAJUST</t>
  </si>
  <si>
    <t>PONE EN ORDEN LA DOCUMENTACION D</t>
  </si>
  <si>
    <t>PROBLEMAS DE COLUMNA Y EXTREMIDA</t>
  </si>
  <si>
    <t>1-1507987-2</t>
  </si>
  <si>
    <t>Torres  Patricia</t>
  </si>
  <si>
    <t>///LOGO//// CENTRO AUDIFONOS  PARA OIR MEJOR VARIEDAD DE AUD 20 hs. Solicite turno al 388-6868919 - Balcarce 578 6868919</t>
  </si>
  <si>
    <t>///LOGO//// CENTRO AUDIFONOS  PA</t>
  </si>
  <si>
    <t>Asamblea Cm- Jujuy</t>
  </si>
  <si>
    <t>JASAMB</t>
  </si>
  <si>
    <t>12-1507290-2</t>
  </si>
  <si>
    <t>Jairo Montes</t>
  </si>
  <si>
    <t>COSEJERO y HECHICERO DEL AMOR JAIRO 388 4670393</t>
  </si>
  <si>
    <t>1-1507536-2</t>
  </si>
  <si>
    <t>Rodriguez  Atilio Dario Emanuel</t>
  </si>
  <si>
    <t>PRESTAMOS POR EMPEÑO (AVISO ARMADO REPITE)</t>
  </si>
  <si>
    <t>12-1508079-2</t>
  </si>
  <si>
    <t>Miranda Andrea</t>
  </si>
  <si>
    <t>ELENA - ESPIRITISTA</t>
  </si>
  <si>
    <t>Olmos Maria Cristina</t>
  </si>
  <si>
    <t xml:space="preserve">    LIC.MARIA CRISTINA OLMOS           MUSICOTERAPEUTA      ras Sociales  con (C.U.D.) y Particulares TURNOS: 3888442291</t>
  </si>
  <si>
    <t>JGCIRGR</t>
  </si>
  <si>
    <t>2x12</t>
  </si>
  <si>
    <t>3x05</t>
  </si>
  <si>
    <t xml:space="preserve">    LIC.MARIA CRISTINA OLMOS    </t>
  </si>
  <si>
    <t>PRESTAMOS POR EMPEÑO (AVISO ARMA</t>
  </si>
  <si>
    <t>COSEJERO y HECHICERO DEL AMOR JA</t>
  </si>
  <si>
    <t>1-1508086-2</t>
  </si>
  <si>
    <t>Obituarios</t>
  </si>
  <si>
    <t>Obituario Modulo - Jujuy</t>
  </si>
  <si>
    <t>OBIMOD</t>
  </si>
  <si>
    <t>∑ 4</t>
  </si>
  <si>
    <t>1-1508591-2</t>
  </si>
  <si>
    <t>S.a.e. S.r.l.</t>
  </si>
  <si>
    <t>SAE VENDE MASTER RENAULT 2008, techo alto largo, furgón, MASa MERCEDES BENZ 313, 2011, techo alto larga. Cel 388 5801528</t>
  </si>
  <si>
    <t>CTAPA</t>
  </si>
  <si>
    <t>2x06</t>
  </si>
  <si>
    <t>∑ 9</t>
  </si>
  <si>
    <t>SAE VENDE MASTER RENAULT 2008, t</t>
  </si>
  <si>
    <t>EMILIO AUTOMOTORES</t>
  </si>
  <si>
    <t>284101</t>
  </si>
  <si>
    <t>La Union del Norte SAICAF</t>
  </si>
  <si>
    <t>EDICTO DE COMPROMISO PREVIO DE FUSION  Empresa Absorbente:  CUIT: 30-70364543-3 -SAN PATRICIO S.A. - CUIT: 30-70364390-2</t>
  </si>
  <si>
    <t>DEL NORTE SRL</t>
  </si>
  <si>
    <t>NORTE SERVICIO SOCIALES ....</t>
  </si>
  <si>
    <t>OBI</t>
  </si>
  <si>
    <t>1-1508658-1</t>
  </si>
  <si>
    <t>Calpanchay Adolfina</t>
  </si>
  <si>
    <t>PODOLOGIA  Uñas encarnadas - Micosis (hongos) Pie diabético-. Juana Manuela Gorriti N° 16 y Alte Brown - Tel. 3884852247</t>
  </si>
  <si>
    <t>JGPODOL</t>
  </si>
  <si>
    <t>1-1508504-3</t>
  </si>
  <si>
    <t>-ALIMENTOS- SUCESIONES- -DIVORCIOS- RÉGIMEN DE COMUNICACIÓN udio jurídico calle Alvear 590 1° A  Tu consulta no molesta.</t>
  </si>
  <si>
    <t>&gt;DIFIERE&lt;</t>
  </si>
  <si>
    <t>2x05</t>
  </si>
  <si>
    <t>∑ 25</t>
  </si>
  <si>
    <t>∑ 31</t>
  </si>
  <si>
    <t>7x04</t>
  </si>
  <si>
    <t>-ALIMENTOS- SUCESIONES- -DIVORCI</t>
  </si>
  <si>
    <t>PODOLOGIA  Uñas encarnadas - Mic</t>
  </si>
  <si>
    <t>EDICTO DE COMPROMISO PREVIO DE F</t>
  </si>
  <si>
    <t>1-1508585-2</t>
  </si>
  <si>
    <t>COPPROBI JUJUY</t>
  </si>
  <si>
    <t xml:space="preserve">  CON LOGO  Colegio de Profesionales y Técnicos Superiores e Gustavo Estrada Secretaria: Lic. Clara Sofia Beatriz Franco</t>
  </si>
  <si>
    <t>1-1508700-4</t>
  </si>
  <si>
    <t>Club Social Y Deportivo Parapeti</t>
  </si>
  <si>
    <t>ASAMBLEA ORDINARIA             El Club Deportivo y Social Pa                                                  P8  962022</t>
  </si>
  <si>
    <t>Lozano  Matias</t>
  </si>
  <si>
    <t>CENTRO VECINAL B° SANTA BÁRBARA - PALPALÁ   CONVOCATORIA La 23  2024.  Comisión Directiva Centro Vecinal B° Sta8  962024</t>
  </si>
  <si>
    <t>1-1508573-2</t>
  </si>
  <si>
    <t>Rios  Patricia Bibiana</t>
  </si>
  <si>
    <t>ESTUDIE ITALIANO ASOC. DANTE ALIGHIERI Cursos para adultos.  18:30 a 20:00 hs Avda. Fascio 1078- 2º Piso (Soc. 8    1078</t>
  </si>
  <si>
    <t>1-1508668-4</t>
  </si>
  <si>
    <t>1-1508716-1</t>
  </si>
  <si>
    <t>209090 23</t>
  </si>
  <si>
    <t>1-1508801-1</t>
  </si>
  <si>
    <t>TOMBOLA... ABRIL 2023</t>
  </si>
  <si>
    <t>1-1508760-1</t>
  </si>
  <si>
    <t>284053</t>
  </si>
  <si>
    <t>1-1508615-2</t>
  </si>
  <si>
    <t>284025</t>
  </si>
  <si>
    <t>1-1508759-1</t>
  </si>
  <si>
    <t>284052</t>
  </si>
  <si>
    <t>1-1508815-2</t>
  </si>
  <si>
    <t>259648abril</t>
  </si>
  <si>
    <t>1-1508300-8</t>
  </si>
  <si>
    <t>GOBIERNO DE JUJUY CONSULTA MEDIDA ISJ</t>
  </si>
  <si>
    <t>PAG7</t>
  </si>
  <si>
    <t>1-1508763-1</t>
  </si>
  <si>
    <t>284054</t>
  </si>
  <si>
    <t>1-1507586-19</t>
  </si>
  <si>
    <t>Comite Provincial U.c.r.</t>
  </si>
  <si>
    <t>CARLOS SADIR EL CAMBIO A SEGUIR  GERRADO MORALES  LOS CORTESADOR   GM LISTA 502  GOBERNADOR  CARLOS SADIR  LISTA 502....</t>
  </si>
  <si>
    <t>1-1508622-2</t>
  </si>
  <si>
    <t>284026</t>
  </si>
  <si>
    <t>1-1508817-3</t>
  </si>
  <si>
    <t>∑ 20</t>
  </si>
  <si>
    <t>∑ 32</t>
  </si>
  <si>
    <t xml:space="preserve">CENTRO VECINAL B° SANTA BÁRBARA </t>
  </si>
  <si>
    <t>GOBIERNO DE JUJUY CONSULTA MEDID</t>
  </si>
  <si>
    <t xml:space="preserve">CARLOS SADIR EL CAMBIO A SEGUIR </t>
  </si>
  <si>
    <t>ESTUDIE ITALIANO ASOC. DANTE ALI</t>
  </si>
  <si>
    <t>ASAMBLEA ORDINARIA             E</t>
  </si>
  <si>
    <t xml:space="preserve">  CON LOGO  Colegio de Profesion</t>
  </si>
  <si>
    <t>HORIZONTES ON LINE S.A.</t>
  </si>
  <si>
    <t>Dergam Srl</t>
  </si>
  <si>
    <t>DERGAM</t>
  </si>
  <si>
    <t>10-1508808-3</t>
  </si>
  <si>
    <t>Luis  Cabrera</t>
  </si>
  <si>
    <t>/////////////////JESUS TAROT//////// PARAPSICOLOGO   NUMERO 388 4613315</t>
  </si>
  <si>
    <t>1-1508862-2</t>
  </si>
  <si>
    <t>Silva Veronica</t>
  </si>
  <si>
    <t>DANIEL VIDENTE DE LO MÁS SORPRENDENTE Karma Familiar  Tarot ium  Solución a tus problemas en el acto.  Cel 388-155710262</t>
  </si>
  <si>
    <t>1-1508705-4</t>
  </si>
  <si>
    <t>1-1508243-2</t>
  </si>
  <si>
    <t>25663</t>
  </si>
  <si>
    <t>CARPAS 3H</t>
  </si>
  <si>
    <t>IDC</t>
  </si>
  <si>
    <t>1-1508047-15</t>
  </si>
  <si>
    <t>210323</t>
  </si>
  <si>
    <t>RUBEN RIVAROLA GOBERNADOR</t>
  </si>
  <si>
    <t>Municipalidad De San Salvador De Jujuy</t>
  </si>
  <si>
    <t>Editorial Comercial - Jujuy OFICIAL</t>
  </si>
  <si>
    <t>∑ 8</t>
  </si>
  <si>
    <t>∑ 13</t>
  </si>
  <si>
    <t>∑ 19</t>
  </si>
  <si>
    <t>DANIEL VIDENTE DE LO MÁS SORPREN</t>
  </si>
  <si>
    <t>/////////////////JESUS TAROT////</t>
  </si>
  <si>
    <t>1-1506645-2</t>
  </si>
  <si>
    <t>Yapura Marina Antonela</t>
  </si>
  <si>
    <t>EDICTO "La Dra , Lis Valdecantos Bernal Jueza del Juzgado de Lis Valdecantos Bernal -" San Salvador de Jujuy Ma8  213991</t>
  </si>
  <si>
    <t>Remates/Edictos Cm- Jujuy</t>
  </si>
  <si>
    <t>JEDICT</t>
  </si>
  <si>
    <t>1-1507643-2</t>
  </si>
  <si>
    <t>Tolaba Natalia</t>
  </si>
  <si>
    <t>PODER JUDICIAL DE LA PROVINCIA DE JUJUY TRIBUNAL DE FAMILIA  SECRETARIA¡±.-  Es copia, Secretar¨ªa¡ de Octubre 8  152482</t>
  </si>
  <si>
    <t>1-1507751-2</t>
  </si>
  <si>
    <t>Imposti  Raul</t>
  </si>
  <si>
    <t>EDICTO INSCRIPCION DE MARTILLERO  RAUL  SANTIAGO IMPOSTI  D. en diez (10) días en el Boletín Oficial y un Diari8   25028</t>
  </si>
  <si>
    <t>1-1508509-2</t>
  </si>
  <si>
    <t>Burgos  Miguel Angel</t>
  </si>
  <si>
    <t>Expte. Nº C-197535/2022 caratulado: “CUIDADO PERSONAL DE HIJ---------------------------------------------------8  197535</t>
  </si>
  <si>
    <t>1-1508586-2</t>
  </si>
  <si>
    <t>Reales Daniela</t>
  </si>
  <si>
    <t>EDICTO DE CITACION EL DIRECTOR DE LA DIRECCION PROVINCIAL DER DE REGULARIZACION DOMINIAL. DR.JEREMIAS VISINTIN 805160327</t>
  </si>
  <si>
    <t>1-1508588-4</t>
  </si>
  <si>
    <t>Yurquina  Ruben Omar</t>
  </si>
  <si>
    <t>-------------------------- E D I C T O----------------------NTE MI DRA. MILENA SOLANA ELGUERO- Prosecretaria de8  005332</t>
  </si>
  <si>
    <t>1-1508603-2</t>
  </si>
  <si>
    <t>Vidaurre  Sergio</t>
  </si>
  <si>
    <t>EDICTO San Salvador de Jujuy, 06 de marzo de 2023 Ref. Expte TRÁMITE - ANTE MI, DRA. MARIA FLORENCIA RIVAS - SE8  163239</t>
  </si>
  <si>
    <t>1-1508757-3</t>
  </si>
  <si>
    <t>Ana Gabiela Igarzabal</t>
  </si>
  <si>
    <t>Ref. Expte. Nº B-248190/2011 caratulado: "PREPARA VÍA EJECUTIAS.-   San Salvador de Jujuy, 28 de Marzo del 2.028  248190</t>
  </si>
  <si>
    <t>1-1508799-2</t>
  </si>
  <si>
    <t>Morales  Lautaro</t>
  </si>
  <si>
    <t>EDICTO INSCRIPCION DE MARTILLERO  Lautaro Emanuel MORALES CA en diez (10) días en el Boletín Oficial y un Diari8  025028</t>
  </si>
  <si>
    <t>12-1508752-2</t>
  </si>
  <si>
    <t>1-1504990-5</t>
  </si>
  <si>
    <t>289898923</t>
  </si>
  <si>
    <t>FM JUJUY UN DIA PERFECTO</t>
  </si>
  <si>
    <t>1-1508090-2</t>
  </si>
  <si>
    <t>VALERZA S.A.</t>
  </si>
  <si>
    <t>VALERZA PUBLICIDAD</t>
  </si>
  <si>
    <t>1-1508107-1</t>
  </si>
  <si>
    <t>284463</t>
  </si>
  <si>
    <t>1-1508548-2</t>
  </si>
  <si>
    <t>UE-CISOR</t>
  </si>
  <si>
    <t>La UNIDAD EJECUTORA EN CIENCIAS SOCIALES REGIONALES Y HUMANI0- San Salvador de Jujuy Argentina  Tel.+54 (0388) 154395727</t>
  </si>
  <si>
    <t>1-1508851-3</t>
  </si>
  <si>
    <t>Alberdi Sociedad Anónima</t>
  </si>
  <si>
    <t>020423</t>
  </si>
  <si>
    <t>COMODIN</t>
  </si>
  <si>
    <t>1-1508897-3</t>
  </si>
  <si>
    <t>Argote Gabriela</t>
  </si>
  <si>
    <t>+ ARGOTE, Juan Pastor (q.e.p.d.) Falleció el día 3 de abril  San Francisco para rogar por el eterno descanso de su alma.</t>
  </si>
  <si>
    <t>Sup Deportivo</t>
  </si>
  <si>
    <t>1-1502769-9</t>
  </si>
  <si>
    <t>283783</t>
  </si>
  <si>
    <t>1-1508598-2</t>
  </si>
  <si>
    <t>Club Atletico Gimnasia y Esgrima</t>
  </si>
  <si>
    <t>6020</t>
  </si>
  <si>
    <t>BINGO LOBO</t>
  </si>
  <si>
    <t>1-1508850-1</t>
  </si>
  <si>
    <t>03042023</t>
  </si>
  <si>
    <t>4 PÁGINAS ESPECIALES DE  SUPLEMENTO LA MUNI EN ACCIÓN</t>
  </si>
  <si>
    <t>∑ 21</t>
  </si>
  <si>
    <t>2x15</t>
  </si>
  <si>
    <t>2x20</t>
  </si>
  <si>
    <t>3x18</t>
  </si>
  <si>
    <t>3x20</t>
  </si>
  <si>
    <t>3x25</t>
  </si>
  <si>
    <t>4 PÁGINAS ESPECIALES DE  SUPLEME</t>
  </si>
  <si>
    <t xml:space="preserve">La UNIDAD EJECUTORA EN CIENCIAS </t>
  </si>
  <si>
    <t>+ ARGOTE, Juan Pastor (q.e.p.d.)</t>
  </si>
  <si>
    <t>EDICTO INSCRIPCION DE MARTILLERO</t>
  </si>
  <si>
    <t>EDICTO "La Dra , Lis Valdecantos</t>
  </si>
  <si>
    <t>EDICTO DE CITACION EL DIRECTOR D</t>
  </si>
  <si>
    <t>Ref. Expte. Nº B-248190/2011 car</t>
  </si>
  <si>
    <t>-------------------------- E D I</t>
  </si>
  <si>
    <t>PODER JUDICIAL DE LA PROVINCIA D</t>
  </si>
  <si>
    <t>EDICTO San Salvador de Jujuy, 06</t>
  </si>
  <si>
    <t>Expte. Nº C-197535/2022 caratula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</si>
</sst>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000]#,##0.00;[$$ -2000]\-#,##0.00"/>
  </numFmts>
  <fonts count="11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theme="5" tint="0.39997558519241921"/>
      <name val="Calibri"/>
      <family val="2"/>
      <scheme val="minor"/>
    </font>
    <font>
      <sz val="10"/>
      <color theme="0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40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7" fillId="0" borderId="3" xfId="0" applyFont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1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0" fillId="0" borderId="2" xfId="0" pivotButton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8" fillId="2" borderId="3" xfId="0" applyNumberFormat="1" applyFont="1" applyFill="1" applyBorder="1" applyAlignment="1">
      <alignment horizontal="center" vertical="center"/>
    </xf>
    <xf numFmtId="0" fontId="8" fillId="2" borderId="9" xfId="0" applyNumberFormat="1" applyFont="1" applyFill="1" applyBorder="1" applyAlignment="1">
      <alignment horizontal="center" vertical="center"/>
    </xf>
    <xf numFmtId="0" fontId="10" fillId="0" borderId="3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8" fillId="2" borderId="2" xfId="0" applyFont="1" applyFill="1" applyBorder="1" applyAlignment="1">
      <alignment horizontal="right" vertical="center" wrapText="1"/>
    </xf>
    <xf numFmtId="0" fontId="8" fillId="2" borderId="5" xfId="0" applyFont="1" applyFill="1" applyBorder="1" applyAlignment="1">
      <alignment horizontal="right" vertical="center"/>
    </xf>
    <xf numFmtId="0" fontId="8" fillId="2" borderId="7" xfId="0" applyFont="1" applyFill="1" applyBorder="1" applyAlignment="1">
      <alignment horizontal="right" vertical="center" wrapText="1"/>
    </xf>
    <xf numFmtId="0" fontId="8" fillId="2" borderId="8" xfId="0" applyFont="1" applyFill="1" applyBorder="1" applyAlignment="1">
      <alignment horizontal="right" vertical="center"/>
    </xf>
    <xf numFmtId="0" fontId="10" fillId="0" borderId="12" xfId="0" applyNumberFormat="1" applyFont="1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1" fillId="0" borderId="0" xfId="1">
      <alignment vertical="top"/>
    </xf>
    <xf numFmtId="1" fontId="1" fillId="0" borderId="0" xfId="1" applyNumberFormat="1" applyFont="1">
      <alignment vertical="top"/>
    </xf>
    <xf numFmtId="164" fontId="1" fillId="0" borderId="0" xfId="1" applyNumberFormat="1" applyFont="1">
      <alignment vertical="top"/>
    </xf>
    <xf numFmtId="3" fontId="1" fillId="0" borderId="0" xfId="1" applyNumberFormat="1" applyFont="1">
      <alignment vertical="top"/>
    </xf>
    <xf numFmtId="4" fontId="1" fillId="0" borderId="0" xfId="1" applyNumberFormat="1" applyFont="1">
      <alignment vertical="top"/>
    </xf>
  </cellXfs>
  <cellStyles count="2">
    <cellStyle name="Normal" xfId="0" builtinId="0"/>
    <cellStyle name="Normal 2" xfId="1"/>
  </cellStyles>
  <dxfs count="17406"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>
          <bgColor theme="8" tint="0.79998168889431442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 patternType="solid">
          <bgColor theme="0" tint="-4.9989318521683403E-2"/>
        </patternFill>
      </fill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vertical="top" readingOrder="0"/>
    </dxf>
    <dxf>
      <alignment vertical="top" readingOrder="0"/>
    </dxf>
    <dxf>
      <alignment horizontal="general" readingOrder="0"/>
    </dxf>
    <dxf>
      <alignment horizontal="general" readingOrder="0"/>
    </dxf>
    <dxf>
      <font>
        <b/>
      </font>
    </dxf>
    <dxf>
      <alignment horizontal="right" readingOrder="0"/>
    </dxf>
    <dxf>
      <alignment horizontal="general" readingOrder="0"/>
    </dxf>
    <dxf>
      <alignment horizontal="general" readingOrder="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019.410687847223" createdVersion="4" refreshedVersion="4" minRefreshableVersion="3" recordCount="55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Deportivo"/>
        <s v="Sup Especial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06645-2"/>
        <s v="1-1507643-2"/>
        <s v="1-1507751-2"/>
        <s v="1-1508509-2"/>
        <s v="1-1508586-2"/>
        <s v="1-1508588-4"/>
        <s v="1-1508603-2"/>
        <s v="1-1508757-3"/>
        <s v="1-1508799-2"/>
        <s v="1-1508585-2"/>
        <s v="1-1508700-4"/>
        <s v="10-1508808-3"/>
        <s v="1-1507181-2"/>
        <s v="12-1507290-2"/>
        <s v="1-1507536-2"/>
        <s v="12-1508079-2"/>
        <s v="1-1508573-2"/>
        <s v="1-1508591-2"/>
        <s v="1-1508668-4"/>
        <s v="1-1508716-1"/>
        <s v="12-1508752-2"/>
        <s v="1-1508862-2"/>
        <s v="1-1504990-5"/>
        <s v="1-1508090-2"/>
        <s v="1-1508107-1"/>
        <s v="1-1508705-4"/>
        <s v="1-1508801-1"/>
        <s v="1-1508760-1"/>
        <s v="1-1508615-2"/>
        <s v="1-1508759-1"/>
        <s v="1-1508815-2"/>
        <s v="1-1508300-8"/>
        <s v="1-1508763-1"/>
        <s v="1-1508243-2"/>
        <s v="1-1508047-15"/>
        <s v="1-1508548-2"/>
        <s v="1-1507586-19"/>
        <s v="1-1508851-3"/>
        <s v="1-1507216-2"/>
        <s v="1-1508658-1"/>
        <s v="1-1505731-3"/>
        <s v="1-1507987-2"/>
        <s v="1-1506157-2"/>
        <s v="1-1507610-2"/>
        <s v="1-1508622-2"/>
        <s v="1-1508086-2"/>
        <s v="1-1507348-1"/>
        <s v="1-1507584-4"/>
        <s v="1-1507585-1"/>
        <s v="1-1508504-3"/>
        <s v="1-1508897-3"/>
        <s v="1-1502769-9"/>
        <s v="1-1508598-2"/>
        <s v="1-1508817-3"/>
        <s v="1-1508850-1"/>
        <s v="1-1447761-2" u="1"/>
        <s v="1-1463935-2" u="1"/>
        <s v="1-1467728-4" u="1"/>
        <s v="1-1465328-2" u="1"/>
        <s v="10-1453641-2" u="1"/>
        <s v="1-1435561-3" u="1"/>
        <s v="1-1451843-2" u="1"/>
        <s v="1-1471934-2" u="1"/>
        <s v="1-1491841-2" u="1"/>
        <s v="1-1491933-2" u="1"/>
        <s v="1-1498599-2" u="1"/>
        <s v="1-1457429-2" u="1"/>
        <s v="1-1493326-2" u="1"/>
        <s v="1-1493526-1" u="1"/>
        <s v="1-1497427-2" u="1"/>
        <s v="1-1505146-2" u="1"/>
        <s v="1-1463435-5" u="1"/>
        <s v="1-1487827-4" u="1"/>
        <s v="1-1421237-2" u="1"/>
        <s v="1-1441236-2" u="1"/>
        <s v="1-1465060-2" u="1"/>
        <s v="1-1469253-2" u="1"/>
        <s v="1-1501717-48" u="1"/>
        <s v="1-1439962-2" u="1"/>
        <s v="1-1455136-7" u="1"/>
        <s v="1-1479760-3" u="1"/>
        <s v="1-1479960-2" u="1"/>
        <s v="1-1491709-5" u="1"/>
        <s v="1-1491941-2" u="1"/>
        <s v="1-1503853-2" u="1"/>
        <s v="1-1433061-2" u="1"/>
        <s v="1-1433429-2" u="1"/>
        <s v="1-1457253-2" u="1"/>
        <s v="1-1473227-3" u="1"/>
        <s v="1-1477528-2" u="1"/>
        <s v="1-1497051-3" u="1"/>
        <s v="1-1505246-2" u="1"/>
        <s v="12-1502700-2" u="1"/>
        <s v="1-1447961-2" u="1"/>
        <s v="1-1467728-5" u="1"/>
        <s v="1-1449154-3" u="1"/>
        <s v="1-1449354-2" u="1"/>
        <s v="1-1435561-4" u="1"/>
        <s v="1-1439862-3" u="1"/>
        <s v="1-1455360-5" u="1"/>
        <s v="1-1491841-3" u="1"/>
        <s v="1-1507670-3" u="1"/>
        <s v="1-1433129-4" u="1"/>
        <s v="1-1433161-2" u="1"/>
        <s v="1-1453528-2" u="1"/>
        <s v="1-1457629-2" u="1"/>
        <s v="1-1473527-2" u="1"/>
        <s v="1-1497551-1" u="1"/>
        <s v="1-1497627-2" u="1"/>
        <s v="1-1467860-3" u="1"/>
        <s v="1-1487827-5" u="1"/>
        <s v="1-1433944-7" u="1"/>
        <s v="1-1465060-3" u="1"/>
        <s v="1-1465628-2" u="1"/>
        <s v="1-1481434-2" u="1"/>
        <s v="1-1489452-2" u="1"/>
        <s v="1-1501717-58" u="1"/>
        <s v="1-1435861-3" u="1"/>
        <s v="1-1491709-6" u="1"/>
        <s v="1-1491741-4" u="1"/>
        <s v="1-1503053-7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505170-2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39862-4" u="1"/>
        <s v="1-1455760-4" u="1"/>
        <s v="1-1498999-2" u="1"/>
        <s v="11-1433425-2" u="1"/>
        <s v="1-1457553-2" u="1"/>
        <s v="1-1493726-2" u="1"/>
        <s v="1-1496399-1" u="1"/>
        <s v="1-1501445-2" u="1"/>
        <s v="1-1505270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7651-2" u="1"/>
        <s v="1-1497927-2" u="1"/>
        <s v="1-1505370-2" u="1"/>
        <s v="1-1431029-2" u="1"/>
        <s v="1-1471027-2" u="1"/>
        <s v="1-1495219-2" u="1"/>
        <s v="1-1507039-2" u="1"/>
        <s v="12-1500631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505470-2" u="1"/>
        <s v="1-1455153-1" u="1"/>
        <s v="1-1499144-2" u="1"/>
        <s v="1-1503038-2" u="1"/>
        <s v="1-1507139-2" u="1"/>
        <s v="1-1441836-2" u="1"/>
        <s v="1-1445661-2" u="1"/>
        <s v="1-1461635-3" u="1"/>
        <s v="1-1465060-5" u="1"/>
        <s v="1-1481834-2" u="1"/>
        <s v="1-1443029-3" u="1"/>
        <s v="1-1491741-6" u="1"/>
        <s v="1-1503053-9" u="1"/>
        <s v="1-1437654-3" u="1"/>
        <s v="1-1437854-2" u="1"/>
        <s v="1-1505570-2" u="1"/>
        <s v="1-1423937-6" u="1"/>
        <s v="1-1455053-2" u="1"/>
        <s v="1-1495051-2" u="1"/>
        <s v="1-1495251-1" u="1"/>
        <s v="1-1499244-2" u="1"/>
        <s v="1-1507239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953-2" u="1"/>
        <s v="1-1497751-3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73227-7" u="1"/>
        <s v="1-1505770-2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53960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96899-2" u="1"/>
        <s v="1-1501729-5" u="1"/>
        <s v="1-1505770-3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503170-2" u="1"/>
        <s v="1-1469953-4" u="1"/>
        <s v="1-1484899-2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505770-4" u="1"/>
        <s v="1-1439447-4" u="1"/>
        <s v="1-1455253-4" u="1"/>
        <s v="1-1455653-2" u="1"/>
        <s v="1-1459846-2" u="1"/>
        <s v="1-1494299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503838-2" u="1"/>
        <s v="1-1507663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-1505770-5" u="1"/>
        <s v="1-1451828-3" u="1"/>
        <s v="1-1455253-5" u="1"/>
        <s v="1-1475652-3" u="1"/>
        <s v="1-1475852-2" u="1"/>
        <s v="1-1494499-2" u="1"/>
        <s v="1-1495851-2" u="1"/>
        <s v="1-1499644-4" u="1"/>
        <s v="1-1503370-3" u="1"/>
        <s v="1-1503938-2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99944-3" u="1"/>
        <s v="1-1503670-2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-1505770-6" u="1"/>
        <s v="10-1498685-2" u="1"/>
        <s v="1-1451860-2" u="1"/>
        <s v="1-1470599-2" u="1"/>
        <s v="1-1490398-3" u="1"/>
        <s v="1-1507839-4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-1457546-2" u="1"/>
        <s v="1-1489852-8" u="1"/>
        <s v="12-1506226-5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-1505770-7" u="1"/>
        <s v="10-1497817-3" u="1"/>
        <s v="1-1470799-2" u="1"/>
        <s v="1-1503370-5" u="1"/>
        <s v="1-1503970-2" u="1"/>
        <s v="1-1433454-2" u="1"/>
        <s v="1-1473452-2" u="1"/>
        <s v="1-1477645-2" u="1"/>
        <s v="1-1493819-2" u="1"/>
        <s v="1-1497644-2" u="1"/>
        <s v="1-1501062-3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505463-2" u="1"/>
        <s v="12-1507614-3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-1501738-2" u="1"/>
        <s v="1-1505363-3" u="1"/>
        <s v="1-1455046-2" u="1"/>
        <s v="1-1459039-3" u="1"/>
        <s v="1-1492140-14" u="1"/>
        <s v="1-1449671-2" u="1"/>
        <s v="1-1461652-2" u="1"/>
        <s v="1-1485844-2" u="1"/>
        <s v="1-1447239-2" u="1"/>
        <s v="1-1463045-2" u="1"/>
        <s v="1-1470499-5" u="1"/>
        <s v="1-1483044-2" u="1"/>
        <s v="1-1437747-3" u="1"/>
        <s v="1-1457946-2" u="1"/>
        <s v="1-1501362-3" u="1"/>
        <s v="1-1501838-2" u="1"/>
        <s v="1-1505663-2" u="1"/>
        <s v="1-1467853-6" u="1"/>
        <s v="1-1495144-2" u="1"/>
        <s v="1-1499137-3" u="1"/>
        <s v="1-1432379-21" u="1"/>
        <s v="12-1503361-3" u="1"/>
        <s v="1-1429048-7" u="1"/>
        <s v="1-1445946-2" u="1"/>
        <s v="1-1487337-2" u="1"/>
        <s v="10-1496868-2" u="1"/>
        <s v="1-1433854-2" u="1"/>
        <s v="1-1453653-3" u="1"/>
        <s v="1-1493851-2" u="1"/>
        <s v="1-1501462-3" u="1"/>
        <s v="1-1459439-2" u="1"/>
        <s v="1-1475245-2" u="1"/>
        <s v="1-1479038-4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-1505863-2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52738-13" u="1"/>
        <s v="1-1449971-2" u="1"/>
        <s v="1-1461952-2" u="1"/>
        <s v="1-1487537-2" u="1"/>
        <s v="1-1505163-6" u="1"/>
        <s v="1-1435171-2" u="1"/>
        <s v="1-1435447-2" u="1"/>
        <s v="1-1459239-4" u="1"/>
        <s v="1-1479070-3" u="1"/>
        <s v="1-1495444-2" u="1"/>
        <s v="1-1507080-2" u="1"/>
        <s v="1-1507356-2" u="1"/>
        <s v="1-1436464-23" u="1"/>
        <s v="1-1480699-2" u="1"/>
        <s v="1-1467438-3" u="1"/>
        <s v="1-1467638-2" u="1"/>
        <s v="1-1483444-2" u="1"/>
        <s v="12-1430874-5" u="1"/>
        <s v="1-1437747-5" u="1"/>
        <s v="1-1501870-2" u="1"/>
        <s v="1-1435471-1" u="1"/>
        <s v="1-1439172-3" u="1"/>
        <s v="1-1459739-2" u="1"/>
        <s v="1-1475545-2" u="1"/>
        <s v="1-1499137-5" u="1"/>
        <s v="10-1481067-2" u="1"/>
        <s v="1-1480799-2" u="1"/>
        <s v="1-1493036-1" u="1"/>
        <s v="1-1447739-2" u="1"/>
        <s v="1-1505763-4" u="1"/>
        <s v="10-1451673-2" u="1"/>
        <s v="11-1433342-2" u="1"/>
        <s v="1-1431546-2" u="1"/>
        <s v="1-1435371-2" u="1"/>
        <s v="1-1435571-1" u="1"/>
        <s v="1-1455646-2" u="1"/>
        <s v="1-1459639-3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45039-2" u="1"/>
        <s v="1-1485037-2" u="1"/>
        <s v="1-1501070-7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507656-2" u="1"/>
        <s v="1-1507856-1" u="1"/>
        <s v="1-1506100-3" u="1"/>
        <s v="1-1447571-2" u="1"/>
        <s v="1-1447739-3" u="1"/>
        <s v="1-1447939-2" u="1"/>
        <s v="1-1463745-2" u="1"/>
        <s v="1-1483544-3" u="1"/>
        <s v="1-1487937-2" u="1"/>
        <s v="1-1445139-2" u="1"/>
        <s v="1-1465138-2" u="1"/>
        <s v="1-1505763-5" u="1"/>
        <s v="10-1491923-2" u="1"/>
        <s v="1-1435371-3" u="1"/>
        <s v="1-1435571-2" u="1"/>
        <s v="1-1435847-2" u="1"/>
        <s v="1-1459839-3" u="1"/>
        <s v="1-1479670-2" u="1"/>
        <s v="1-1491819-3" u="1"/>
        <s v="1-1507480-2" u="1"/>
        <s v="1-1507756-2" u="1"/>
        <s v="1-1443646-3" u="1"/>
        <s v="1-1443846-2" u="1"/>
        <s v="1-1467670-2" u="1"/>
        <s v="1-1483844-2" u="1"/>
        <s v="1-1437747-7" u="1"/>
        <s v="1-1461045-2" u="1"/>
        <s v="1-1465238-2" u="1"/>
        <s v="1-1485237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457139-3" u="1"/>
        <s v="1-1505056-2" u="1"/>
        <s v="1-1506500-2" u="1"/>
        <s v="1-1506700-1" u="1"/>
        <s v="1-1447771-2" u="1"/>
        <s v="1-1447971-1" u="1"/>
        <s v="1-1463345-5" u="1"/>
        <s v="1-1483544-4" u="1"/>
        <s v="1-1481144-2" u="1"/>
        <s v="1-1485337-2" u="1"/>
        <s v="1-1505763-6" u="1"/>
        <s v="12-1445473-3" u="1"/>
        <s v="1-1435371-4" u="1"/>
        <s v="1-1435771-2" u="1"/>
        <s v="1-1455570-3" u="1"/>
        <s v="1-1471944-2" u="1"/>
        <s v="1-1475645-4" u="1"/>
        <s v="1-1491819-4" u="1"/>
        <s v="1-1507680-2" u="1"/>
        <s v="1-1457439-2" u="1"/>
        <s v="1-1473537-1" u="1"/>
        <s v="1-1505156-2" u="1"/>
        <s v="1-1506600-2" u="1"/>
        <s v="1-1438749-13" u="1"/>
        <s v="12-1506292-3" u="1"/>
        <s v="1-1443646-4" u="1"/>
        <s v="1-1447839-4" u="1"/>
        <s v="1-1470899-8" u="1"/>
        <s v="1-1441246-2" u="1"/>
        <s v="1-1465070-2" u="1"/>
        <s v="1-1481244-2" u="1"/>
        <s v="10-1499799-2" u="1"/>
        <s v="1-1435671-3" u="1"/>
        <s v="1-1455470-4" u="1"/>
        <s v="1-1433439-2" u="1"/>
        <s v="1-1497261-2" u="1"/>
        <s v="1-1497737-1" u="1"/>
        <s v="1-1506500-3" u="1"/>
        <s v="1-1481144-3" u="1"/>
        <s v="1-1481544-1" u="1"/>
        <s v="1-1485337-3" u="1"/>
        <s v="1-1489162-3" u="1"/>
        <s v="1-1505763-7" u="1"/>
        <s v="10-1435742-2" u="1"/>
        <s v="1-1435371-5" u="1"/>
        <s v="1-1491819-5" u="1"/>
        <s v="1-1433171-2" u="1"/>
        <s v="1-1453538-2" u="1"/>
        <s v="1-1457639-2" u="1"/>
        <s v="1-1497637-2" u="1"/>
        <s v="1-1443646-5" u="1"/>
        <s v="1-1504000-2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-1499137-9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505256-3" u="1"/>
        <s v="1-1505456-2" u="1"/>
        <s v="1-1506500-4" u="1"/>
        <s v="1-1441070-3" u="1"/>
        <s v="1-1449564-2" u="1"/>
        <s v="1-1481144-4" u="1"/>
        <s v="1-1485337-4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05656-2" u="1"/>
        <s v="1-1507049-2" u="1"/>
        <s v="1-1445939-2" u="1"/>
        <s v="1-1449764-2" u="1"/>
        <s v="1-1469763-2" u="1"/>
        <s v="1-1481144-5" u="1"/>
        <s v="1-1481744-2" u="1"/>
        <s v="1-1485337-5" u="1"/>
        <s v="1-1507556-7" u="1"/>
        <s v="1-1480569-11" u="1"/>
        <s v="1-1433339-5" u="1"/>
        <s v="1-1433939-2" u="1"/>
        <s v="1-1473937-2" u="1"/>
        <s v="1-1493936-2" u="1"/>
        <s v="1-1497761-2" u="1"/>
        <s v="1-1501655-2" u="1"/>
        <s v="1-1505756-2" u="1"/>
        <s v="1-1505848-2" u="1"/>
        <s v="1-1471137-2" u="1"/>
        <s v="1-1495329-2" u="1"/>
        <s v="1-1503048-2" u="1"/>
        <s v="1-1504400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505256-5" u="1"/>
        <s v="1-1451038-3" u="1"/>
        <s v="1-1475062-2" u="1"/>
        <s v="1-1491236-2" u="1"/>
        <s v="1-1495429-2" u="1"/>
        <s v="1-1508601-2" u="1"/>
        <s v="1-1441470-3" u="1"/>
        <s v="1-1445171-5" u="1"/>
        <s v="1-1445739-4" u="1"/>
        <s v="1-1445771-2" u="1"/>
        <s v="1-1469963-2" u="1"/>
        <s v="1-1489962-2" u="1"/>
        <s v="1-1467163-2" u="1"/>
        <s v="10-1435657-3" u="1"/>
        <s v="1-1433339-6" u="1"/>
        <s v="1-1433971-1" u="1"/>
        <s v="1-1453370-4" u="1"/>
        <s v="1-1457963-2" u="1"/>
        <s v="1-1493736-4" u="1"/>
        <s v="1-1455163-2" u="1"/>
        <s v="1-1503248-2" u="1"/>
        <s v="1-1507073-2" u="1"/>
        <s v="1-1507349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-1505948-3" u="1"/>
        <s v="1-1431439-2" u="1"/>
        <s v="1-1439457-2" u="1"/>
        <s v="1-1451038-4" u="1"/>
        <s v="1-1495629-2" u="1"/>
        <s v="1-1504700-2" u="1"/>
        <s v="1-1441470-4" u="1"/>
        <s v="1-1485337-7" u="1"/>
        <s v="1-1506201-1" u="1"/>
        <s v="1-1443139-4" u="1"/>
        <s v="1-1443463-1" u="1"/>
        <s v="1-1463738-1" u="1"/>
        <s v="1-1467563-1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-1503448-2" u="1"/>
        <s v="1-1507273-2" u="1"/>
        <s v="1-1507549-2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503180-2" u="1"/>
        <s v="1-1503548-2" u="1"/>
        <s v="1-1507849-1" u="1"/>
        <s v="1-1493229-1" u="1"/>
        <s v="1-1502100-2" u="1"/>
        <s v="1-1443739-2" u="1"/>
        <s v="1-1447164-4" u="1"/>
        <s v="1-1447764-1" u="1"/>
        <s v="1-1463062-4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507473-2" u="1"/>
        <s v="1-1493129-2" u="1"/>
        <s v="1-1506101-3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99654-3" u="1"/>
        <s v="1-1437057-2" u="1"/>
        <s v="1-1493229-2" u="1"/>
        <s v="1-1497054-2" u="1"/>
        <s v="1-1506001-4" u="1"/>
        <s v="1-1506401-2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-1505680-5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-1507673-2" u="1"/>
        <s v="1-1507749-3" u="1"/>
        <s v="11-1431387-2" u="1"/>
        <s v="1-1493161-1" u="1"/>
        <s v="1-1493329-2" u="1"/>
        <s v="1-1506501-2" u="1"/>
        <s v="1-1463162-5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9854-3" u="1"/>
        <s v="1-1507573-3" u="1"/>
        <s v="1-1441470-7" u="1"/>
        <s v="1-1502500-2" u="1"/>
        <s v="1-1445256-2" u="1"/>
        <s v="1-1469448-2" u="1"/>
        <s v="1-1481061-2" u="1"/>
        <s v="1-1455163-6" u="1"/>
        <s v="1-1455363-5" u="1"/>
        <s v="1-1459956-3" u="1"/>
        <s v="1-1499954-3" u="1"/>
        <s v="1-1457156-3" u="1"/>
        <s v="1-1506501-3" u="1"/>
        <s v="12-1506674-2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503580-3" u="1"/>
        <s v="1-1503980-1" u="1"/>
        <s v="1-1507573-4" u="1"/>
        <s v="1-1489744-10" u="1"/>
        <s v="1-1453263-2" u="1"/>
        <s v="1-1457256-3" u="1"/>
        <s v="1-1505081-2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-1501248-3" u="1"/>
        <s v="1-1505473-1" u="1"/>
        <s v="1-1506501-4" u="1"/>
        <s v="1-1506901-2" u="1"/>
        <s v="12-1508858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-1507573-5" u="1"/>
        <s v="12-1496104-3" u="1"/>
        <s v="1-1473462-2" u="1"/>
        <s v="1-1502900-2" u="1"/>
        <s v="1-1505373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501748-2" u="1"/>
        <s v="1-1463062-9" u="1"/>
        <s v="1-1475055-2" u="1"/>
        <s v="1-1479248-2" u="1"/>
        <s v="1-1499247-2" u="1"/>
        <s v="1-1500300-2" u="1"/>
        <s v="1-1508502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-1443156-2" u="1"/>
        <s v="1-1447349-2" u="1"/>
        <s v="1-1448701-2" u="1"/>
        <s v="1-1468700-2" u="1"/>
        <s v="10-1451510-4" u="1"/>
        <s v="1-1493861-2" u="1"/>
        <s v="1-1505773-2" u="1"/>
        <s v="1-1435457-1" u="1"/>
        <s v="1-1455056-3" u="1"/>
        <s v="1-1455180-1" u="1"/>
        <s v="1-1459249-3" u="1"/>
        <s v="1-1503065-2" u="1"/>
        <s v="1-1508702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-1505873-2" u="1"/>
        <s v="12-1475036-3" u="1"/>
        <s v="1-1455356-2" u="1"/>
        <s v="1-1495354-2" u="1"/>
        <s v="1-1500600-2" u="1"/>
        <s v="1-1503365-1" u="1"/>
        <s v="1-1469980-2" u="1"/>
        <s v="1-1447549-2" u="1"/>
        <s v="1-1487547-2" u="1"/>
        <s v="10-1475641-3" u="1"/>
        <s v="1-1446101-2" u="1"/>
        <s v="1-1501872-2" u="1"/>
        <s v="12-1482899-2" u="1"/>
        <s v="1-1431156-3" u="1"/>
        <s v="1-1439282-2" u="1"/>
        <s v="1-1475455-2" u="1"/>
        <s v="1-1479648-2" u="1"/>
        <s v="1-1491353-2" u="1"/>
        <s v="1-1491829-1" u="1"/>
        <s v="1-1500700-2" u="1"/>
        <s v="1-1507090-2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-1501880-2" u="1"/>
        <s v="1-1501972-2" u="1"/>
        <s v="1-1435281-2" u="1"/>
        <s v="1-1459181-3" u="1"/>
        <s v="1-1459749-2" u="1"/>
        <s v="1-1471454-2" u="1"/>
        <s v="1-1491329-4" u="1"/>
        <s v="1-1491453-2" u="1"/>
        <s v="1-1507282-2" u="1"/>
        <s v="1-1507466-2" u="1"/>
        <s v="1-1434201-2" u="1"/>
        <s v="1-1454200-2" u="1"/>
        <s v="1-1469980-3" u="1"/>
        <s v="1-1447749-2" u="1"/>
        <s v="1-1467748-2" u="1"/>
        <s v="1-1483554-2" u="1"/>
        <s v="1-1487547-3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99847-2" u="1"/>
        <s v="1-1458001-4" u="1"/>
        <s v="1-1478600-1" u="1"/>
        <s v="1-1447849-2" u="1"/>
        <s v="1-1455763-9" u="1"/>
        <s v="1-1463655-2" u="1"/>
        <s v="1-1467448-4" u="1"/>
        <s v="1-1467648-3" u="1"/>
        <s v="1-1501717-29" u="1"/>
        <s v="1-1435757-2" u="1"/>
        <s v="1-1435957-1" u="1"/>
        <s v="1-1455280-3" u="1"/>
        <s v="1-1475355-4" u="1"/>
        <s v="1-1491729-3" u="1"/>
        <s v="1-1503565-2" u="1"/>
        <s v="1-1507666-2" u="1"/>
        <s v="1-1434401-2" u="1"/>
        <s v="1-1469980-4" u="1"/>
        <s v="1-1497239-2" u="1"/>
        <s v="1-1506195-12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500700-4" u="1"/>
        <s v="1-1503665-2" u="1"/>
        <s v="1-1507490-2" u="1"/>
        <s v="1-1507766-2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500800-4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467780-2" u="1"/>
        <s v="1-1487547-5" u="1"/>
        <s v="1-1508103-1" u="1"/>
        <s v="1-1446701-2" u="1"/>
        <s v="1-1465348-2" u="1"/>
        <s v="1-1481354-1" u="1"/>
        <s v="1-1435257-6" u="1"/>
        <s v="1-1435457-5" u="1"/>
        <s v="1-1455856-3" u="1"/>
        <s v="1-1479480-4" u="1"/>
        <s v="1-1500700-5" u="1"/>
        <s v="1-1503865-2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506610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-1503965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505266-2" u="1"/>
        <s v="1-1505358-2" u="1"/>
        <s v="1-1506710-2" u="1"/>
        <s v="1-1467980-2" u="1"/>
        <s v="1-1487547-6" u="1"/>
        <s v="1-1446501-4" u="1"/>
        <s v="1-1466900-2" u="1"/>
        <s v="1-1489372-2" u="1"/>
        <s v="1-1499137-10" u="1"/>
        <s v="1-1435257-7" u="1"/>
        <s v="1-1479480-5" u="1"/>
        <s v="1-1500700-6" u="1"/>
        <s v="1-1507690-3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505090-2" u="1"/>
        <s v="1-1505458-2" u="1"/>
        <s v="1-1432101-2" u="1"/>
        <s v="1-1467880-3" u="1"/>
        <s v="1-1476200-2" u="1"/>
        <s v="1-150401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505466-2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431149-1" u="1"/>
        <s v="1-1432301-2" u="1"/>
        <s v="1-1436202-3" u="1"/>
        <s v="1-1467648-7" u="1"/>
        <s v="1-1504210-2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505666-2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53948-2" u="1"/>
        <s v="1-1457649-4" u="1"/>
        <s v="1-1478800-5" u="1"/>
        <s v="1-1497571-3" u="1"/>
        <s v="1-1505766-2" u="1"/>
        <s v="1-1439167-2" u="1"/>
        <s v="1-1455173-1" u="1"/>
        <s v="1-1459166-2" u="1"/>
        <s v="1-1467648-8" u="1"/>
        <s v="1-1476800-1" u="1"/>
        <s v="1-1491146-2" u="1"/>
        <s v="1-1499164-2" u="1"/>
        <s v="1-1503058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507990-4" u="1"/>
        <s v="1-1433481-3" u="1"/>
        <s v="1-1453480-3" u="1"/>
        <s v="1-1497947-3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-1433581-3" u="1"/>
        <s v="1-1453780-2" u="1"/>
        <s v="1-1457649-5" u="1"/>
        <s v="1-1457973-2" u="1"/>
        <s v="1-1478800-6" u="1"/>
        <s v="1-1501865-2" u="1"/>
        <s v="1-1505490-3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503058-3" u="1"/>
        <s v="1-1504610-2" u="1"/>
        <s v="1-1508511-3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0-1496754-3" u="1"/>
        <s v="1-1433849-4" u="1"/>
        <s v="1-1453480-4" u="1"/>
        <s v="1-1453680-3" u="1"/>
        <s v="1-1457673-4" u="1"/>
        <s v="1-1501765-3" u="1"/>
        <s v="1-1505758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2-1450086-2" u="1"/>
        <s v="1-1445781-3" u="1"/>
        <s v="1-1465980-2" u="1"/>
        <s v="1-1469973-3" u="1"/>
        <s v="1-1502110-1" u="1"/>
        <s v="10-1506239-2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-1505858-4" u="1"/>
        <s v="1-1431549-2" u="1"/>
        <s v="1-1432901-2" u="1"/>
        <s v="1-1436802-3" u="1"/>
        <s v="1-1467880-7" u="1"/>
        <s v="1-1475372-2" u="1"/>
        <s v="1-1476400-5" u="1"/>
        <s v="1-1503458-2" u="1"/>
        <s v="1-1507483-1" u="1"/>
        <s v="1-1508711-3" u="1"/>
        <s v="1-1469873-4" u="1"/>
        <s v="1-1481454-6" u="1"/>
        <s v="1-1506003-3" u="1"/>
        <s v="1-1440900-2" u="1"/>
        <s v="1-1443373-2" u="1"/>
        <s v="1-1447274-3" u="1"/>
        <s v="1-1463448-3" u="1"/>
        <s v="1-1463648-2" u="1"/>
        <s v="1-1464800-3" u="1"/>
        <s v="1-1464997-11" u="1"/>
        <s v="1-1505990-2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507183-3" u="1"/>
        <s v="1-1507659-2" u="1"/>
        <s v="12-1506815-3" u="1"/>
        <s v="1-1469973-4" u="1"/>
        <s v="1-1493039-2" u="1"/>
        <s v="1-1506103-3" u="1"/>
        <s v="1-1506211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503458-3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-1507583-2" u="1"/>
        <s v="10-1442139-3" u="1"/>
        <s v="1-1430401-2" u="1"/>
        <s v="1-1469973-5" u="1"/>
        <s v="1-1502310-2" u="1"/>
        <s v="1-1506411-2" u="1"/>
        <s v="1-1506503-2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0-1489222-2" u="1"/>
        <s v="1-1436802-5" u="1"/>
        <s v="1-1439967-2" u="1"/>
        <s v="1-1471947-2" u="1"/>
        <s v="1-1479965-2" u="1"/>
        <s v="1-1491946-2" u="1"/>
        <s v="1-1495771-2" u="1"/>
        <s v="1-1503458-4" u="1"/>
        <s v="1-1503858-2" u="1"/>
        <s v="1-1507559-4" u="1"/>
        <s v="1-1507683-2" u="1"/>
        <s v="12-1491604-1" u="1"/>
        <s v="1-1481454-8" u="1"/>
        <s v="1-1506003-5" u="1"/>
        <s v="1-1506603-2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-1507783-2" u="1"/>
        <s v="1-1507859-3" u="1"/>
        <s v="10-1484153-2" u="1"/>
        <s v="1-1437067-3" u="1"/>
        <s v="1-1469973-6" u="1"/>
        <s v="1-1473072-2" u="1"/>
        <s v="1-1485747-8" u="1"/>
        <s v="1-1493071-2" u="1"/>
        <s v="1-1493639-1" u="1"/>
        <s v="1-1502510-2" u="1"/>
        <s v="1-1494340-15" u="1"/>
        <s v="12-1502830-2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-1503458-5" u="1"/>
        <s v="12-1455138-3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502710-2" u="1"/>
        <s v="1-1506811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-1431949-4" u="1"/>
        <s v="1-1468210-2" u="1"/>
        <s v="1-1437367-3" u="1"/>
        <s v="1-1493171-3" u="1"/>
        <s v="1-1493371-2" u="1"/>
        <s v="1-1497564-2" u="1"/>
        <s v="12-1438144-21" u="1"/>
        <s v="1-1444801-7" u="1"/>
        <s v="1-1475057-1" u="1"/>
        <s v="1-1483971-3" u="1"/>
        <s v="12-1502889-2" u="1"/>
        <s v="1-1462400-5" u="1"/>
        <s v="1-1469666-2" u="1"/>
        <s v="1-1489665-2" u="1"/>
        <s v="1-1455015-12" u="1"/>
        <s v="1-1431881-3" u="1"/>
        <s v="1-1448311-2" u="1"/>
        <s v="1-1468310-2" u="1"/>
        <s v="1-1491246-8" u="1"/>
        <s v="1-1503790-3" u="1"/>
        <s v="12-1458338-2" u="1"/>
        <s v="1-1453473-2" u="1"/>
        <s v="1-1453673-1" u="1"/>
        <s v="1-1502910-2" u="1"/>
        <s v="12-1432086-2" u="1"/>
        <s v="12-1507842-2" u="1"/>
        <s v="1-1435159-1" u="1"/>
        <s v="1-1455158-1" u="1"/>
        <s v="1-1500110-2" u="1"/>
        <s v="1-1504303-2" u="1"/>
        <s v="1-1441473-2" u="1"/>
        <s v="1-1449767-2" u="1"/>
        <s v="1-1461072-4" u="1"/>
        <s v="1-1465465-3" u="1"/>
        <s v="1-1469658-3" u="1"/>
        <s v="1-1481639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501658-2" u="1"/>
        <s v="10-1463085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501282-3" u="1"/>
        <s v="1-1505383-3" u="1"/>
        <s v="1-1505583-2" u="1"/>
        <s v="1-1475065-2" u="1"/>
        <s v="1-1479258-2" u="1"/>
        <s v="1-1491239-2" u="1"/>
        <s v="1-1495064-2" u="1"/>
        <s v="1-1500402-2" u="1"/>
        <s v="1-1507068-2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-1505483-3" u="1"/>
        <s v="12-1455269-2" u="1"/>
        <s v="1-1459191-1" u="1"/>
        <s v="1-1479358-2" u="1"/>
        <s v="1-1500502-2" u="1"/>
        <s v="1-1507076-2" u="1"/>
        <s v="1-1508412-3" u="1"/>
        <s v="1-1508704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505983-1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504703-2" u="1"/>
        <s v="1-1507176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507276-2" u="1"/>
        <s v="1-1469666-5" u="1"/>
        <s v="1-1467558-2" u="1"/>
        <s v="1-1468910-2" u="1"/>
        <s v="10-1435743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508712-3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504803-3" u="1"/>
        <s v="1-1508920-2" u="1"/>
        <s v="12-1508681-2" u="1"/>
        <s v="1-1434211-2" u="1"/>
        <s v="1-1454210-2" u="1"/>
        <s v="1-1469666-6" u="1"/>
        <s v="1-1497049-2" u="1"/>
        <s v="1-1447591-1" u="1"/>
        <s v="1-1463765-1" u="1"/>
        <s v="1-1446111-3" u="1"/>
        <s v="1-1446311-2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507576-2" u="1"/>
        <s v="1-1507668-2" u="1"/>
        <s v="12-1506921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-1507676-2" u="1"/>
        <s v="12-1430141-2" u="1"/>
        <s v="12-1501944-2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503675-2" u="1"/>
        <s v="1-1507868-2" u="1"/>
        <s v="1-1469890-5" u="1"/>
        <s v="1-1469966-6" u="1"/>
        <s v="1-1493156-2" u="1"/>
        <s v="1-1497549-1" u="1"/>
        <s v="1-1506420-2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-1500702-5" u="1"/>
        <s v="1-1503575-3" u="1"/>
        <s v="1-1507876-2" u="1"/>
        <s v="1-1437084-2" u="1"/>
        <s v="1-1457159-3" u="1"/>
        <s v="1-1458711-2" u="1"/>
        <s v="1-1497449-2" u="1"/>
        <s v="1-1502603-2" u="1"/>
        <s v="1-1505168-2" u="1"/>
        <s v="1-1436004-2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503875-2" u="1"/>
        <s v="1-1507776-3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505268-2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0-1499799-3" u="1"/>
        <s v="1-1435567-5" u="1"/>
        <s v="1-1448204-2" u="1"/>
        <s v="1-1455890-2" u="1"/>
        <s v="1-1468203-2" u="1"/>
        <s v="1-1488202-2" u="1"/>
        <s v="1-1500702-6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508221-1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-1454910-2" u="1"/>
        <s v="1-1457659-2" u="1"/>
        <s v="1-1469966-8" u="1"/>
        <s v="1-1478810-3" u="1"/>
        <s v="1-1497657-2" u="1"/>
        <s v="1-1497749-2" u="1"/>
        <s v="1-1505468-2" u="1"/>
        <s v="1-1506820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507876-4" u="1"/>
        <s v="1-1433859-1" u="1"/>
        <s v="1-1453090-3" u="1"/>
        <s v="1-1453290-2" u="1"/>
        <s v="1-1457559-3" u="1"/>
        <s v="1-1505168-4" u="1"/>
        <s v="1-1436204-3" u="1"/>
        <s v="1-1467990-3" u="1"/>
        <s v="1-1496401-2" u="1"/>
        <s v="1-1504120-2" u="1"/>
        <s v="1-1508221-2" u="1"/>
        <s v="10-1507128-3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-1501475-2" u="1"/>
        <s v="1-1505576-2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-1437884-1" u="1"/>
        <s v="1-1457759-3" u="1"/>
        <s v="1-1493856-2" u="1"/>
        <s v="1-1497957-2" u="1"/>
        <s v="1-1505168-5" u="1"/>
        <s v="1-1505676-2" u="1"/>
        <s v="1-1505768-2" u="1"/>
        <s v="1-1506720-4" u="1"/>
        <s v="1-1506920-3" u="1"/>
        <s v="1-1431059-2" u="1"/>
        <s v="1-1447991-4" u="1"/>
        <s v="1-1452210-3" u="1"/>
        <s v="1-1456603-2" u="1"/>
        <s v="1-1467990-4" u="1"/>
        <s v="1-1479075-2" u="1"/>
        <s v="1-1507069-2" u="1"/>
        <s v="1-1508221-3" u="1"/>
        <s v="1-1508605-2" u="1"/>
        <s v="1-1508713-1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505668-3" u="1"/>
        <s v="1-1505868-2" u="1"/>
        <s v="1-1432711-1" u="1"/>
        <s v="1-1455183-1" u="1"/>
        <s v="1-1456411-3" u="1"/>
        <s v="1-1467690-6" u="1"/>
        <s v="1-1503068-2" u="1"/>
        <s v="1-1507169-2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505876-2" u="1"/>
        <s v="1-1431259-2" u="1"/>
        <s v="1-1435084-2" u="1"/>
        <s v="1-1452210-4" u="1"/>
        <s v="1-1452610-2" u="1"/>
        <s v="1-1456311-4" u="1"/>
        <s v="1-1467990-5" u="1"/>
        <s v="1-1471257-2" u="1"/>
        <s v="1-1499274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65690-3" u="1"/>
        <s v="1-1465890-2" u="1"/>
        <s v="1-1494101-2" u="1"/>
        <s v="1-1435567-9" u="1"/>
        <s v="1-1483549-2" u="1"/>
        <s v="1-1462010-2" u="1"/>
        <s v="1-1482101-2" u="1"/>
        <s v="1-1501975-2" u="1"/>
        <s v="10-143098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503168-3" u="1"/>
        <s v="1-1507193-2" u="1"/>
        <s v="1-1508621-3" u="1"/>
        <s v="1-1474002-3" u="1"/>
        <s v="1-1506021-2" u="1"/>
        <s v="1-1506113-2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-1506213-2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-1465990-3" u="1"/>
        <s v="1-1474002-4" u="1"/>
        <s v="1-1474602-1" u="1"/>
        <s v="1-1494401-2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-1503468-3" u="1"/>
        <s v="1-1503668-2" u="1"/>
        <s v="12-1451254-2" u="1"/>
        <s v="13-1473105-2" u="1"/>
        <s v="1-1474502-2" u="1"/>
        <s v="1-1494501-2" u="1"/>
        <s v="1-1506521-1" u="1"/>
        <s v="10-1508143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99874-2" u="1"/>
        <s v="1-1504920-3" u="1"/>
        <s v="1-1507669-3" u="1"/>
        <s v="1-1507793-1" u="1"/>
        <s v="1-1430411-2" u="1"/>
        <s v="1-1434604-2" u="1"/>
        <s v="1-1454603-2" u="1"/>
        <s v="1-1457076-2" u="1"/>
        <s v="1-1474002-5" u="1"/>
        <s v="1-1493249-2" u="1"/>
        <s v="1-1506221-3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508921-4" u="1"/>
        <s v="1-1437177-2" u="1"/>
        <s v="1-1454903-1" u="1"/>
        <s v="1-1494701-2" u="1"/>
        <s v="1-1502420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506812-9" u="1"/>
        <s v="1-1439877-3" u="1"/>
        <s v="1-1451690-2" u="1"/>
        <s v="1-1455283-5" u="1"/>
        <s v="1-1464003-2" u="1"/>
        <s v="1-1471657-4" u="1"/>
        <s v="1-1503968-2" u="1"/>
        <s v="1-1507885-2" u="1"/>
        <s v="12-1454054-3" u="1"/>
        <s v="12-1455266-2" u="1"/>
        <s v="1-1457076-3" u="1"/>
        <s v="1-1457276-2" u="1"/>
        <s v="1-1473082-2" u="1"/>
        <s v="1-1474002-6" u="1"/>
        <s v="1-1474802-2" u="1"/>
        <s v="1-1502720-1" u="1"/>
        <s v="1-1440810-5" u="1"/>
        <s v="1-1447984-2" u="1"/>
        <s v="1-1467983-2" u="1"/>
        <s v="1-1483881-2" u="1"/>
        <s v="1-1502701-20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501875-6" u="1"/>
        <s v="1-1451358-6" u="1"/>
        <s v="1-1455983-2" u="1"/>
        <s v="1-1495581-4" u="1"/>
        <s v="1-1507693-3" u="1"/>
        <s v="10-1465254-2" u="1"/>
        <s v="1-1441790-6" u="1"/>
        <s v="1-1454503-4" u="1"/>
        <s v="1-1454903-2" u="1"/>
        <s v="1-1493181-2" u="1"/>
        <s v="1-1493549-2" u="1"/>
        <s v="1-1501068-3" u="1"/>
        <s v="1-1505093-2" u="1"/>
        <s v="1-1432104-2" u="1"/>
        <s v="1-1492101-2" u="1"/>
        <s v="1-1500112-1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2-1499184-2" u="1"/>
        <s v="1-1430911-2" u="1"/>
        <s v="1-1433384-2" u="1"/>
        <s v="1-1433476-2" u="1"/>
        <s v="1-1454903-3" u="1"/>
        <s v="1-1470606-26" u="1"/>
        <s v="1-1420911-6" u="1"/>
        <s v="1-1452303-2" u="1"/>
        <s v="1-1487282-7" u="1"/>
        <s v="1-1499167-1" u="1"/>
        <s v="1-1504213-2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504313-2" u="1"/>
        <s v="1-1504118-16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51358-8" u="1"/>
        <s v="1-1460402-2" u="1"/>
        <s v="1-1467068-2" u="1"/>
        <s v="1-1480401-2" u="1"/>
        <s v="1-1495581-6" u="1"/>
        <s v="1-1454903-4" u="1"/>
        <s v="1-1473582-2" u="1"/>
        <s v="1-1470606-36" u="1"/>
        <s v="13-1455037-2" u="1"/>
        <s v="1-1452503-2" u="1"/>
        <s v="1-1472702-1" u="1"/>
        <s v="1-1475067-2" u="1"/>
        <s v="1-1495066-2" u="1"/>
        <s v="1-1500020-3" u="1"/>
        <s v="1-1508422-2" u="1"/>
        <s v="1-1508714-1" u="1"/>
        <s v="1-1508806-1" u="1"/>
        <s v="1-1501717-22" u="1"/>
        <s v="1-1433891-8" u="1"/>
        <s v="1-1462502-6" u="1"/>
        <s v="1-1481949-2" u="1"/>
        <s v="1-1485374-4" u="1"/>
        <s v="1-1485574-3" u="1"/>
        <s v="1-1485774-2" u="1"/>
        <s v="10-1502257-2" u="1"/>
        <s v="1-1440503-2" u="1"/>
        <s v="1-1460702-1" u="1"/>
        <s v="1-1453483-3" u="1"/>
        <s v="1-1453575-3" u="1"/>
        <s v="1-1473682-2" u="1"/>
        <s v="1-1493849-3" u="1"/>
        <s v="1-1497674-3" u="1"/>
        <s v="1-1505393-3" u="1"/>
        <s v="1-1505485-3" u="1"/>
        <s v="1-1505685-2" u="1"/>
        <s v="1-1467183-9" u="1"/>
        <s v="1-1467983-5" u="1"/>
        <s v="1-1491049-3" u="1"/>
        <s v="1-1492001-5" u="1"/>
        <s v="1-1508706-2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7268-2" u="1"/>
        <s v="1-1430711-5" u="1"/>
        <s v="1-1446021-1" u="1"/>
        <s v="1-1493781-2" u="1"/>
        <s v="1-1497974-2" u="1"/>
        <s v="1-1501868-2" u="1"/>
        <s v="1-1435469-1" u="1"/>
        <s v="1-1439094-2" u="1"/>
        <s v="1-1452703-2" u="1"/>
        <s v="1-1471074-2" u="1"/>
        <s v="1-1491073-2" u="1"/>
        <s v="1-1491349-2" u="1"/>
        <s v="1-1500420-2" u="1"/>
        <s v="1-1504613-2" u="1"/>
        <s v="1-1504813-1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-1453683-3" u="1"/>
        <s v="1-1501492-3" u="1"/>
        <s v="1-1501692-2" u="1"/>
        <s v="1-1501968-2" u="1"/>
        <s v="1-1505885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507186-2" u="1"/>
        <s v="1-1507278-2" u="1"/>
        <s v="1-1508430-3" u="1"/>
        <s v="1-1441883-2" u="1"/>
        <s v="1-1469976-3" u="1"/>
        <s v="1-1480801-2" u="1"/>
        <s v="1-1483274-2" u="1"/>
        <s v="1-1433984-2" u="1"/>
        <s v="1-1453983-2" u="1"/>
        <s v="1-1457776-4" u="1"/>
        <s v="1-1473982-2" u="1"/>
        <s v="1-1501792-2" u="1"/>
        <s v="1-1452903-2" u="1"/>
        <s v="1-1455468-2" u="1"/>
        <s v="1-1459293-2" u="1"/>
        <s v="1-1491749-1" u="1"/>
        <s v="1-1499091-3" u="1"/>
        <s v="1-1499291-2" u="1"/>
        <s v="1-1500712-2" u="1"/>
        <s v="1-1503185-2" u="1"/>
        <s v="1-1507286-2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502105-2" u="1"/>
        <s v="1-1506006-3" u="1"/>
        <s v="1-1506206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-1505993-2" u="1"/>
        <s v="10-1487448-2" u="1"/>
        <s v="12-1482899-3" u="1"/>
        <s v="1-1435569-2" u="1"/>
        <s v="1-1439394-2" u="1"/>
        <s v="1-1491373-2" u="1"/>
        <s v="1-1499467-3" u="1"/>
        <s v="1-1507478-2" u="1"/>
        <s v="1-1438222-2" u="1"/>
        <s v="1-1450403-1" u="1"/>
        <s v="1-1454120-2" u="1"/>
        <s v="1-1469976-4" u="1"/>
        <s v="1-1489775-5" u="1"/>
        <s v="1-1490201-2" u="1"/>
        <s v="1-1502113-2" u="1"/>
        <s v="1-1502205-2" u="1"/>
        <s v="1-1506030-2" u="1"/>
        <s v="1-1506106-3" u="1"/>
        <s v="1-1506306-2" u="1"/>
        <s v="1-1453875-4" u="1"/>
        <s v="1-1493981-3" u="1"/>
        <s v="1-1501992-2" u="1"/>
        <s v="1-1505893-3" u="1"/>
        <s v="10-1489368-2" u="1"/>
        <s v="12-1480171-6" u="1"/>
        <s v="12-1497435-2" u="1"/>
        <s v="1-1455468-3" u="1"/>
        <s v="1-1471674-1" u="1"/>
        <s v="1-1495666-2" u="1"/>
        <s v="1-1499291-3" u="1"/>
        <s v="1-1503385-2" u="1"/>
        <s v="1-1507486-2" u="1"/>
        <s v="1-1508730-3" u="1"/>
        <s v="1-1501717-52" u="1"/>
        <s v="1-1430304-2" u="1"/>
        <s v="1-1485374-7" u="1"/>
        <s v="1-1502305-2" u="1"/>
        <s v="1-1502413-1" u="1"/>
        <s v="1-1445845-19" u="1"/>
        <s v="1-1443376-3" u="1"/>
        <s v="1-1447769-2" u="1"/>
        <s v="1-1463575-2" u="1"/>
        <s v="1-1487567-3" u="1"/>
        <s v="1-1453683-5" u="1"/>
        <s v="1-1497674-6" u="1"/>
        <s v="10-1491971-2" u="1"/>
        <s v="1-1435369-4" u="1"/>
        <s v="1-1435677-2" u="1"/>
        <s v="1-1455568-3" u="1"/>
        <s v="1-1479592-2" u="1"/>
        <s v="1-1479668-3" u="1"/>
        <s v="1-1507586-2" u="1"/>
        <s v="1-1507678-2" u="1"/>
        <s v="1-1441883-4" u="1"/>
        <s v="1-1469976-5" u="1"/>
        <s v="1-1489775-6" u="1"/>
        <s v="1-1490401-2" u="1"/>
        <s v="1-1506230-2" u="1"/>
        <s v="1-1443676-2" u="1"/>
        <s v="1-1463875-1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-1499767-3" u="1"/>
        <s v="1-1501717-62" u="1"/>
        <s v="1-1433069-2" u="1"/>
        <s v="1-1434421-2" u="1"/>
        <s v="1-1454220-3" u="1"/>
        <s v="1-1497167-2" u="1"/>
        <s v="1-1502505-2" u="1"/>
        <s v="1-1443376-4" u="1"/>
        <s v="1-1447969-2" u="1"/>
        <s v="1-1487567-4" u="1"/>
        <s v="1-1445169-2" u="1"/>
        <s v="1-1453683-6" u="1"/>
        <s v="1-1497674-7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505278-1" u="1"/>
        <s v="1-1506706-2" u="1"/>
        <s v="1-1459990-10" u="1"/>
        <s v="1-1506255-15" u="1"/>
        <s v="1-1443676-3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507686-3" u="1"/>
        <s v="1-1507778-3" u="1"/>
        <s v="1-1433269-2" u="1"/>
        <s v="1-1457169-3" u="1"/>
        <s v="1-1458721-2" u="1"/>
        <s v="1-1462810-9" u="1"/>
        <s v="1-1473267-2" u="1"/>
        <s v="1-1490701-2" u="1"/>
        <s v="1-1502613-2" u="1"/>
        <s v="1-1505086-2" u="1"/>
        <s v="1-1506530-2" u="1"/>
        <s v="1-1443376-5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-1507586-4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502605-3" u="1"/>
        <s v="1-1443676-4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99767-5" u="1"/>
        <s v="1-1503985-2" u="1"/>
        <s v="1-1481503-13" u="1"/>
        <s v="1-1430904-2" u="1"/>
        <s v="1-1433469-2" u="1"/>
        <s v="1-1453468-2" u="1"/>
        <s v="1-1457369-3" u="1"/>
        <s v="1-1457569-2" u="1"/>
        <s v="1-1490901-2" u="1"/>
        <s v="1-1505286-2" u="1"/>
        <s v="1-1436014-3" u="1"/>
        <s v="1-1508123-2" u="1"/>
        <s v="1-1437747-11" u="1"/>
        <s v="1-1441468-2" u="1"/>
        <s v="1-1453683-8" u="1"/>
        <s v="1-1465568-2" u="1"/>
        <s v="1-1469193-3" u="1"/>
        <s v="1-1481374-2" u="1"/>
        <s v="1-1485567-2" u="1"/>
        <s v="1-1497674-9" u="1"/>
        <s v="1-1448314-2" u="1"/>
        <s v="1-1451975-3" u="1"/>
        <s v="1-1464120-2" u="1"/>
        <s v="1-1499791-4" u="1"/>
        <s v="1-1441883-7" u="1"/>
        <s v="1-1457193-3" u="1"/>
        <s v="1-1493566-2" u="1"/>
        <s v="1-1497191-3" u="1"/>
        <s v="1-1502913-2" u="1"/>
        <s v="1-1432121-2" u="1"/>
        <s v="1-1443676-5" u="1"/>
        <s v="1-1452120-2" u="1"/>
        <s v="1-1496311-2" u="1"/>
        <s v="1-1504030-2" u="1"/>
        <s v="1-1508407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-1454620-4" u="1"/>
        <s v="1-1454820-3" u="1"/>
        <s v="1-1457769-2" u="1"/>
        <s v="1-1458521-5" u="1"/>
        <s v="1-1493666-2" u="1"/>
        <s v="1-1497491-2" u="1"/>
        <s v="1-1497859-2" u="1"/>
        <s v="1-1505578-2" u="1"/>
        <s v="1-1506930-2" u="1"/>
        <s v="12-1507428-6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-1499991-4" u="1"/>
        <s v="13-1443824-2" u="1"/>
        <s v="1-1457393-3" u="1"/>
        <s v="1-1457669-3" u="1"/>
        <s v="1-1458221-7" u="1"/>
        <s v="1-1473767-2" u="1"/>
        <s v="1-1497591-2" u="1"/>
        <s v="1-1497959-2" u="1"/>
        <s v="1-1505586-2" u="1"/>
        <s v="1-1505678-2" u="1"/>
        <s v="10-1441172-2" u="1"/>
        <s v="1-1432321-2" u="1"/>
        <s v="1-1443676-6" u="1"/>
        <s v="1-1452320-2" u="1"/>
        <s v="1-1476512-2" u="1"/>
        <s v="1-1504230-2" u="1"/>
        <s v="1-1508607-2" u="1"/>
        <s v="1-1508715-1" u="1"/>
        <s v="1-1508807-1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433869-2" u="1"/>
        <s v="1-1437494-3" u="1"/>
        <s v="1-1493866-2" u="1"/>
        <s v="1-1505486-3" u="1"/>
        <s v="1-1505686-2" u="1"/>
        <s v="1-1505778-2" u="1"/>
        <s v="1-1431069-2" u="1"/>
        <s v="1-1432421-2" u="1"/>
        <s v="1-1435094-1" u="1"/>
        <s v="1-1471067-2" u="1"/>
        <s v="1-1476612-2" u="1"/>
        <s v="1-1496611-2" u="1"/>
        <s v="1-1500705-1" u="1"/>
        <s v="1-1504330-2" u="1"/>
        <s v="1-1508431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99991-5" u="1"/>
        <s v="1-1507586-7" u="1"/>
        <s v="1-1458221-8" u="1"/>
        <s v="1-1501685-2" u="1"/>
        <s v="1-1505878-2" u="1"/>
        <s v="1-1487281-10" u="1"/>
        <s v="1-1451168-2" u="1"/>
        <s v="1-1456713-2" u="1"/>
        <s v="1-1495359-2" u="1"/>
        <s v="1-1496511-3" u="1"/>
        <s v="1-1508623-2" u="1"/>
        <s v="10-1507300-2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-1505886-2" u="1"/>
        <s v="12-1432608-2" u="1"/>
        <s v="1-1456613-3" u="1"/>
        <s v="1-1459486-1" u="1"/>
        <s v="1-1475292-1" u="1"/>
        <s v="1-1495259-3" u="1"/>
        <s v="1-1504530-2" u="1"/>
        <s v="1-1508707-3" u="1"/>
        <s v="1-1429995-2" u="1"/>
        <s v="1-1449994-2" u="1"/>
        <s v="1-1454013-2" u="1"/>
        <s v="1-1469993-2" u="1"/>
        <s v="1-1489792-3" u="1"/>
        <s v="1-1506123-1" u="1"/>
        <s v="1-1448914-2" u="1"/>
        <s v="1-1464720-2" u="1"/>
        <s v="1-1479668-9" u="1"/>
        <s v="1-1487192-2" u="1"/>
        <s v="1-1488912-2" u="1"/>
        <s v="1-1457669-5" u="1"/>
        <s v="1-1458221-9" u="1"/>
        <s v="1-1486112-2" u="1"/>
        <s v="1-1505078-7" u="1"/>
        <s v="11-1431756-2" u="1"/>
        <s v="1-1432721-2" u="1"/>
        <s v="1-1455193-2" u="1"/>
        <s v="1-1495191-2" u="1"/>
        <s v="1-1495559-2" u="1"/>
        <s v="1-1504630-2" u="1"/>
        <s v="1-1508331-4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0-1464607-2" u="1"/>
        <s v="1-1436814-3" u="1"/>
        <s v="1-1452620-3" u="1"/>
        <s v="1-1471467-2" u="1"/>
        <s v="1-1476812-3" u="1"/>
        <s v="1-1491266-3" u="1"/>
        <s v="1-1496811-3" u="1"/>
        <s v="1-1500905-2" u="1"/>
        <s v="1-1504730-2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507586-9" u="1"/>
        <s v="1-1442321-1" u="1"/>
        <s v="1-1462120-2" u="1"/>
        <s v="1-1462412-1" u="1"/>
        <s v="1-1466513-1" u="1"/>
        <s v="1-1482211-2" u="1"/>
        <s v="1-1452920-2" u="1"/>
        <s v="1-1491166-4" u="1"/>
        <s v="1-1503478-2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504730-3" u="1"/>
        <s v="1-1474012-4" u="1"/>
        <s v="1-1478405-3" u="1"/>
        <s v="1-1489792-5" u="1"/>
        <s v="1-1494411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99784-2" u="1"/>
        <s v="1-1503478-3" u="1"/>
        <s v="1-1434514-2" u="1"/>
        <s v="1-1458706-2" u="1"/>
        <s v="1-1478705-2" u="1"/>
        <s v="1-1481966-5" u="1"/>
        <s v="1-1493159-2" u="1"/>
        <s v="1-1498704-2" u="1"/>
        <s v="1-1506423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51868-2" u="1"/>
        <s v="1-1468006-2" u="1"/>
        <s v="1-1488005-2" u="1"/>
        <s v="1-1503778-2" u="1"/>
        <s v="1-1507679-3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503478-4" u="1"/>
        <s v="1-1507779-3" u="1"/>
        <s v="1-1485649-10" u="1"/>
        <s v="1-1437387-1" u="1"/>
        <s v="1-1457186-2" u="1"/>
        <s v="1-1474712-2" u="1"/>
        <s v="1-1494711-2" u="1"/>
        <s v="1-1497384-1" u="1"/>
        <s v="1-1498704-3" u="1"/>
        <s v="1-1502430-2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-1504730-5" u="1"/>
        <s v="1-1504806-6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-1457386-2" u="1"/>
        <s v="1-1473284-2" u="1"/>
        <s v="1-1481966-7" u="1"/>
        <s v="1-1493283-2" u="1"/>
        <s v="1-1498704-4" u="1"/>
        <s v="1-1502630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502730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-1504730-7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-1502730-3" u="1"/>
        <s v="1-1505295-3" u="1"/>
        <s v="10-1461549-2" u="1"/>
        <s v="10-1482468-2" u="1"/>
        <s v="1-1432014-4" u="1"/>
        <s v="1-1440820-7" u="1"/>
        <s v="1-1479078-2" u="1"/>
        <s v="1-1491059-2" u="1"/>
        <s v="1-1492011-4" u="1"/>
        <s v="1-1499277-1" u="1"/>
        <s v="1-1504323-2" u="1"/>
        <s v="12-1502893-2" u="1"/>
        <s v="12-1503889-3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507979-5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501878-1" u="1"/>
        <s v="1-1505395-3" u="1"/>
        <s v="1-1505595-2" u="1"/>
        <s v="1-1432314-3" u="1"/>
        <s v="1-1455078-2" u="1"/>
        <s v="1-1467893-5" u="1"/>
        <s v="1-1467985-5" u="1"/>
        <s v="1-1476505-3" u="1"/>
        <s v="1-1492511-2" u="1"/>
        <s v="1-1500230-2" u="1"/>
        <s v="1-1508616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0-1501529-2" u="1"/>
        <s v="1-1463185-1" u="1"/>
        <s v="1-1464705-2" u="1"/>
        <s v="1-1468006-6" u="1"/>
        <s v="1-1468406-4" u="1"/>
        <s v="1-1468806-2" u="1"/>
        <s v="1-1504730-8" u="1"/>
        <s v="1-1504806-9" u="1"/>
        <s v="1-1473584-3" u="1"/>
        <s v="1-1493691-2" u="1"/>
        <s v="1-1493783-2" u="1"/>
        <s v="1-1493891-1" u="1"/>
        <s v="1-1497884-2" u="1"/>
        <s v="1-1502730-4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504123-4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505995-1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507188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502730-5" u="1"/>
        <s v="1-1505895-2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500822-1" u="1"/>
        <s v="1-1503295-1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35544-12" u="1"/>
        <s v="10-1507277-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507488-2" u="1"/>
        <s v="1-1429988-4" u="1"/>
        <s v="1-1434407-2" u="1"/>
        <s v="1-1438232-2" u="1"/>
        <s v="1-1485684-5" u="1"/>
        <s v="1-1489985-4" u="1"/>
        <s v="1-1494604-1" u="1"/>
        <s v="1-1502123-2" u="1"/>
        <s v="1-1451362-21" u="1"/>
        <s v="1-1440813-3" u="1"/>
        <s v="1-1483084-4" u="1"/>
        <s v="1-1442406-2" u="1"/>
        <s v="1-1453685-5" u="1"/>
        <s v="1-1462405-2" u="1"/>
        <s v="1-1473992-3" u="1"/>
        <s v="1-1455278-4" u="1"/>
        <s v="1-1475677-2" u="1"/>
        <s v="1-1475785-1" u="1"/>
        <s v="1-1491483-2" u="1"/>
        <s v="1-1496704-5" u="1"/>
        <s v="1-1430406-2" u="1"/>
        <s v="1-1434231-2" u="1"/>
        <s v="1-1485184-8" u="1"/>
        <s v="1-1489377-8" u="1"/>
        <s v="1-1489685-6" u="1"/>
        <s v="1-1490403-2" u="1"/>
        <s v="1-1502423-1" u="1"/>
        <s v="1-1467778-2" u="1"/>
        <s v="1-1468006-9" u="1"/>
        <s v="1-1487777-2" u="1"/>
        <s v="1-1462505-2" u="1"/>
        <s v="1-1473584-6" u="1"/>
        <s v="1-1482504-2" u="1"/>
        <s v="1-1455178-5" u="1"/>
        <s v="1-1455286-4" u="1"/>
        <s v="1-1459879-2" u="1"/>
        <s v="1-1479478-4" u="1"/>
        <s v="1-1495776-2" u="1"/>
        <s v="1-1499877-2" u="1"/>
        <s v="1-1429988-5" u="1"/>
        <s v="1-1430506-2" u="1"/>
        <s v="1-1434607-2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507696-2" u="1"/>
        <s v="1-1433079-2" u="1"/>
        <s v="1-1434431-2" u="1"/>
        <s v="1-1434707-2" u="1"/>
        <s v="1-1470604-2" u="1"/>
        <s v="1-1474705-2" u="1"/>
        <s v="1-1478530-2" u="1"/>
        <s v="1-1494704-2" u="1"/>
        <s v="1-1497269-2" u="1"/>
        <s v="1-1455763-21" u="1"/>
        <s v="1-1447979-2" u="1"/>
        <s v="1-1463985-1" u="1"/>
        <s v="1-1467978-2" u="1"/>
        <s v="1-1487977-2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507688-3" u="1"/>
        <s v="1-1507888-2" u="1"/>
        <s v="1-1508224-8" u="1"/>
        <s v="1-1429988-6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502615-2" u="1"/>
        <s v="1-1502723-1" u="1"/>
        <s v="1-1505088-2" u="1"/>
        <s v="1-1506716-2" u="1"/>
        <s v="1-1463885-2" u="1"/>
        <s v="1-1483084-6" u="1"/>
        <s v="1-1500015-1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-1507296-5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502715-2" u="1"/>
        <s v="1-1502915-1" u="1"/>
        <s v="1-1506816-2" u="1"/>
        <s v="1-1467978-3" u="1"/>
        <s v="1-1504108-2" u="1"/>
        <s v="1-1445179-3" u="1"/>
        <s v="1-1461185-2" u="1"/>
        <s v="1-1461477-1" u="1"/>
        <s v="1-1462705-3" u="1"/>
        <s v="1-1465578-1" u="1"/>
        <s v="1-1466730-2" u="1"/>
        <s v="1-1482904-2" u="1"/>
        <s v="1-1451785-3" u="1"/>
        <s v="1-1455178-7" u="1"/>
        <s v="1-1479478-6" u="1"/>
        <s v="1-1503695-3" u="1"/>
        <s v="1-1507996-2" u="1"/>
        <s v="1-1451362-19" u="1"/>
        <s v="1-1429988-7" u="1"/>
        <s v="1-1430906-2" u="1"/>
        <s v="1-1438832-2" u="1"/>
        <s v="1-1454206-6" u="1"/>
        <s v="1-1457479-2" u="1"/>
        <s v="1-1485684-8" u="1"/>
        <s v="1-1490903-2" u="1"/>
        <s v="1-1493576-1" u="1"/>
        <s v="1-1505288-2" u="1"/>
        <s v="1-1506916-2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-1450605-4" u="1"/>
        <s v="1-1453478-2" u="1"/>
        <s v="1-1470804-3" u="1"/>
        <s v="1-1474705-4" u="1"/>
        <s v="1-1489685-9" u="1"/>
        <s v="1-1490803-3" u="1"/>
        <s v="1-1502915-2" u="1"/>
        <s v="1-1505388-2" u="1"/>
        <s v="12-1435918-10" u="1"/>
        <s v="1-1456023-3" u="1"/>
        <s v="1-1467978-4" u="1"/>
        <s v="1-1496221-2" u="1"/>
        <s v="1-1496421-1" u="1"/>
        <s v="1-1500115-2" u="1"/>
        <s v="1-1504108-3" u="1"/>
        <s v="1-1508041-2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3578-2" u="1"/>
        <s v="1-1454206-7" u="1"/>
        <s v="1-1473577-2" u="1"/>
        <s v="1-1485684-9" u="1"/>
        <s v="1-1490903-3" u="1"/>
        <s v="1-1497677-2" u="1"/>
        <s v="1-1506640-3" u="1"/>
        <s v="1-1456323-2" u="1"/>
        <s v="1-1483084-8" u="1"/>
        <s v="1-1508141-2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74705-5" u="1"/>
        <s v="1-1497577-3" u="1"/>
        <s v="1-1497669-3" u="1"/>
        <s v="1-1497777-2" u="1"/>
        <s v="1-1506940-2" u="1"/>
        <s v="1-1423987-4" u="1"/>
        <s v="1-1432031-3" u="1"/>
        <s v="1-1467978-5" u="1"/>
        <s v="1-1500115-3" u="1"/>
        <s v="1-1504108-4" u="1"/>
        <s v="1-1504508-2" u="1"/>
        <s v="1-1508517-2" u="1"/>
        <s v="10-1507128-4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3977-1" u="1"/>
        <s v="1-1490903-4" u="1"/>
        <s v="1-1497877-2" u="1"/>
        <s v="1-1501495-2" u="1"/>
        <s v="1-1505488-3" u="1"/>
        <s v="1-1505596-2" u="1"/>
        <s v="1-1505688-2" u="1"/>
        <s v="1-1436524-2" u="1"/>
        <s v="1-1452330-2" u="1"/>
        <s v="1-1464805-9" u="1"/>
        <s v="1-1500415-2" u="1"/>
        <s v="10-1468725-9" u="1"/>
        <s v="12-1502891-2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503864-19" u="1"/>
        <s v="1-1457979-2" u="1"/>
        <s v="1-1474705-6" u="1"/>
        <s v="1-1497977-2" u="1"/>
        <s v="1-1432431-2" u="1"/>
        <s v="1-1452430-2" u="1"/>
        <s v="1-1456623-2" u="1"/>
        <s v="1-1459096-2" u="1"/>
        <s v="1-1471077-2" u="1"/>
        <s v="1-1495069-3" u="1"/>
        <s v="1-1496621-2" u="1"/>
        <s v="1-1504108-5" u="1"/>
        <s v="1-1508133-4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-1505796-2" u="1"/>
        <s v="1-1505888-2" u="1"/>
        <s v="12-1432536-2" u="1"/>
        <s v="1-1436724-2" u="1"/>
        <s v="1-1504240-3" u="1"/>
        <s v="1-1508541-2" u="1"/>
        <s v="1-1461285-5" u="1"/>
        <s v="1-1481884-2" u="1"/>
        <s v="1-1498114-2" u="1"/>
        <s v="1-1506109-2" u="1"/>
        <s v="1-1459779-8" u="1"/>
        <s v="1-1464630-2" u="1"/>
        <s v="1-1483077-3" u="1"/>
        <s v="1-1483369-2" u="1"/>
        <s v="1-1488822-2" u="1"/>
        <s v="1-1446024-2" u="1"/>
        <s v="1-1501795-2" u="1"/>
        <s v="1-1505788-3" u="1"/>
        <s v="1-1432631-2" u="1"/>
        <s v="1-1452830-1" u="1"/>
        <s v="1-1456823-2" u="1"/>
        <s v="1-1496821-2" u="1"/>
        <s v="1-1500115-5" u="1"/>
        <s v="1-1508133-5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501495-4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507589-1" u="1"/>
        <s v="1-1438117-3" u="1"/>
        <s v="1-1474122-2" u="1"/>
        <s v="1-1502208-2" u="1"/>
        <s v="1-1444231-5" u="1"/>
        <s v="1-1460805-3" u="1"/>
        <s v="1-1483077-4" u="1"/>
        <s v="1-1483477-2" u="1"/>
        <s v="1-1442123-2" u="1"/>
        <s v="1-1442323-1" u="1"/>
        <s v="1-1446024-3" u="1"/>
        <s v="1-1439497-2" u="1"/>
        <s v="1-1451478-2" u="1"/>
        <s v="1-1491476-2" u="1"/>
        <s v="1-1500915-2" u="1"/>
        <s v="1-1504740-2" u="1"/>
        <s v="1-1504816-3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501495-5" u="1"/>
        <s v="1-1479595-2" u="1"/>
        <s v="1-1500815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506509-2" u="1"/>
        <s v="1-1468005-10" u="1"/>
        <s v="1-1483077-5" u="1"/>
        <s v="1-1487594-2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502108-4" u="1"/>
        <s v="1-1502308-3" u="1"/>
        <s v="1-1506609-2" u="1"/>
        <s v="1-1464730-4" u="1"/>
        <s v="1-1483377-4" u="1"/>
        <s v="1-1483869-2" u="1"/>
        <s v="1-1487494-3" u="1"/>
        <s v="1-1487694-2" u="1"/>
        <s v="1-1446524-2" u="1"/>
        <s v="1-1501495-6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502208-4" u="1"/>
        <s v="1-1502608-2" u="1"/>
        <s v="1-1506709-2" u="1"/>
        <s v="1-1463878-2" u="1"/>
        <s v="1-1467795-2" u="1"/>
        <s v="1-1483077-6" u="1"/>
        <s v="1-1483070-19" u="1"/>
        <s v="1-1446024-5" u="1"/>
        <s v="1-1462322-3" u="1"/>
        <s v="1-1462722-1" u="1"/>
        <s v="1-1466623-2" u="1"/>
        <s v="1-1469188-2" u="1"/>
        <s v="1-1481169-2" u="1"/>
        <s v="1-1467820-14" u="1"/>
        <s v="1-1467912-14" u="1"/>
        <s v="1-1431679-3" u="1"/>
        <s v="1-1451878-2" u="1"/>
        <s v="1-1471677-3" u="1"/>
        <s v="1-1479095-6" u="1"/>
        <s v="1-1484114-1" u="1"/>
        <s v="1-1485777-7" u="1"/>
        <s v="1-1493269-2" u="1"/>
        <s v="1-1506533-2" u="1"/>
        <s v="1-1506809-2" u="1"/>
        <s v="1-1456016-2" u="1"/>
        <s v="1-1463978-2" u="1"/>
        <s v="1-1464330-7" u="1"/>
        <s v="1-1464730-5" u="1"/>
        <s v="1-1467695-3" u="1"/>
        <s v="1-1483377-5" u="1"/>
        <s v="1-1487894-2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-1493369-2" u="1"/>
        <s v="1-1494721-2" u="1"/>
        <s v="1-1502640-1" u="1"/>
        <s v="1-1506509-4" u="1"/>
        <s v="1-1476115-2" u="1"/>
        <s v="1-1483969-3" u="1"/>
        <s v="1-1469388-2" u="1"/>
        <s v="1-1482921-1" u="1"/>
        <s v="1-1486822-2" u="1"/>
        <s v="1-1488215-2" u="1"/>
        <s v="1-1488507-1" u="1"/>
        <s v="1-1503788-3" u="1"/>
        <s v="1-1503988-2" u="1"/>
        <s v="1-1504816-6" u="1"/>
        <s v="10-1464638-2" u="1"/>
        <s v="1-1430631-2" u="1"/>
        <s v="1-1457296-2" u="1"/>
        <s v="1-1497294-2" u="1"/>
        <s v="1-1502308-5" u="1"/>
        <s v="1-1502740-1" u="1"/>
        <s v="1-1506733-2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502840-1" u="1"/>
        <s v="1-1452123-2" u="1"/>
        <s v="1-1456316-2" u="1"/>
        <s v="1-1476315-2" u="1"/>
        <s v="1-1487994-3" u="1"/>
        <s v="1-1496314-2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504816-7" u="1"/>
        <s v="1-1489744-1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504133-2" u="1"/>
        <s v="1-1449889-1" u="1"/>
        <s v="1-1481069-5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501488-2" u="1"/>
        <s v="1-1432324-2" u="1"/>
        <s v="1-1436317-3" u="1"/>
        <s v="1-1452323-2" u="1"/>
        <s v="1-1456516-2" u="1"/>
        <s v="1-1492121-3" u="1"/>
        <s v="1-1504433-1" u="1"/>
        <s v="1-1501717-13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504816-8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2-1434071-23" u="1"/>
        <s v="1-1434017-1" u="1"/>
        <s v="1-1458009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-1433696-2" u="1"/>
        <s v="1-1450130-7" u="1"/>
        <s v="1-1457796-2" u="1"/>
        <s v="1-1486007-2" u="1"/>
        <s v="1-1493693-2" u="1"/>
        <s v="1-1493893-1" u="1"/>
        <s v="1-1470606-37" u="1"/>
        <s v="12-1473168-4" u="1"/>
        <s v="1-1456716-2" u="1"/>
        <s v="1-1459189-2" u="1"/>
        <s v="1-1472522-2" u="1"/>
        <s v="1-1496514-3" u="1"/>
        <s v="1-1499187-2" u="1"/>
        <s v="1-1508534-2" u="1"/>
        <s v="1-1446206-10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-1437897-2" u="1"/>
        <s v="1-1446109-2" u="1"/>
        <s v="1-1457696-3" u="1"/>
        <s v="1-1473794-2" u="1"/>
        <s v="1-1493793-2" u="1"/>
        <s v="1-1497494-4" u="1"/>
        <s v="1-1501788-2" u="1"/>
        <s v="1-1432024-5" u="1"/>
        <s v="1-1436417-4" u="1"/>
        <s v="1-1459089-3" u="1"/>
        <s v="1-1472222-4" u="1"/>
        <s v="1-1487294-9" u="1"/>
        <s v="1-1496814-2" u="1"/>
        <s v="1-1499287-2" u="1"/>
        <s v="1-1504533-2" u="1"/>
        <s v="1-1504733-1" u="1"/>
        <s v="1-1507298-1" u="1"/>
        <s v="1-1508818-2" u="1"/>
        <s v="10-1508514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-1450130-8" u="1"/>
        <s v="1-1457796-3" u="1"/>
        <s v="1-1462015-2" u="1"/>
        <s v="1-1477595-4" u="1"/>
        <s v="1-1497994-2" u="1"/>
        <s v="1-1501688-3" u="1"/>
        <s v="1-1456916-2" u="1"/>
        <s v="1-1472722-2" u="1"/>
        <s v="1-1475287-2" u="1"/>
        <s v="1-1496514-4" u="1"/>
        <s v="1-1508642-2" u="1"/>
        <s v="1-1508826-2" u="1"/>
        <s v="1-1501717-3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508434-4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99587-2" u="1"/>
        <s v="1-1500732-2" u="1"/>
        <s v="1-1501717-43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507498-2" u="1"/>
        <s v="1-1508542-4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-1501717-53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502325-2" u="1"/>
        <s v="1-1506150-2" u="1"/>
        <s v="1-1506426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99887-2" u="1"/>
        <s v="1-1500032-7" u="1"/>
        <s v="1-1500940-2" u="1"/>
        <s v="1-1508634-5" u="1"/>
        <s v="1-1481063-11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506250-2" u="1"/>
        <s v="1-1503682-11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502525-2" u="1"/>
        <s v="1-1502725-1" u="1"/>
        <s v="1-1432009-2" u="1"/>
        <s v="1-1460922-4" u="1"/>
        <s v="1-1467988-2" u="1"/>
        <s v="1-1468908-6" u="1"/>
        <s v="1-1472007-2" u="1"/>
        <s v="1-1487987-2" u="1"/>
        <s v="1-1508019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506926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508119-2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98707-4" u="1"/>
        <s v="1-1502633-2" u="1"/>
        <s v="1-1505198-2" u="1"/>
        <s v="1-1432209-2" u="1"/>
        <s v="1-1456033-2" u="1"/>
        <s v="1-1467988-3" u="1"/>
        <s v="1-1496031-2" u="1"/>
        <s v="1-1496307-2" u="1"/>
        <s v="1-1500125-1" u="1"/>
        <s v="1-1504118-2" u="1"/>
        <s v="1-1508219-2" u="1"/>
        <s v="10-1501512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8607-5" u="1"/>
        <s v="1-1505098-3" u="1"/>
        <s v="1-1505298-2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432409-2" u="1"/>
        <s v="1-1436234-2" u="1"/>
        <s v="1-1467988-4" u="1"/>
        <s v="1-1476308-3" u="1"/>
        <s v="1-1492206-3" u="1"/>
        <s v="1-1492406-2" u="1"/>
        <s v="1-1496031-3" u="1"/>
        <s v="1-1504026-3" u="1"/>
        <s v="1-1504118-3" u="1"/>
        <s v="1-1504318-2" u="1"/>
        <s v="1-1508419-2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3-1441624-4" u="1"/>
        <s v="1-1433389-3" u="1"/>
        <s v="1-1454940-2" u="1"/>
        <s v="1-1458041-7" u="1"/>
        <s v="1-1473587-2" u="1"/>
        <s v="1-1502825-3" u="1"/>
        <s v="1-1505098-4" u="1"/>
        <s v="1-1506650-3" u="1"/>
        <s v="1-1506850-2" u="1"/>
        <s v="1-1432141-2" u="1"/>
        <s v="1-1436134-3" u="1"/>
        <s v="1-1443696-5" u="1"/>
        <s v="1-1452140-2" u="1"/>
        <s v="1-1468916-8" u="1"/>
        <s v="1-1496607-2" u="1"/>
        <s v="1-1508519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33689-2" u="1"/>
        <s v="1-1434841-3" u="1"/>
        <s v="1-1462008-1" u="1"/>
        <s v="1-1497679-3" u="1"/>
        <s v="1-1506750-3" u="1"/>
        <s v="1-1506826-4" u="1"/>
        <s v="12-1507428-7" u="1"/>
        <s v="1-1423997-4" u="1"/>
        <s v="1-1436434-2" u="1"/>
        <s v="1-1460922-7" u="1"/>
        <s v="1-1467988-5" u="1"/>
        <s v="1-1492606-2" u="1"/>
        <s v="1-1496031-4" u="1"/>
        <s v="1-1500325-2" u="1"/>
        <s v="1-1504118-4" u="1"/>
        <s v="1-1508051-3" u="1"/>
        <s v="1-1508619-2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504050-3" u="1"/>
        <s v="1-1508351-2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62008-2" u="1"/>
        <s v="1-1497879-3" u="1"/>
        <s v="1-1505798-2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504350-2" u="1"/>
        <s v="1-1504426-3" u="1"/>
        <s v="1-1508527-3" u="1"/>
        <s v="1-1508819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505098-6" u="1"/>
        <s v="1-1505898-2" u="1"/>
        <s v="1-1506850-4" u="1"/>
        <s v="1-1487281-11" u="1"/>
        <s v="1-1432141-4" u="1"/>
        <s v="1-1432541-2" u="1"/>
        <s v="1-1436134-5" u="1"/>
        <s v="1-1443696-7" u="1"/>
        <s v="1-1456809-3" u="1"/>
        <s v="1-1471187-2" u="1"/>
        <s v="1-1491186-2" u="1"/>
        <s v="1-1504050-4" u="1"/>
        <s v="1-1504450-2" u="1"/>
        <s v="1-1508551-2" u="1"/>
        <s v="1-1441788-3" u="1"/>
        <s v="1-1458126-2" u="1"/>
        <s v="1-1470107-2" u="1"/>
        <s v="1-1494131-1" u="1"/>
        <s v="1-1498124-2" u="1"/>
        <s v="1-1506119-2" u="1"/>
        <s v="1-1440816-2" u="1"/>
        <s v="1-1448434-4" u="1"/>
        <s v="1-1448834-2" u="1"/>
        <s v="1-1468833-2" u="1"/>
        <s v="1-1483087-3" u="1"/>
        <s v="1-1483287-2" u="1"/>
        <s v="1-1483379-2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503198-2" u="1"/>
        <s v="1-1504550-2" u="1"/>
        <s v="1-1504918-2" u="1"/>
        <s v="1-1508543-3" u="1"/>
        <s v="1-1508635-3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504650-2" u="1"/>
        <s v="1-1508735-3" u="1"/>
        <s v="1-1441788-4" u="1"/>
        <s v="1-1502218-2" u="1"/>
        <s v="1-1506043-2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504118-7" u="1"/>
        <s v="1-1430041-2" u="1"/>
        <s v="1-1434234-2" u="1"/>
        <s v="1-1441796-4" u="1"/>
        <s v="1-1485987-4" u="1"/>
        <s v="1-1498424-2" u="1"/>
        <s v="1-1506343-1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502418-2" u="1"/>
        <s v="1-1506243-2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502518-2" u="1"/>
        <s v="1-1506619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-1503698-2" u="1"/>
        <s v="12-1451938-1" u="1"/>
        <s v="12-1491736-2" u="1"/>
        <s v="1-1470707-2" u="1"/>
        <s v="1-1474532-2" u="1"/>
        <s v="1-1494531-2" u="1"/>
        <s v="1-1498524-3" u="1"/>
        <s v="1-1502250-2" u="1"/>
        <s v="1-1502618-2" u="1"/>
        <s v="1-1502818-1" u="1"/>
        <s v="1-1503743-13" u="1"/>
        <s v="1-1440940-3" u="1"/>
        <s v="1-1463888-2" u="1"/>
        <s v="1-1483379-5" u="1"/>
        <s v="1-1483487-4" u="1"/>
        <s v="1-1464997-23" u="1"/>
        <s v="1-1478722-20" u="1"/>
        <s v="10-1501546-2" u="1"/>
        <s v="1-1462608-3" u="1"/>
        <s v="1-1482807-2" u="1"/>
        <s v="1-1486032-5" u="1"/>
        <s v="1-1502833-8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506543-2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502833-9" u="1"/>
        <s v="1-1451888-3" u="1"/>
        <s v="1-1468026-3" u="1"/>
        <s v="1-1484124-2" u="1"/>
        <s v="1-1488317-2" u="1"/>
        <s v="1-1503998-2" u="1"/>
        <s v="1-1430209-6" u="1"/>
        <s v="1-1430641-2" u="1"/>
        <s v="1-1434834-2" u="1"/>
        <s v="1-1450608-4" u="1"/>
        <s v="1-1478625-4" u="1"/>
        <s v="1-1494631-3" u="1"/>
        <s v="1-1494831-2" u="1"/>
        <s v="1-1506743-2" u="1"/>
        <s v="1-1440640-6" u="1"/>
        <s v="1-1476425-1" u="1"/>
        <s v="1-1496424-1" u="1"/>
        <s v="1-1500318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-1474932-2" u="1"/>
        <s v="1-1494931-2" u="1"/>
        <s v="1-1498924-3" u="1"/>
        <s v="1-1502650-2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508428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-1432334-2" u="1"/>
        <s v="1-1456526-2" u="1"/>
        <s v="1-1472332-2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2-1507842-4" u="1"/>
        <s v="1-1436627-2" u="1"/>
        <s v="1-1472432-2" u="1"/>
        <s v="1-1496624-2" u="1"/>
        <s v="1-1504343-2" u="1"/>
        <s v="1-1508536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01698-2" u="1"/>
        <s v="13-1475136-3" u="1"/>
        <s v="1-1459199-2" u="1"/>
        <s v="1-1472332-3" u="1"/>
        <s v="1-1492731-1" u="1"/>
        <s v="1-1499197-2" u="1"/>
        <s v="1-1508544-2" u="1"/>
        <s v="1-1462608-7" u="1"/>
        <s v="1-1466633-6" u="1"/>
        <s v="1-1481179-6" u="1"/>
        <s v="1-1481779-3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501798-2" u="1"/>
        <s v="1-1472432-3" u="1"/>
        <s v="1-1492631-2" u="1"/>
        <s v="1-1495196-2" u="1"/>
        <s v="1-1499097-3" u="1"/>
        <s v="1-1504543-2" u="1"/>
        <s v="1-1508552-2" u="1"/>
        <s v="1-1508736-2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504643-2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501998-2" u="1"/>
        <s v="1-1436827-3" u="1"/>
        <s v="1-1492831-2" u="1"/>
        <s v="1-1495396-2" u="1"/>
        <s v="1-1496824-3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506136-2" u="1"/>
        <s v="1-1440833-2" u="1"/>
        <s v="1-1447499-2" u="1"/>
        <s v="1-1460232-5" u="1"/>
        <s v="1-1480831-2" u="1"/>
        <s v="1-1486417-2" u="1"/>
        <s v="1-1501291-19" u="1"/>
        <s v="1-1455098-4" u="1"/>
        <s v="1-1459599-2" u="1"/>
        <s v="1-1476525-5" u="1"/>
        <s v="1-1479398-3" u="1"/>
        <s v="1-1479598-2" u="1"/>
        <s v="1-1508852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502135-2" u="1"/>
        <s v="1-1506236-2" u="1"/>
        <s v="1-1447599-2" u="1"/>
        <s v="1-1468026-8" u="1"/>
        <s v="1-1468426-6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508844-3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2-1508865-4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506160-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-1506460-1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501291-39" u="1"/>
        <s v="1-1479998-2" u="1"/>
        <s v="1-1438552-2" u="1"/>
        <s v="1-1454926-1" u="1"/>
        <s v="1-1474217-5" u="1"/>
        <s v="1-1478350-3" u="1"/>
        <s v="1-1506360-2" u="1"/>
        <s v="1-1506436-3" u="1"/>
        <s v="1-1506528-3" u="1"/>
        <s v="1-1432019-2" u="1"/>
        <s v="1-1492016-2" u="1"/>
        <s v="1-1496317-1" u="1"/>
        <s v="1-1508029-2" u="1"/>
        <s v="10-1501528-3" u="1"/>
        <s v="10-1501544-2" u="1"/>
        <s v="1-1446151-4" u="1"/>
        <s v="1-1462725-2" u="1"/>
        <s v="1-1465198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502635-2" u="1"/>
        <s v="1-1502835-1" u="1"/>
        <s v="1-1506260-3" u="1"/>
        <s v="1-1432119-2" u="1"/>
        <s v="1-1460232-8" u="1"/>
        <s v="1-1476218-2" u="1"/>
        <s v="1-1496217-2" u="1"/>
        <s v="1-1508129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502735-2" u="1"/>
        <s v="1-1506528-4" u="1"/>
        <s v="1-1467798-4" u="1"/>
        <s v="1-1467998-3" u="1"/>
        <s v="1-1472217-2" u="1"/>
        <s v="1-1476318-2" u="1"/>
        <s v="1-1492416-1" u="1"/>
        <s v="1-1496041-2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506660-2" u="1"/>
        <s v="1-1506936-2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506436-5" u="1"/>
        <s v="1-1506528-5" u="1"/>
        <s v="13-1431152-2" u="1"/>
        <s v="12-1435918-20" u="1"/>
        <s v="1-1496041-3" u="1"/>
        <s v="1-1496409-3" u="1"/>
        <s v="1-1500135-2" u="1"/>
        <s v="1-1504328-2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-1504060-2" u="1"/>
        <s v="1-1508253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506528-6" u="1"/>
        <s v="1-1506960-2" u="1"/>
        <s v="1-1432619-2" u="1"/>
        <s v="1-1452250-2" u="1"/>
        <s v="1-1456443-2" u="1"/>
        <s v="1-1472217-4" u="1"/>
        <s v="1-1476318-4" u="1"/>
        <s v="1-1496517-3" u="1"/>
        <s v="1-1504436-2" u="1"/>
        <s v="1-1504728-1" u="1"/>
        <s v="1-1508153-3" u="1"/>
        <s v="1-1508429-3" u="1"/>
        <s v="10-1507128-5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508153-4" u="1"/>
        <s v="1-1508461-2" u="1"/>
        <s v="10-1508808-2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504060-4" u="1"/>
        <s v="1-1504736-2" u="1"/>
        <s v="1-1450118-2" u="1"/>
        <s v="1-1450318-1" u="1"/>
        <s v="1-1506129-2" u="1"/>
        <s v="1-1448444-4" u="1"/>
        <s v="1-1448844-2" u="1"/>
        <s v="1-1460025-6" u="1"/>
        <s v="1-1468843-2" u="1"/>
        <s v="1-1479798-8" u="1"/>
        <s v="1-1484817-3" u="1"/>
        <s v="1-1448409-28" u="1"/>
        <s v="1-1442219-2" u="1"/>
        <s v="1-1466043-2" u="1"/>
        <s v="1-1466335-1" u="1"/>
        <s v="1-1486042-2" u="1"/>
        <s v="1-1486134-2" u="1"/>
        <s v="1-1506528-8" u="1"/>
        <s v="1-1476318-6" u="1"/>
        <s v="1-1491296-2" u="1"/>
        <s v="1-1496641-3" u="1"/>
        <s v="1-1500735-2" u="1"/>
        <s v="1-1504836-2" u="1"/>
        <s v="1-1508737-3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-1495589-2" u="1"/>
        <s v="1-1496941-2" u="1"/>
        <s v="1-1500835-2" u="1"/>
        <s v="1-1504660-2" u="1"/>
        <s v="1-1508853-2" u="1"/>
        <s v="1-1465698-5" u="1"/>
        <s v="1-1494509-2" u="1"/>
        <s v="1-1502228-2" u="1"/>
        <s v="1-1506253-1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-1506528-9" u="1"/>
        <s v="12-1454907-2" u="1"/>
        <s v="12-1455735-2" u="1"/>
        <s v="12-1497481-2" u="1"/>
        <s v="1-1452850-2" u="1"/>
        <s v="1-1471497-2" u="1"/>
        <s v="1-1472817-4" u="1"/>
        <s v="1-1504960-1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506353-1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500835-3" u="1"/>
        <s v="1-1504860-2" u="1"/>
        <s v="1-1458136-4" u="1"/>
        <s v="1-1494709-2" u="1"/>
        <s v="1-1440008-10" u="1"/>
        <s v="1-1468005-11" u="1"/>
        <s v="1-1460025-8" u="1"/>
        <s v="1-1483789-2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504960-2" u="1"/>
        <s v="1-1430051-3" u="1"/>
        <s v="1-1470217-4" u="1"/>
        <s v="1-1474042-4" u="1"/>
        <s v="1-1478635-2" u="1"/>
        <s v="1-1498434-3" u="1"/>
        <s v="1-1502160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508761-4" u="1"/>
        <s v="1-1430719-2" u="1"/>
        <s v="1-1470517-3" u="1"/>
        <s v="1-1470717-2" u="1"/>
        <s v="1-1490316-4" u="1"/>
        <s v="1-1493189-2" u="1"/>
        <s v="1-1494909-2" u="1"/>
        <s v="1-1502628-2" u="1"/>
        <s v="1-1506253-3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67912-15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728-2" u="1"/>
        <s v="1-1436037-2" u="1"/>
        <s v="1-1456036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-1506653-2" u="1"/>
        <s v="12-1441306-1" u="1"/>
        <s v="1-1483989-3" u="1"/>
        <s v="1-1508338-1" u="1"/>
        <s v="10-1501514-3" u="1"/>
        <s v="1-1442619-4" u="1"/>
        <s v="1-1446936-2" u="1"/>
        <s v="1-1444336-1" u="1"/>
        <s v="1-1464135-2" u="1"/>
        <s v="1-1480309-2" u="1"/>
        <s v="1-1484134-2" u="1"/>
        <s v="1-1491296-6" u="1"/>
        <s v="1-1430451-3" u="1"/>
        <s v="1-1454843-2" u="1"/>
        <s v="1-1470217-6" u="1"/>
        <s v="1-1474042-6" u="1"/>
        <s v="1-1474842-2" u="1"/>
        <s v="1-1494641-3" u="1"/>
        <s v="1-1506753-2" u="1"/>
        <s v="1-1488524-10" u="1"/>
        <s v="1-1464950-5" u="1"/>
        <s v="1-1472042-2" u="1"/>
        <s v="1-1492209-3" u="1"/>
        <s v="1-1508146-2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835-6" u="1"/>
        <s v="10-1487585-2" u="1"/>
        <s v="1-1430551-3" u="1"/>
        <s v="1-1454943-2" u="1"/>
        <s v="1-1474942-2" u="1"/>
        <s v="1-1490916-3" u="1"/>
        <s v="1-1493589-2" u="1"/>
        <s v="1-1498934-3" u="1"/>
        <s v="1-1502860-1" u="1"/>
        <s v="1-1452143-2" u="1"/>
        <s v="1-1456336-2" u="1"/>
        <s v="1-1500228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-1478835-4" u="1"/>
        <s v="1-1493689-2" u="1"/>
        <s v="1-1502760-2" u="1"/>
        <s v="1-1452243-2" u="1"/>
        <s v="1-1464950-6" u="1"/>
        <s v="1-1483489-7" u="1"/>
        <s v="1-1492209-4" u="1"/>
        <s v="1-1500252-1" u="1"/>
        <s v="1-1482841-3" u="1"/>
        <s v="1-1486942-3" u="1"/>
        <s v="1-1428738-1" u="1"/>
        <s v="1-1480241-2" u="1"/>
        <s v="1-1500835-7" u="1"/>
        <s v="1-1490916-4" u="1"/>
        <s v="1-1493789-2" u="1"/>
        <s v="1-1452143-3" u="1"/>
        <s v="1-1476535-2" u="1"/>
        <s v="1-1492709-2" u="1"/>
        <s v="1-1500152-2" u="1"/>
        <s v="1-1500428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500052-3" u="1"/>
        <s v="1-1500528-2" u="1"/>
        <s v="1-1500728-1" u="1"/>
        <s v="1-1508638-2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501717-24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252-3" u="1"/>
        <s v="1-1504553-2" u="1"/>
        <s v="12-1462036-2" u="1"/>
        <s v="1-1434037-2" u="1"/>
        <s v="1-1474035-2" u="1"/>
        <s v="1-1474327-1" u="1"/>
        <s v="1-1506038-2" u="1"/>
        <s v="1-1440643-2" u="1"/>
        <s v="1-1486027-3" u="1"/>
        <s v="1-1486227-2" u="1"/>
        <s v="1-1490916-6" u="1"/>
        <s v="12-1495367-4" u="1"/>
        <s v="1-1436937-2" u="1"/>
        <s v="1-1452143-5" u="1"/>
        <s v="1-1492741-2" u="1"/>
        <s v="1-150082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40743-2" u="1"/>
        <s v="1-1460542-3" u="1"/>
        <s v="1-1468728-4" u="1"/>
        <s v="10-1435991-3" u="1"/>
        <s v="1-1446329-2" u="1"/>
        <s v="1-1482134-2" u="1"/>
        <s v="1-1486327-2" u="1"/>
        <s v="1-1506953-5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-1508770-2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506246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502245-2" u="1"/>
        <s v="1-1506070-2" u="1"/>
        <s v="1-1506438-2" u="1"/>
        <s v="1-1506638-1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-150095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506270-2" u="1"/>
        <s v="1-1506638-2" u="1"/>
        <s v="1-1503682-12" u="1"/>
        <s v="1-1440643-5" u="1"/>
        <s v="1-1468460-6" u="1"/>
        <s v="1-1484834-5" u="1"/>
        <s v="1-1496119-2" u="1"/>
        <s v="1-1496319-1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-1452643-6" u="1"/>
        <s v="1-1484127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506470-2" u="1"/>
        <s v="1-1506638-3" u="1"/>
        <s v="1-1506746-2" u="1"/>
        <s v="1-1460204-11" u="1"/>
        <s v="1-1440643-6" u="1"/>
        <s v="1-1456153-1" u="1"/>
        <s v="1-1476428-1" u="1"/>
        <s v="1-1504038-2" u="1"/>
        <s v="1-1482434-4" u="1"/>
        <s v="1-1436937-6" u="1"/>
        <s v="1-1440236-1" u="1"/>
        <s v="1-1444229-2" u="1"/>
        <s v="1-1460127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50823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-1432529-1" u="1"/>
        <s v="1-1452160-1" u="1"/>
        <s v="1-1452528-1" u="1"/>
        <s v="1-1456429-2" u="1"/>
        <s v="1-1472327-2" u="1"/>
        <s v="1-1476152-2" u="1"/>
        <s v="1-1500245-1" u="1"/>
        <s v="1-1504238-2" u="1"/>
        <s v="1-1508339-2" u="1"/>
        <s v="1-1444153-2" u="1"/>
        <s v="1-1444429-2" u="1"/>
        <s v="1-1460235-2" u="1"/>
        <s v="1-1480326-2" u="1"/>
        <s v="1-1484151-2" u="1"/>
        <s v="1-1481503-15" u="1"/>
        <s v="12-1434825-2" u="1"/>
        <s v="1-1434461-4" u="1"/>
        <s v="1-1438362-5" u="1"/>
        <s v="1-1458853-3" u="1"/>
        <s v="1-1474827-4" u="1"/>
        <s v="1-1478728-5" u="1"/>
        <s v="1-1497499-3" u="1"/>
        <s v="1-1506770-2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504438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506970-2" u="1"/>
        <s v="1-1452628-2" u="1"/>
        <s v="1-1452828-1" u="1"/>
        <s v="1-1495099-2" u="1"/>
        <s v="1-1496819-2" u="1"/>
        <s v="1-150863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-1434637-6" u="1"/>
        <s v="1-1497599-4" u="1"/>
        <s v="1-1432361-2" u="1"/>
        <s v="1-1436154-4" u="1"/>
        <s v="1-1440643-9" u="1"/>
        <s v="1-1452728-2" u="1"/>
        <s v="1-1495199-2" u="1"/>
        <s v="1-1496827-2" u="1"/>
        <s v="1-1500445-2" u="1"/>
        <s v="1-1508263-3" u="1"/>
        <s v="1-1508555-2" u="1"/>
        <s v="1-1508739-2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-1496451-3" u="1"/>
        <s v="1-1458046-2" u="1"/>
        <s v="1-1466760-5" u="1"/>
        <s v="1-1506039-2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-1432561-2" u="1"/>
        <s v="1-1436754-2" u="1"/>
        <s v="1-1472727-3" u="1"/>
        <s v="1-1495399-2" u="1"/>
        <s v="1-1496351-4" u="1"/>
        <s v="1-1508847-2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500845-2" u="1"/>
        <s v="1-1508771-2" u="1"/>
        <s v="1-1430329-2" u="1"/>
        <s v="1-1478345-2" u="1"/>
        <s v="1-1490326-2" u="1"/>
        <s v="1-1498344-2" u="1"/>
        <s v="1-1502070-1" u="1"/>
        <s v="1-1502238-2" u="1"/>
        <s v="1-1440728-4" u="1"/>
        <s v="1-1444953-2" u="1"/>
        <s v="1-1434461-8" u="1"/>
        <s v="1-1446346-2" u="1"/>
        <s v="1-1478728-9" u="1"/>
        <s v="1-1482519-2" u="1"/>
        <s v="1-1486344-2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-1432761-3" u="1"/>
        <s v="1-1495799-2" u="1"/>
        <s v="1-1496719-6" u="1"/>
        <s v="1-1430329-3" u="1"/>
        <s v="1-1454153-3" u="1"/>
        <s v="1-1470527-2" u="1"/>
        <s v="1-1494351-2" u="1"/>
        <s v="12-1438144-19" u="1"/>
        <s v="1-1440728-5" u="1"/>
        <s v="1-1442629-2" u="1"/>
        <s v="1-1482719-2" u="1"/>
        <s v="1-1486452-2" u="1"/>
        <s v="1-1486544-2" u="1"/>
        <s v="1-1456853-4" u="1"/>
        <s v="1-1456929-5" u="1"/>
        <s v="1-1504846-4" u="1"/>
        <s v="1-1430261-2" u="1"/>
        <s v="1-1434054-4" u="1"/>
        <s v="1-1458646-2" u="1"/>
        <s v="1-1470427-3" u="1"/>
        <s v="1-1470627-2" u="1"/>
        <s v="1-1474252-3" u="1"/>
        <s v="1-1498644-2" u="1"/>
        <s v="1-1502738-1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502638-2" u="1"/>
        <s v="1-1506247-4" u="1"/>
        <s v="1-1506463-2" u="1"/>
        <s v="1-1440960-3" u="1"/>
        <s v="1-1464952-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506639-3" u="1"/>
        <s v="1-1506839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502238-5" u="1"/>
        <s v="1-1506663-2" u="1"/>
        <s v="1-1440728-7" u="1"/>
        <s v="1-1472044-2" u="1"/>
        <s v="1-1492119-3" u="1"/>
        <s v="1-1492319-2" u="1"/>
        <s v="1-1496144-2" u="1"/>
        <s v="1-1500038-2" u="1"/>
        <s v="1-1508056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506563-3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-1502670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502770-2" u="1"/>
        <s v="1-1506563-4" u="1"/>
        <s v="1-1506963-2" u="1"/>
        <s v="1-1432254-2" u="1"/>
        <s v="1-1456170-2" u="1"/>
        <s v="1-1456446-2" u="1"/>
        <s v="1-1504163-2" u="1"/>
        <s v="1-1508556-1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504263-2" u="1"/>
        <s v="1-1508180-2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-1506563-5" u="1"/>
        <s v="12-1472868-2" u="1"/>
        <s v="1-1432454-2" u="1"/>
        <s v="1-1432546-2" u="1"/>
        <s v="1-1492819-2" u="1"/>
        <s v="1-1496444-3" u="1"/>
        <s v="1-1500538-2" u="1"/>
        <s v="1-1504163-3" u="1"/>
        <s v="1-1508080-3" u="1"/>
        <s v="1-1442929-5" u="1"/>
        <s v="1-1458039-2" u="1"/>
        <s v="1-1481899-2" u="1"/>
        <s v="1-1486552-6" u="1"/>
        <s v="1-1486952-4" u="1"/>
        <s v="1-1490219-1" u="1"/>
        <s v="1-1471389-10" u="1"/>
        <s v="1-1504652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504555-2" u="1"/>
        <s v="1-1508764-1" u="1"/>
        <s v="1-1434039-2" u="1"/>
        <s v="1-1458139-2" u="1"/>
        <s v="1-1481999-2" u="1"/>
        <s v="1-1498337-1" u="1"/>
        <s v="10-1501545-3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-1506563-6" u="1"/>
        <s v="10-1443490-2" u="1"/>
        <s v="1-1436371-3" u="1"/>
        <s v="1-1456846-2" u="1"/>
        <s v="1-1492651-2" u="1"/>
        <s v="1-1508080-4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50466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-1504855-2" u="1"/>
        <s v="1-1508772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506248-2" u="1"/>
        <s v="1-1429900-5" u="1"/>
        <s v="1-1440653-3" u="1"/>
        <s v="1-1460852-2" u="1"/>
        <s v="1-1468038-8" u="1"/>
        <s v="1-1466238-3" u="1"/>
        <s v="1-1436871-2" u="1"/>
        <s v="1-1456746-4" u="1"/>
        <s v="1-1472552-4" u="1"/>
        <s v="1-1472952-2" u="1"/>
        <s v="1-1504863-2" u="1"/>
        <s v="1-1508780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506256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506648-1" u="1"/>
        <s v="1-1440653-4" u="1"/>
        <s v="1-1505000-2" u="1"/>
        <s v="1-1446639-2" u="1"/>
        <s v="1-1466270-2" u="1"/>
        <s v="1-1482044-4" u="1"/>
        <s v="1-1486637-2" u="1"/>
        <s v="1-1472552-5" u="1"/>
        <s v="1-1500762-3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502355-2" u="1"/>
        <s v="1-1506180-2" u="1"/>
        <s v="1-1480551-5" u="1"/>
        <s v="1-1505100-2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506280-2" u="1"/>
        <s v="1-1506556-2" u="1"/>
        <s v="1-1506648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-1500962-3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137-2" u="1"/>
        <s v="1-1496229-2" u="1"/>
        <s v="1-1505300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506648-3" u="1"/>
        <s v="1-1440653-6" u="1"/>
        <s v="1-1452138-2" u="1"/>
        <s v="1-1456239-2" u="1"/>
        <s v="1-1468870-5" u="1"/>
        <s v="1-1476238-2" u="1"/>
        <s v="1-1492136-2" u="1"/>
        <s v="1-1496237-2" u="1"/>
        <s v="1-1504048-2" u="1"/>
        <s v="1-1508149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-1454170-5" u="1"/>
        <s v="1-1454570-3" u="1"/>
        <s v="1-1454770-2" u="1"/>
        <s v="1-1478670-3" u="1"/>
        <s v="1-1502655-3" u="1"/>
        <s v="1-1506648-4" u="1"/>
        <s v="1-1506680-2" u="1"/>
        <s v="1-1456163-2" u="1"/>
        <s v="1-1456439-2" u="1"/>
        <s v="1-1472337-2" u="1"/>
        <s v="1-1496237-3" u="1"/>
        <s v="1-1496361-1" u="1"/>
        <s v="1-1496529-2" u="1"/>
        <s v="1-1504248-2" u="1"/>
        <s v="1-1508073-2" u="1"/>
        <s v="1-1508349-2" u="1"/>
        <s v="1-1446871-2" u="1"/>
        <s v="1-1440246-2" u="1"/>
        <s v="1-1444071-2" u="1"/>
        <s v="1-1468263-2" u="1"/>
        <s v="1-1438264-6" u="1"/>
        <s v="1-1458539-6" u="1"/>
        <s v="1-1506656-4" u="1"/>
        <s v="12-1484122-2" u="1"/>
        <s v="1-1432439-2" u="1"/>
        <s v="1-1436264-2" u="1"/>
        <s v="1-1472237-3" u="1"/>
        <s v="1-1472437-2" u="1"/>
        <s v="1-1496337-3" u="1"/>
        <s v="1-1496429-3" u="1"/>
        <s v="1-1505900-1" u="1"/>
        <s v="1-1508173-2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506648-5" u="1"/>
        <s v="1-1506956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500055-3" u="1"/>
        <s v="1-1505800-2" u="1"/>
        <s v="1-1508181-2" u="1"/>
        <s v="1-1508549-2" u="1"/>
        <s v="1-1494129-1" u="1"/>
        <s v="1-1507301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37-7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504180-2" u="1"/>
        <s v="1-1508281-2" u="1"/>
        <s v="10-1507128-6" u="1"/>
        <s v="1-1446971-3" u="1"/>
        <s v="1-1458056-1" u="1"/>
        <s v="1-1503100-2" u="1"/>
        <s v="10-1500663-2" u="1"/>
        <s v="1-1464370-2" u="1"/>
        <s v="1-1484461-2" u="1"/>
        <s v="1-1484737-2" u="1"/>
        <s v="1-1506956-4" u="1"/>
        <s v="1-1432139-5" u="1"/>
        <s v="1-1432371-2" u="1"/>
        <s v="1-1452738-2" u="1"/>
        <s v="1-1472737-2" u="1"/>
        <s v="1-1496237-5" u="1"/>
        <s v="1-1496837-2" u="1"/>
        <s v="1-1500655-1" u="1"/>
        <s v="12-1502875-5" u="1"/>
        <s v="1-1450138-1" u="1"/>
        <s v="1-1503000-3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37-8" u="1"/>
        <s v="10-1482854-2" u="1"/>
        <s v="1-1432839-2" u="1"/>
        <s v="1-1436664-2" u="1"/>
        <s v="1-1456663-2" u="1"/>
        <s v="1-1496429-5" u="1"/>
        <s v="1-1496661-2" u="1"/>
        <s v="1-1504748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237-6" u="1"/>
        <s v="1-1496837-3" u="1"/>
        <s v="1-1500655-2" u="1"/>
        <s v="1-1438157-2" u="1"/>
        <s v="1-1498154-2" u="1"/>
        <s v="1-1503400-2" u="1"/>
        <s v="1-1506149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500755-2" u="1"/>
        <s v="1-1504856-2" u="1"/>
        <s v="1-1508773-2" u="1"/>
        <s v="1-1430039-3" u="1"/>
        <s v="1-1470161-1" u="1"/>
        <s v="1-1470237-2" u="1"/>
        <s v="1-1474062-2" u="1"/>
        <s v="1-1490236-2" u="1"/>
        <s v="1-1494629-1" u="1"/>
        <s v="1-1502148-2" u="1"/>
        <s v="1-1506249-2" u="1"/>
        <s v="1-1507601-2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96237-7" u="1"/>
        <s v="1-1496837-4" u="1"/>
        <s v="1-1504648-4" u="1"/>
        <s v="1-1508765-3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502248-2" u="1"/>
        <s v="1-1506073-2" u="1"/>
        <s v="1-1507701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500955-2" u="1"/>
        <s v="1-1458256-3" u="1"/>
        <s v="1-1474262-2" u="1"/>
        <s v="1-1478455-2" u="1"/>
        <s v="1-1494261-2" u="1"/>
        <s v="1-1498454-2" u="1"/>
        <s v="1-1503700-2" u="1"/>
        <s v="10-1507291-3" u="1"/>
        <s v="1-1440870-2" u="1"/>
        <s v="1-1440946-3" u="1"/>
        <s v="1-1444971-2" u="1"/>
        <s v="1-1446364-2" u="1"/>
        <s v="1-1462538-2" u="1"/>
        <s v="1-1486254-3" u="1"/>
        <s v="1-1432139-8" u="1"/>
        <s v="1-1432971-2" u="1"/>
        <s v="1-1452738-5" u="1"/>
        <s v="1-1452970-2" u="1"/>
        <s v="1-1496237-8" u="1"/>
        <s v="1-1496837-5" u="1"/>
        <s v="1-1504880-2" u="1"/>
        <s v="10-1481785-2" u="1"/>
        <s v="1-1430171-2" u="1"/>
        <s v="1-1438557-2" u="1"/>
        <s v="1-1454163-3" u="1"/>
        <s v="1-1478355-3" u="1"/>
        <s v="1-1490060-3" u="1"/>
        <s v="1-1498554-2" u="1"/>
        <s v="1-1502080-2" u="1"/>
        <s v="1-1440770-3" u="1"/>
        <s v="1-1440970-2" u="1"/>
        <s v="1-1444963-3" u="1"/>
        <s v="1-1464670-4" u="1"/>
        <s v="1-1442163-3" u="1"/>
        <s v="1-1446664-1" u="1"/>
        <s v="1-1466263-3" u="1"/>
        <s v="1-1466355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502180-2" u="1"/>
        <s v="1-1502272-2" u="1"/>
        <s v="1-1502548-2" u="1"/>
        <s v="1-1506373-2" u="1"/>
        <s v="1-1492029-2" u="1"/>
        <s v="1-1442263-3" u="1"/>
        <s v="1-1466563-2" u="1"/>
        <s v="1-1466655-2" u="1"/>
        <s v="1-1482829-2" u="1"/>
        <s v="1-1504118-11" u="1"/>
        <s v="10-1467707-4" u="1"/>
        <s v="1-1429110-3" u="1"/>
        <s v="1-1432139-9" u="1"/>
        <s v="1-1448049-2" u="1"/>
        <s v="1-1452738-6" u="1"/>
        <s v="1-1480029-2" u="1"/>
        <s v="1-1496237-9" u="1"/>
        <s v="1-1470061-4" u="1"/>
        <s v="1-1470461-2" u="1"/>
        <s v="1-1478355-4" u="1"/>
        <s v="1-1494561-2" u="1"/>
        <s v="1-1494929-2" u="1"/>
        <s v="1-1498554-3" u="1"/>
        <s v="1-1506473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2-1444186-1" u="1"/>
        <s v="1-1436057-2" u="1"/>
        <s v="1-1476055-2" u="1"/>
        <s v="1-1484661-6" u="1"/>
        <s v="1-1492229-2" u="1"/>
        <s v="1-1492429-1" u="1"/>
        <s v="1-1496054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-1478355-5" u="1"/>
        <s v="1-1498554-4" u="1"/>
        <s v="1-1502572-2" u="1"/>
        <s v="1-1506673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506773-2" u="1"/>
        <s v="1-1488524-11" u="1"/>
        <s v="1-1456256-2" u="1"/>
        <s v="1-1492029-4" u="1"/>
        <s v="1-1504065-2" u="1"/>
        <s v="1-1504265-1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98954-3" u="1"/>
        <s v="1-1502772-2" u="1"/>
        <s v="1-1506673-3" u="1"/>
        <s v="1-1506873-2" u="1"/>
        <s v="1-1498683-16" u="1"/>
        <s v="12-1485236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508266-2" u="1"/>
        <s v="1-1459101-2" u="1"/>
        <s v="1-1482129-8" u="1"/>
        <s v="1-1486954-3" u="1"/>
        <s v="1-1492410-12" u="1"/>
        <s v="1-1436464-9" u="1"/>
        <s v="1-1448457-2" u="1"/>
        <s v="1-1480161-2" u="1"/>
        <s v="1-1484554-1" u="1"/>
        <s v="1-1488455-2" u="1"/>
        <s v="1-1489744-14" u="1"/>
        <s v="1-1430039-8" u="1"/>
        <s v="1-1502672-3" u="1"/>
        <s v="1-1502780-2" u="1"/>
        <s v="1-1506973-2" u="1"/>
        <s v="1-1436457-2" u="1"/>
        <s v="1-1452263-2" u="1"/>
        <s v="1-1452355-2" u="1"/>
        <s v="1-1456180-2" u="1"/>
        <s v="1-1476255-3" u="1"/>
        <s v="1-1500072-2" u="1"/>
        <s v="1-1501700-2" u="1"/>
        <s v="1-1504173-2" u="1"/>
        <s v="1-1508366-2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2-1499968-2" u="1"/>
        <s v="1-1458556-6" u="1"/>
        <s v="1-1478355-7" u="1"/>
        <s v="1-1498954-4" u="1"/>
        <s v="1-1502880-2" u="1"/>
        <s v="1-1502972-2" u="1"/>
        <s v="12-1492979-2" u="1"/>
        <s v="1-1452563-1" u="1"/>
        <s v="1-1492361-2" u="1"/>
        <s v="1-1492729-2" u="1"/>
        <s v="1-1496154-4" u="1"/>
        <s v="1-1501600-3" u="1"/>
        <s v="1-1501800-2" u="1"/>
        <s v="1-1508282-2" u="1"/>
        <s v="10-1507846-2" u="1"/>
        <s v="1-1459301-2" u="1"/>
        <s v="1-1482961-3" u="1"/>
        <s v="1-1486954-4" u="1"/>
        <s v="1-1492410-22" u="1"/>
        <s v="1-1468380-2" u="1"/>
        <s v="1-1480161-3" u="1"/>
        <s v="1-1480729-2" u="1"/>
        <s v="1-1467500-1" u="1"/>
        <s v="1-1470561-5" u="1"/>
        <s v="1-1490960-3" u="1"/>
        <s v="12-1430670-2" u="1"/>
        <s v="12-1448238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501900-2" u="1"/>
        <s v="1-1508290-2" u="1"/>
        <s v="1-1508566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98954-5" u="1"/>
        <s v="1-1502880-3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504473-2" u="1"/>
        <s v="1-1439502-2" u="1"/>
        <s v="1-1459301-3" u="1"/>
        <s v="1-1474047-2" u="1"/>
        <s v="1-1420564-2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56380-3" u="1"/>
        <s v="1-1456580-2" u="1"/>
        <s v="1-1472954-1" u="1"/>
        <s v="1-1492553-3" u="1"/>
        <s v="1-1492661-2" u="1"/>
        <s v="1-1500472-2" u="1"/>
        <s v="1-1500748-2" u="1"/>
        <s v="1-1508582-2" u="1"/>
        <s v="1-1508766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502065-1" u="1"/>
        <s v="1-1448481-3" u="1"/>
        <s v="1-1448881-1" u="1"/>
        <s v="1-1446049-3" u="1"/>
        <s v="1-1446449-1" u="1"/>
        <s v="1-1450338-9" u="1"/>
        <s v="1-1470661-6" u="1"/>
        <s v="1-1498954-6" u="1"/>
        <s v="1-1502880-4" u="1"/>
        <s v="1-1436557-4" u="1"/>
        <s v="1-1436957-2" u="1"/>
        <s v="1-1472362-4" u="1"/>
        <s v="1-1492729-4" u="1"/>
        <s v="1-1496154-6" u="1"/>
        <s v="1-1496954-2" u="1"/>
        <s v="1-1504673-2" u="1"/>
        <s v="1-1504765-2" u="1"/>
        <s v="1-1508774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500748-3" u="1"/>
        <s v="1-1508690-2" u="1"/>
        <s v="1-1508782-2" u="1"/>
        <s v="1-1446964-6" u="1"/>
        <s v="1-1458081-2" u="1"/>
        <s v="1-1458173-2" u="1"/>
        <s v="1-1462662-7" u="1"/>
        <s v="1-1474055-3" u="1"/>
        <s v="1-1490229-3" u="1"/>
        <s v="1-1506058-3" u="1"/>
        <s v="1-1506166-2" u="1"/>
        <s v="1-1506258-2" u="1"/>
        <s v="1-1506458-1" u="1"/>
        <s v="12-1460299-1" u="1"/>
        <s v="1-1448481-4" u="1"/>
        <s v="1-1457001-2" u="1"/>
        <s v="1-1480861-2" u="1"/>
        <s v="1-1488847-4" u="1"/>
        <s v="1-1450608-11" u="1"/>
        <s v="1-1506255-20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500772-2" u="1"/>
        <s v="1-1504873-2" u="1"/>
        <s v="1-1504965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506158-3" u="1"/>
        <s v="1-1506266-2" u="1"/>
        <s v="1-1506466-1" u="1"/>
        <s v="1-1433001-2" u="1"/>
        <s v="1-1440963-2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504773-3" u="1"/>
        <s v="1-1504865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505010-2" u="1"/>
        <s v="12-1506044-2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508790-3" u="1"/>
        <s v="1-1434557-2" u="1"/>
        <s v="1-1434757-1" u="1"/>
        <s v="1-1438382-2" u="1"/>
        <s v="1-1454556-2" u="1"/>
        <s v="1-1459301-6" u="1"/>
        <s v="1-1478748-2" u="1"/>
        <s v="1-1490729-2" u="1"/>
        <s v="1-1453400-1" u="1"/>
        <s v="1-1464955-4" u="1"/>
        <s v="1-1480729-6" u="1"/>
        <s v="1-1505110-2" u="1"/>
        <s v="1-1446149-5" u="1"/>
        <s v="1-1466180-3" u="1"/>
        <s v="1-1467900-3" u="1"/>
        <s v="1-1482154-4" u="1"/>
        <s v="1-1482554-2" u="1"/>
        <s v="1-1490960-7" u="1"/>
        <s v="1-1456180-7" u="1"/>
        <s v="1-1500872-3" u="1"/>
        <s v="1-1504773-4" u="1"/>
        <s v="1-1504973-3" u="1"/>
        <s v="1-1508890-3" u="1"/>
        <s v="1-1454456-3" u="1"/>
        <s v="1-1454748-2" u="1"/>
        <s v="1-1458481-2" u="1"/>
        <s v="1-1462662-9" u="1"/>
        <s v="1-1470554-2" u="1"/>
        <s v="1-1490153-4" u="1"/>
        <s v="1-1490229-5" u="1"/>
        <s v="1-1506458-3" u="1"/>
        <s v="1-1506566-2" u="1"/>
        <s v="1-1437202-3" u="1"/>
        <s v="1-1492146-1" u="1"/>
        <s v="1-1496339-1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506066-5" u="1"/>
        <s v="1-1506758-2" u="1"/>
        <s v="1-1433601-1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504773-5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506255-18" u="1"/>
        <s v="1-1457601-2" u="1"/>
        <s v="1-1446081-5" u="1"/>
        <s v="1-1460055-2" u="1"/>
        <s v="1-1460347-1" u="1"/>
        <s v="1-1464248-2" u="1"/>
        <s v="1-1480054-2" u="1"/>
        <s v="1-1492729-8" u="1"/>
        <s v="1-1500972-4" u="1"/>
        <s v="10-1462824-3" u="1"/>
        <s v="1-1430856-2" u="1"/>
        <s v="1-1459301-8" u="1"/>
        <s v="1-1470854-2" u="1"/>
        <s v="1-1478672-3" u="1"/>
        <s v="1-1478948-3" u="1"/>
        <s v="1-1490853-2" u="1"/>
        <s v="1-1502765-2" u="1"/>
        <s v="1-1506066-6" u="1"/>
        <s v="1-1506666-3" u="1"/>
        <s v="1-1460232-11" u="1"/>
        <s v="1-1436074-2" u="1"/>
        <s v="1-1452248-2" u="1"/>
        <s v="1-1453200-4" u="1"/>
        <s v="1-1456073-2" u="1"/>
        <s v="1-1457501-3" u="1"/>
        <s v="1-1492246-2" u="1"/>
        <s v="1-1505510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504773-6" u="1"/>
        <s v="1-1430956-2" u="1"/>
        <s v="1-1458773-3" u="1"/>
        <s v="1-1474455-5" u="1"/>
        <s v="1-1478680-3" u="1"/>
        <s v="1-1490953-2" u="1"/>
        <s v="1-1494346-6" u="1"/>
        <s v="1-1502665-3" u="1"/>
        <s v="1-1506490-3" u="1"/>
        <s v="1-1506966-2" u="1"/>
        <s v="1-1476172-2" u="1"/>
        <s v="1-1496171-2" u="1"/>
        <s v="1-1496539-2" u="1"/>
        <s v="1-1505610-2" u="1"/>
        <s v="1-1508083-2" u="1"/>
        <s v="1-1446881-2" u="1"/>
        <s v="1-1440348-2" u="1"/>
        <s v="1-1444081-2" u="1"/>
        <s v="1-1460055-3" u="1"/>
        <s v="1-1480054-3" u="1"/>
        <s v="1-1480254-2" u="1"/>
        <s v="1-1492729-9" u="1"/>
        <s v="1-1500972-5" u="1"/>
        <s v="1-1481503-16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506958-3" u="1"/>
        <s v="1-1432081-2" u="1"/>
        <s v="1-1432449-2" u="1"/>
        <s v="1-1433801-2" u="1"/>
        <s v="1-1453800-2" u="1"/>
        <s v="1-1456273-2" u="1"/>
        <s v="1-1496271-2" u="1"/>
        <s v="1-1505710-2" u="1"/>
        <s v="1-1508459-2" u="1"/>
        <s v="1-1446149-8" u="1"/>
        <s v="1-1494039-1" u="1"/>
        <s v="1-1507011-2" u="1"/>
        <s v="1-1507103-2" u="1"/>
        <s v="12-1507159-2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506490-4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504090-2" u="1"/>
        <s v="1-1508191-2" u="1"/>
        <s v="1-1466680-4" u="1"/>
        <s v="1-1507311-1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-1506958-4" u="1"/>
        <s v="12-1492685-3" u="1"/>
        <s v="1-1452280-2" u="1"/>
        <s v="1-1496839-2" u="1"/>
        <s v="1-1508659-2" u="1"/>
        <s v="10-1507844-2" u="1"/>
        <s v="12-1480153-2" u="1"/>
        <s v="1-1446149-9" u="1"/>
        <s v="1-1503110-2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-1452748-2" u="1"/>
        <s v="1-1472747-2" u="1"/>
        <s v="1-1496571-2" u="1"/>
        <s v="1-1496939-2" u="1"/>
        <s v="1-1504858-1" u="1"/>
        <s v="1-1505210-6" u="1"/>
        <s v="1-1508683-1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92846-2" u="1"/>
        <s v="1-1500765-1" u="1"/>
        <s v="1-1508291-3" u="1"/>
        <s v="1-1508767-2" u="1"/>
        <s v="1-1494239-2" u="1"/>
        <s v="1-1494439-1" u="1"/>
        <s v="1-1507303-3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96939-3" u="1"/>
        <s v="1-1500665-2" u="1"/>
        <s v="1-1504766-2" u="1"/>
        <s v="1-1508391-3" u="1"/>
        <s v="1-1508775-2" u="1"/>
        <s v="1-1430149-2" u="1"/>
        <s v="1-1458166-2" u="1"/>
        <s v="1-1494339-2" u="1"/>
        <s v="1-1498164-2" u="1"/>
        <s v="1-1502058-2" u="1"/>
        <s v="1-1507603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-1504790-1" u="1"/>
        <s v="1-1508291-4" u="1"/>
        <s v="1-1508691-2" u="1"/>
        <s v="1-1508783-2" u="1"/>
        <s v="11-1460738-2" u="1"/>
        <s v="1-1454073-2" u="1"/>
        <s v="1-1494071-2" u="1"/>
        <s v="1-1498264-2" u="1"/>
        <s v="1-1502158-2" u="1"/>
        <s v="1-1507611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2-1497885-2" u="1"/>
        <s v="1-1432949-3" u="1"/>
        <s v="1-1452948-3" u="1"/>
        <s v="1-1456973-2" u="1"/>
        <s v="1-1472947-3" u="1"/>
        <s v="1-1492946-3" u="1"/>
        <s v="1-1496939-4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502258-2" u="1"/>
        <s v="1-1448474-5" u="1"/>
        <s v="1-1480054-7" u="1"/>
        <s v="1-1505003-2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508891-2" u="1"/>
        <s v="1-1451800-2" u="1"/>
        <s v="1-1458466-2" u="1"/>
        <s v="1-1502082-2" u="1"/>
        <s v="1-1507811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504690-3" u="1"/>
        <s v="1-1454373-2" u="1"/>
        <s v="1-1470347-3" u="1"/>
        <s v="1-1474172-3" u="1"/>
        <s v="1-1474372-2" u="1"/>
        <s v="1-1490070-3" u="1"/>
        <s v="1-1502182-2" u="1"/>
        <s v="1-1503810-2" u="1"/>
        <s v="1-1506283-2" u="1"/>
        <s v="1-1464880-3" u="1"/>
        <s v="12-1506042-2" u="1"/>
        <s v="1-1446074-4" u="1"/>
        <s v="1-1478948-9" u="1"/>
        <s v="1-1486164-4" u="1"/>
        <s v="12-1456607-5" u="1"/>
        <s v="12-1478938-3" u="1"/>
        <s v="1-1492846-5" u="1"/>
        <s v="1-1508291-6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502190-2" u="1"/>
        <s v="1-1505303-2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504690-4" u="1"/>
        <s v="1-1486821-12" u="1"/>
        <s v="12-1447207-3" u="1"/>
        <s v="12-1448035-3" u="1"/>
        <s v="12-1468434-1" u="1"/>
        <s v="1-1450180-3" u="1"/>
        <s v="1-1494571-2" u="1"/>
        <s v="1-1502290-2" u="1"/>
        <s v="1-1502458-3" u="1"/>
        <s v="1-1480054-9" u="1"/>
        <s v="1-1505603-1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92846-6" u="1"/>
        <s v="1-1450848-2" u="1"/>
        <s v="1-1454673-2" u="1"/>
        <s v="1-1490570-2" u="1"/>
        <s v="1-1490846-2" u="1"/>
        <s v="1-1502390-2" u="1"/>
        <s v="1-1436067-2" u="1"/>
        <s v="1-1444981-4" u="1"/>
        <s v="1-1456066-2" u="1"/>
        <s v="1-1492239-2" u="1"/>
        <s v="1-1505503-2" u="1"/>
        <s v="1-1482871-1" u="1"/>
        <s v="1-1468058-3" u="1"/>
        <s v="1-1480039-3" u="1"/>
        <s v="1-1496939-7" u="1"/>
        <s v="1-1504690-5" u="1"/>
        <s v="1-1438767-3" u="1"/>
        <s v="1-1450348-5" u="1"/>
        <s v="1-1470947-2" u="1"/>
        <s v="1-1478965-2" u="1"/>
        <s v="1-1494939-3" u="1"/>
        <s v="1-1494971-1" u="1"/>
        <s v="1-1502490-2" u="1"/>
        <s v="1-1502858-2" u="1"/>
        <s v="1-1506483-3" u="1"/>
        <s v="1-1492063-2" u="1"/>
        <s v="1-1505403-3" u="1"/>
        <s v="1-1442773-2" u="1"/>
        <s v="1-1446874-2" u="1"/>
        <s v="1-1446966-2" u="1"/>
        <s v="1-1466673-3" u="1"/>
        <s v="1-1479110-1" u="1"/>
        <s v="1-1486164-6" u="1"/>
        <s v="1-1508291-8" u="1"/>
        <s v="1-1430573-3" u="1"/>
        <s v="1-1454873-2" u="1"/>
        <s v="1-1470571-3" u="1"/>
        <s v="1-1474872-2" u="1"/>
        <s v="1-1478865-3" u="1"/>
        <s v="1-1490770-2" u="1"/>
        <s v="1-1506783-2" u="1"/>
        <s v="10-1476085-2" u="1"/>
        <s v="1-1432074-2" u="1"/>
        <s v="1-1456266-2" u="1"/>
        <s v="1-1476065-3" u="1"/>
        <s v="1-1492071-2" u="1"/>
        <s v="1-1492439-2" u="1"/>
        <s v="1-1508376-1" u="1"/>
        <s v="1-1442673-3" u="1"/>
        <s v="1-1446866-3" u="1"/>
        <s v="1-1446974-2" u="1"/>
        <s v="1-1506890-9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-1502690-2" u="1"/>
        <s v="10-1435139-3" u="1"/>
        <s v="1-1472172-2" u="1"/>
        <s v="1-1500182-1" u="1"/>
        <s v="1-1501610-2" u="1"/>
        <s v="1-1505803-2" u="1"/>
        <s v="1-1508276-2" u="1"/>
        <s v="1-1446874-3" u="1"/>
        <s v="1-1486164-7" u="1"/>
        <s v="1-1448191-2" u="1"/>
        <s v="1-1468190-2" u="1"/>
        <s v="1-1484364-2" u="1"/>
        <s v="1-1488557-2" u="1"/>
        <s v="1-1502790-2" u="1"/>
        <s v="1-1432074-3" u="1"/>
        <s v="1-1452273-2" u="1"/>
        <s v="1-1472272-2" u="1"/>
        <s v="1-1472564-1" u="1"/>
        <s v="1-1492071-3" u="1"/>
        <s v="1-1492271-2" u="1"/>
        <s v="1-1504183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8767-5" u="1"/>
        <s v="1-1467210-2" u="1"/>
        <s v="1-1470871-3" u="1"/>
        <s v="1-1502782-3" u="1"/>
        <s v="1-1432374-2" u="1"/>
        <s v="1-1452373-2" u="1"/>
        <s v="1-1492263-3" u="1"/>
        <s v="1-1492371-2" u="1"/>
        <s v="1-1504175-3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502790-3" u="1"/>
        <s v="1-1456466-3" u="1"/>
        <s v="1-1472472-2" u="1"/>
        <s v="1-1476265-4" u="1"/>
        <s v="1-1476665-2" u="1"/>
        <s v="1-1496664-2" u="1"/>
        <s v="1-1501710-3" u="1"/>
        <s v="1-1504383-2" u="1"/>
        <s v="1-1504475-2" u="1"/>
        <s v="1-1508392-2" u="1"/>
        <s v="1-1458059-2" u="1"/>
        <s v="1-1492360-30" u="1"/>
        <s v="1-1504652-11" u="1"/>
        <s v="12-1508329-2" u="1"/>
        <s v="1-1429720-4" u="1"/>
        <s v="1-1448459-4" u="1"/>
        <s v="1-1448859-2" u="1"/>
        <s v="1-1460472-2" u="1"/>
        <s v="1-1468458-4" u="1"/>
        <s v="1-1480839-2" u="1"/>
        <s v="1-1484664-2" u="1"/>
        <s v="1-1504690-8" u="1"/>
        <s v="12-1507614-8" u="1"/>
        <s v="1-1432574-2" u="1"/>
        <s v="1-1452573-2" u="1"/>
        <s v="1-1456766-2" u="1"/>
        <s v="1-1472664-2" u="1"/>
        <s v="1-1489002-1" u="1"/>
        <s v="1-1492571-2" u="1"/>
        <s v="1-1500382-2" u="1"/>
        <s v="1-1508768-2" u="1"/>
        <s v="1-1439512-2" u="1"/>
        <s v="1-1446874-5" u="1"/>
        <s v="1-1466673-6" u="1"/>
        <s v="1-1479510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8060-11" u="1"/>
        <s v="1-1486157-2" u="1"/>
        <s v="1-1502790-4" u="1"/>
        <s v="1-1436667-3" u="1"/>
        <s v="1-1436867-2" u="1"/>
        <s v="1-1456390-3" u="1"/>
        <s v="1-1456590-2" u="1"/>
        <s v="1-1476265-5" u="1"/>
        <s v="1-1492763-2" u="1"/>
        <s v="1-1496464-4" u="1"/>
        <s v="1-1508776-2" u="1"/>
        <s v="1-1439612-2" u="1"/>
        <s v="1-1458259-2" u="1"/>
        <s v="1-1474065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69003-2" u="1"/>
        <s v="1-1472772-2" u="1"/>
        <s v="1-1504683-2" u="1"/>
        <s v="1-1508692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-1502790-5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-1504875-2" u="1"/>
        <s v="1-1508792-2" u="1"/>
        <s v="1-1508884-2" u="1"/>
        <s v="1-1458183-2" u="1"/>
        <s v="1-1458459-2" u="1"/>
        <s v="1-1498181-2" u="1"/>
        <s v="1-1498457-2" u="1"/>
        <s v="1-1468458-6" u="1"/>
        <s v="1-1467610-3" u="1"/>
        <s v="1-1436891-2" u="1"/>
        <s v="1-1489202-2" u="1"/>
        <s v="1-1500582-3" u="1"/>
        <s v="1-1500858-3" u="1"/>
        <s v="1-1504775-3" u="1"/>
        <s v="1-1504975-2" u="1"/>
        <s v="1-1508892-2" u="1"/>
        <s v="1-1446874-7" u="1"/>
        <s v="1-1459911-2" u="1"/>
        <s v="1-1478558-2" u="1"/>
        <s v="1-1498557-2" u="1"/>
        <s v="1-1503803-2" u="1"/>
        <s v="1-1506168-3" u="1"/>
        <s v="1-1448591-4" u="1"/>
        <s v="1-1460572-4" u="1"/>
        <s v="1-1464765-4" u="1"/>
        <s v="1-1462365-2" u="1"/>
        <s v="1-1466558-2" u="1"/>
        <s v="1-1502790-6" u="1"/>
        <s v="1-1436667-5" u="1"/>
        <s v="1-1456990-2" u="1"/>
        <s v="1-1489302-2" u="1"/>
        <s v="1-1500682-3" u="1"/>
        <s v="1-1504983-2" u="1"/>
        <s v="1-1434559-2" u="1"/>
        <s v="1-1434759-1" u="1"/>
        <s v="1-1450165-3" u="1"/>
        <s v="1-1454190-2" u="1"/>
        <s v="1-1454558-2" u="1"/>
        <s v="1-1490363-2" u="1"/>
        <s v="1-1498857-1" u="1"/>
        <s v="1-1503703-3" u="1"/>
        <s v="1-1506376-2" u="1"/>
        <s v="1-1453310-1" u="1"/>
        <s v="1-1457211-2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500982-2" u="1"/>
        <s v="1-1504483-5" u="1"/>
        <s v="1-1504683-4" u="1"/>
        <s v="1-1434291-2" u="1"/>
        <s v="1-1454258-4" u="1"/>
        <s v="1-1454658-2" u="1"/>
        <s v="1-1458391-2" u="1"/>
        <s v="1-1459911-3" u="1"/>
        <s v="1-1498281-3" u="1"/>
        <s v="1-1506476-2" u="1"/>
        <s v="1-1437312-2" u="1"/>
        <s v="1-1448591-5" u="1"/>
        <s v="1-1460572-5" u="1"/>
        <s v="1-1505320-1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-1500682-4" u="1"/>
        <s v="10-1441857-3" u="1"/>
        <s v="1-1430566-2" u="1"/>
        <s v="1-1454758-2" u="1"/>
        <s v="1-1458183-4" u="1"/>
        <s v="1-1478490-2" u="1"/>
        <s v="1-1498581-2" u="1"/>
        <s v="1-1502475-2" u="1"/>
        <s v="1-1437012-4" u="1"/>
        <s v="1-1437212-3" u="1"/>
        <s v="1-1457411-2" u="1"/>
        <s v="1-1468458-8" u="1"/>
        <s v="1-1442190-3" u="1"/>
        <s v="1-1446491-2" u="1"/>
        <s v="1-1462465-3" u="1"/>
        <s v="1-1466490-2" u="1"/>
        <s v="1-1467610-5" u="1"/>
        <s v="1-1482864-1" u="1"/>
        <s v="1-1499002-1" u="1"/>
        <s v="1-1449604-2" u="1"/>
        <s v="1-1504683-5" u="1"/>
        <s v="12-1470723-4" u="1"/>
        <s v="1-1454490-2" u="1"/>
        <s v="1-1454858-2" u="1"/>
        <s v="1-1458883-1" u="1"/>
        <s v="1-1459911-4" u="1"/>
        <s v="1-1470664-2" u="1"/>
        <s v="1-1478590-2" u="1"/>
        <s v="1-1478682-2" u="1"/>
        <s v="1-1490663-2" u="1"/>
        <s v="1-1498481-3" u="1"/>
        <s v="1-1498681-2" u="1"/>
        <s v="1-1506768-2" u="1"/>
        <s v="12-1440324-2" u="1"/>
        <s v="12-1435918-24" u="1"/>
        <s v="1-1437512-2" u="1"/>
        <s v="1-1448591-6" u="1"/>
        <s v="1-1472057-2" u="1"/>
        <s v="1-1492056-2" u="1"/>
        <s v="1-1505320-2" u="1"/>
        <s v="10-1501760-2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2-1493870-2" u="1"/>
        <s v="1-1438784-2" u="1"/>
        <s v="1-1458691-2" u="1"/>
        <s v="1-1458891-1" u="1"/>
        <s v="1-1467103-1" u="1"/>
        <s v="1-1470764-2" u="1"/>
        <s v="1-1478490-3" u="1"/>
        <s v="1-1478782-2" u="1"/>
        <s v="1-1478858-3" u="1"/>
        <s v="1-1498581-3" u="1"/>
        <s v="1-1506668-3" u="1"/>
        <s v="1-1506776-2" u="1"/>
        <s v="1-1433311-3" u="1"/>
        <s v="1-1496349-2" u="1"/>
        <s v="1-1497501-3" u="1"/>
        <s v="1-1505420-2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9911-5" u="1"/>
        <s v="1-1467003-2" u="1"/>
        <s v="1-1498881-2" u="1"/>
        <s v="1-1502775-2" u="1"/>
        <s v="1-1506876-2" u="1"/>
        <s v="1-1506968-2" u="1"/>
        <s v="1-1433411-3" u="1"/>
        <s v="1-1437712-2" u="1"/>
        <s v="1-1456083-2" u="1"/>
        <s v="1-1457803-2" u="1"/>
        <s v="1-1472257-2" u="1"/>
        <s v="1-1504168-2" u="1"/>
        <s v="1-1505520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98581-4" u="1"/>
        <s v="1-1498781-3" u="1"/>
        <s v="1-1506976-2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504268-2" u="1"/>
        <s v="1-1439005-3" u="1"/>
        <s v="1-1446691-3" u="1"/>
        <s v="1-1446891-2" u="1"/>
        <s v="1-1455103-2" u="1"/>
        <s v="1-1482864-3" u="1"/>
        <s v="1-1495101-2" u="1"/>
        <s v="1-1499202-2" u="1"/>
        <s v="1-1507013-2" u="1"/>
        <s v="1-1444259-3" u="1"/>
        <s v="1-1445811-2" u="1"/>
        <s v="1-1460065-3" u="1"/>
        <s v="1-1460265-2" u="1"/>
        <s v="1-1460357-2" u="1"/>
        <s v="1-1468283-2" u="1"/>
        <s v="1-1504683-7" u="1"/>
        <s v="12-1496470-4" u="1"/>
        <s v="1-1443011-2" u="1"/>
        <s v="1-1487202-2" u="1"/>
        <s v="1-1498681-4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505720-2" u="1"/>
        <s v="1-1446959-4" u="1"/>
        <s v="1-1455203-2" u="1"/>
        <s v="1-1459304-2" u="1"/>
        <s v="1-1479303-2" u="1"/>
        <s v="1-1495401-1" u="1"/>
        <s v="1-1507021-2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0561-18" u="1"/>
        <s v="1-1453710-3" u="1"/>
        <s v="1-1453910-2" u="1"/>
        <s v="1-1456183-3" u="1"/>
        <s v="1-1472557-2" u="1"/>
        <s v="1-1496349-4" u="1"/>
        <s v="1-1500275-2" u="1"/>
        <s v="1-1435304-2" u="1"/>
        <s v="1-1439005-4" u="1"/>
        <s v="1-1442990-2" u="1"/>
        <s v="1-1455103-3" u="1"/>
        <s v="1-1475302-2" u="1"/>
        <s v="1-1507121-2" u="1"/>
        <s v="12-1506143-2" u="1"/>
        <s v="1-1440558-2" u="1"/>
        <s v="1-1440758-1" u="1"/>
        <s v="1-1460065-4" u="1"/>
        <s v="1-1468483-2" u="1"/>
        <s v="1-1480556-2" u="1"/>
        <s v="10-1488871-2" u="1"/>
        <s v="1-1443211-2" u="1"/>
        <s v="1-1447004-4" u="1"/>
        <s v="1-1463010-3" u="1"/>
        <s v="1-1463210-2" u="1"/>
        <s v="1-1487402-2" u="1"/>
        <s v="1-1432291-2" u="1"/>
        <s v="1-1472257-4" u="1"/>
        <s v="1-1472657-2" u="1"/>
        <s v="1-1476482-2" u="1"/>
        <s v="1-1496449-4" u="1"/>
        <s v="1-1496481-2" u="1"/>
        <s v="1-1500375-2" u="1"/>
        <s v="1-1505920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87502-2" u="1"/>
        <s v="1-1498581-6" u="1"/>
        <s v="13-1433724-2" u="1"/>
        <s v="1-1433911-3" u="1"/>
        <s v="1-1472757-2" u="1"/>
        <s v="1-1496349-5" u="1"/>
        <s v="1-1496781-1" u="1"/>
        <s v="1-1500475-2" u="1"/>
        <s v="1-1508769-2" u="1"/>
        <s v="1-1431311-2" u="1"/>
        <s v="1-1435504-2" u="1"/>
        <s v="1-1455103-4" u="1"/>
        <s v="1-1455303-3" u="1"/>
        <s v="1-1494149-2" u="1"/>
        <s v="1-1499602-2" u="1"/>
        <s v="1-1507321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67603-2" u="1"/>
        <s v="1-1467803-1" u="1"/>
        <s v="1-1487402-3" u="1"/>
        <s v="1-1498681-6" u="1"/>
        <s v="1-1502975-4" u="1"/>
        <s v="1-1437712-5" u="1"/>
        <s v="1-1472257-5" u="1"/>
        <s v="1-1472857-2" u="1"/>
        <s v="1-1496681-2" u="1"/>
        <s v="1-1496881-1" u="1"/>
        <s v="1-1508777-2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507421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2-1500314-2" u="1"/>
        <s v="1-1446276-1" u="1"/>
        <s v="1-1467703-2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-1500675-2" u="1"/>
        <s v="1-1504868-2" u="1"/>
        <s v="1-1508785-2" u="1"/>
        <s v="10-1432336-2" u="1"/>
        <s v="1-1455103-5" u="1"/>
        <s v="1-1494349-2" u="1"/>
        <s v="1-1502068-2" u="1"/>
        <s v="1-1507121-4" u="1"/>
        <s v="1-1507613-2" u="1"/>
        <s v="1-1444691-2" u="1"/>
        <s v="1-1444783-2" u="1"/>
        <s v="1-1460865-2" u="1"/>
        <s v="1-1464782-2" u="1"/>
        <s v="1-1473102-1" u="1"/>
        <s v="1-1484857-3" u="1"/>
        <s v="1-1466175-2" u="1"/>
        <s v="1-1487402-4" u="1"/>
        <s v="1-1436884-2" u="1"/>
        <s v="1-1437712-6" u="1"/>
        <s v="1-1465203-1" u="1"/>
        <s v="1-1485002-2" u="1"/>
        <s v="1-1496481-4" u="1"/>
        <s v="1-1504968-2" u="1"/>
        <s v="10-1472506-2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99902-2" u="1"/>
        <s v="1-1502168-2" u="1"/>
        <s v="1-1507021-5" u="1"/>
        <s v="1-1507513-3" u="1"/>
        <s v="1-1424284-5" u="1"/>
        <s v="1-1444683-3" u="1"/>
        <s v="1-1460857-3" u="1"/>
        <s v="1-1480964-2" u="1"/>
        <s v="1-1446076-3" u="1"/>
        <s v="1-1462282-1" u="1"/>
        <s v="1-1463110-5" u="1"/>
        <s v="1-1487502-4" u="1"/>
        <s v="13-1439456-3" u="1"/>
        <s v="1-1432791-2" u="1"/>
        <s v="1-1441003-2" u="1"/>
        <s v="1-1445104-2" u="1"/>
        <s v="1-1461002-2" u="1"/>
        <s v="1-1485102-2" u="1"/>
        <s v="10-1455255-2" u="1"/>
        <s v="12-1508326-2" u="1"/>
        <s v="1-1508278-2" u="1"/>
        <s v="1-1508594-2" u="1"/>
        <s v="12-1508325-2" u="1"/>
        <s v="1-1508794-2" u="1"/>
        <s v="1-1508495-2" u="1"/>
        <s v="1-1508587-2" u="1"/>
        <s v="1-1508787-1" u="1"/>
        <s v="1-1508595-2" u="1"/>
        <s v="1-1508788-1" u="1"/>
        <s v="1-1508596-2" u="1"/>
        <s v="1-1507540-2" u="1"/>
        <s v="12-1508328-3" u="1"/>
        <s v="1-1508489-3" u="1"/>
        <s v="1-1507341-3" u="1"/>
        <s v="1-1507541-2" u="1"/>
        <s v="1-1508398-2" u="1"/>
        <s v="1-1507534-1" u="1"/>
        <s v="1-1507342-2" u="1"/>
        <s v="1-1508798-3" u="1"/>
        <s v="1-1507343-2" u="1"/>
        <s v="1-1507635-3" u="1"/>
        <s v="1-1507151-5" u="1"/>
        <s v="1-1507344-2" u="1"/>
        <s v="12-1508498-2" u="1"/>
        <s v="12-1508589-2" u="1"/>
        <s v="1-1507070-2" u="1"/>
      </sharedItems>
    </cacheField>
    <cacheField name="Anunciante" numFmtId="0">
      <sharedItems/>
    </cacheField>
    <cacheField name="Cod. Neg." numFmtId="0">
      <sharedItems containsBlank="1" count="8000">
        <m/>
        <s v="03202304"/>
        <s v="284101"/>
        <s v="209090 23"/>
        <s v="289898923"/>
        <s v="284463"/>
        <s v="&gt;PENDIENTE&lt;"/>
        <s v="284053"/>
        <s v="284025"/>
        <s v="284052"/>
        <s v="259648abril"/>
        <s v="284054"/>
        <s v="25663"/>
        <s v="210323"/>
        <s v="020423"/>
        <s v="284026"/>
        <s v="283783"/>
        <s v="6020"/>
        <s v="125632"/>
        <s v="03042023"/>
        <s v="BSE2020" u="1"/>
        <s v="5237" u="1"/>
        <s v="28151700 2" u="1"/>
        <s v="270522" u="1"/>
        <s v="0290 10 12 1" u="1"/>
        <s v="150522" u="1"/>
        <s v="333365" u="1"/>
        <s v="2090 230" u="1"/>
        <s v="274454" u="1"/>
        <s v="may28/22" u="1"/>
        <s v="23909123 1" u="1"/>
        <s v="5267" u="1"/>
        <s v="31.1222" u="1"/>
        <s v="2908 2332DKD" u="1"/>
        <s v="256639" u="1"/>
        <s v="275718" u="1"/>
        <s v="278386" u="1"/>
        <s v="171020201" u="1"/>
        <s v="5287" u="1"/>
        <s v="51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1542369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270" u="1"/>
        <s v="279362" u="1"/>
        <s v="279454" u="1"/>
        <s v="279546" u="1"/>
        <s v="279638" u="1"/>
        <s v="29090 23212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MARZO STRE MUNI" u="1"/>
        <s v="280122NOV.3L2322" u="1"/>
        <s v="284008" u="1"/>
        <s v="020822Q" u="1"/>
        <s v="AÑO2022W" u="1"/>
        <s v="239090 230" u="1"/>
        <s v="102020 FM SOL" u="1"/>
        <s v="26082020" u="1"/>
        <s v="12344ñ5f" u="1"/>
        <s v="30052021" u="1"/>
        <s v="30072020" u="1"/>
        <s v="02022023" u="1"/>
        <s v="02082020" u="1"/>
        <s v="287607 3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25858" u="1"/>
        <s v="333363" u="1"/>
        <s v="2701521" u="1"/>
        <s v="030520" u="1"/>
        <s v="2890 323 23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4961" u="1"/>
        <s v="73248" u="1"/>
        <s v="282006" u="1"/>
        <s v="283018" u="1"/>
        <s v="279600" u="1"/>
        <s v="283006" u="1"/>
        <s v="284018" u="1"/>
        <s v="06620" u="1"/>
        <s v="45358" u="1"/>
        <s v="02022.13" u="1"/>
        <s v="281513 - j 23" u="1"/>
        <s v="284006" u="1"/>
        <s v="18072021" u="1"/>
        <s v="18092020" u="1"/>
        <s v="290189 1791" u="1"/>
        <s v="22022023" u="1"/>
        <s v="22062021" u="1"/>
        <s v="010722UcIJ" u="1"/>
        <s v="10062021" u="1"/>
        <s v="25052020 PER" u="1"/>
        <s v="274454 Mar21" u="1"/>
        <s v="09023navas 14dic" u="1"/>
        <s v="0009" u="1"/>
        <s v="292393" u="1"/>
        <s v="293589" u="1"/>
        <s v="43898293 3kkdho" u="1"/>
        <s v="272474" u="1"/>
        <s v="290909" u="1"/>
        <s v="5238" u="1"/>
        <s v="150622" u="1"/>
        <s v="170621" u="1"/>
        <s v="26539 Eenero- junio23" u="1"/>
        <s v="030622" u="1"/>
        <s v="070620" u="1"/>
        <s v="230520" u="1"/>
        <s v="11-5-20" u="1"/>
        <s v="12 J- 2022." u="1"/>
        <s v="171805" u="1"/>
        <s v="080321UB" u="1"/>
        <s v="151610" u="1"/>
        <s v="23082021ujj" u="1"/>
        <s v="275726" u="1"/>
        <s v="278578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5298" u="1"/>
        <s v="1511202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3112103" u="1"/>
        <s v="BMnov22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284028" u="1"/>
        <s v="5771" u="1"/>
        <s v="2653." u="1"/>
        <s v="20211104" u="1"/>
        <s v="116721 julio" u="1"/>
        <s v="0562" u="1"/>
        <s v="283004" u="1"/>
        <s v="284016" u="1"/>
        <s v="26072021" u="1"/>
        <s v="6532-01-23" u="1"/>
        <s v="284004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0902 320 12" u="1"/>
        <s v="2308MEX" u="1"/>
        <s v="161022 SUBTE" u="1"/>
        <s v="332025/1" u="1"/>
        <s v="82909ss223" u="1"/>
        <s v="5649" u="1"/>
        <s v="281518 100" u="1"/>
        <s v="2342342 411" u="1"/>
        <s v="080922 SEP22" u="1"/>
        <s v="MSSJ 28/12/2022" u="1"/>
        <s v="2090232 1j" u="1"/>
        <s v="2898912 91" u="1"/>
        <s v="310520" u="1"/>
        <s v="2900912" u="1"/>
        <s v="21febrero 2021" u="1"/>
        <s v="253645" u="1"/>
        <s v="25968" u="1"/>
        <s v="29 SEPTIEMBRE" u="1"/>
        <s v="275748" u="1"/>
        <s v="BGT" u="1"/>
        <s v="190291- 2023" u="1"/>
        <s v="277668" u="1"/>
        <s v="278588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588" u="1"/>
        <s v="0903" u="1"/>
        <s v="150622cm" u="1"/>
        <s v="275712" u="1"/>
        <s v="278564" u="1"/>
        <s v="278656" u="1"/>
        <s v="279392" u="1"/>
        <s v="279576" u="1"/>
        <s v="279668" u="1"/>
        <s v="9903023" u="1"/>
        <s v="07102021" u="1"/>
        <s v="07122020" u="1"/>
        <s v="280038" u="1"/>
        <s v="83989923" u="1"/>
        <s v="20290 00 10 0" u="1"/>
        <s v="180323 cdJpSAB" u="1"/>
        <s v="278552" u="1"/>
        <s v="278644" u="1"/>
        <s v="278828" u="1"/>
        <s v="279380" u="1"/>
        <s v="279472" u="1"/>
        <s v="279564" u="1"/>
        <s v="279656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282038" u="1"/>
        <s v="190290 1039" u="1"/>
        <s v="452022 construccion" u="1"/>
        <s v="1332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2023 0803 LGSM" u="1"/>
        <s v="2562" u="1"/>
        <s v="-0522" u="1"/>
        <s v="282002" u="1"/>
        <s v="283106" u="1"/>
        <s v="300922i" u="1"/>
        <s v="283002" u="1"/>
        <s v="284014" u="1"/>
        <s v="MSSJ 17/2/23" u="1"/>
        <s v="390482" u="1"/>
        <s v="06062022" u="1"/>
        <s v="06082021" u="1"/>
        <s v="28353723" u="1"/>
        <s v="ejesa14marzo.convoc" u="1"/>
        <s v="I" u="1"/>
        <s v="2582" u="1"/>
        <s v="4992" u="1"/>
        <s v="284002" u="1"/>
        <s v="10072021" u="1"/>
        <s v="10092020" u="1"/>
        <s v="9228" u="1"/>
        <s v="154236U" u="1"/>
        <s v="3838923" u="1"/>
        <s v="281528 020" u="1"/>
        <s v="10820" u="1"/>
        <s v="5229" u="1"/>
        <s v="2785441 marzo" u="1"/>
        <s v="290023 2" u="1"/>
        <s v="39048932NOVI.E" u="1"/>
        <s v="272470" u="1"/>
        <s v="150722" u="1"/>
        <s v="071022 2" u="1"/>
        <s v="25969" u="1"/>
        <s v="dic2012" u="1"/>
        <s v="313818" u="1"/>
        <s v="329091 10 1" u="1"/>
        <s v="25 septiembre" u="1"/>
        <s v="275746" u="1"/>
        <s v="27767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uca oct21b31" u="1"/>
        <s v="20sept 2021 canal 7" u="1"/>
        <s v="5289" u="1"/>
        <s v="290090 21090 2" u="1"/>
        <s v="275722" u="1"/>
        <s v="278574" u="1"/>
        <s v="278666" u="1"/>
        <s v="278758" u="1"/>
        <s v="279494" u="1"/>
        <s v="279586" u="1"/>
        <s v="279678" u="1"/>
        <s v="27122020" u="1"/>
        <s v="15102021" u="1"/>
        <s v="258457-39" u="1"/>
        <s v="31-12-2022MSP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280036" u="1"/>
        <s v="28012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MSSJ20/06/2022" u="1"/>
        <s v="22705" u="1"/>
        <s v="26530" u="1"/>
        <s v="279710" u="1"/>
        <s v="279802" u="1"/>
        <s v="082022" u="1"/>
        <s v="281000" u="1"/>
        <s v="282012" u="1"/>
        <s v="282104" u="1"/>
        <s v="283024" u="1"/>
        <s v="283116" u="1"/>
        <s v="154272," u="1"/>
        <s v="5772" u="1"/>
        <s v="281021 CM2022" u="1"/>
        <s v="14630" u="1"/>
        <s v="282000" u="1"/>
        <s v="283012" u="1"/>
        <s v="283104" u="1"/>
        <s v="130123.1" u="1"/>
        <s v="270227 12" u="1"/>
        <s v="6009" u="1"/>
        <s v="283000" u="1"/>
        <s v="284012" u="1"/>
        <s v="30072021" u="1"/>
        <s v="2901910" u="1"/>
        <s v="02042023" u="1"/>
        <s v="02082021" u="1"/>
        <s v="13-11-2022m" u="1"/>
        <s v="6019" u="1"/>
        <s v="225.31" u="1"/>
        <s v="284000" u="1"/>
        <s v="029032.marzo. MARMOLERIA" u="1"/>
        <s v="272492" u="1"/>
        <s v="25494" u="1"/>
        <s v="2840920 9" u="1"/>
        <s v="23082021ujU" u="1"/>
        <s v="272480" u="1"/>
        <s v="190822" u="1"/>
        <s v="191834" u="1"/>
        <s v="070822" u="1"/>
        <s v="290903" u="1"/>
        <s v="dic1312" u="1"/>
        <s v="063414ñ45312w" u="1"/>
        <s v="274756" u="1"/>
        <s v="171903" u="1"/>
        <s v="15-01-23 ENERO" u="1"/>
        <s v="333815" u="1"/>
        <s v="080321 cd" u="1"/>
        <s v="277676" u="1"/>
        <s v="278688" u="1"/>
        <s v="2425062021" u="1"/>
        <s v="MSSJ 1821/11/20221" u="1"/>
        <s v="MSSJ 2528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9492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78560" u="1"/>
        <s v="278652" u="1"/>
        <s v="278744" u="1"/>
        <s v="278928" u="1"/>
        <s v="279480" u="1"/>
        <s v="279572" u="1"/>
        <s v="279664" u="1"/>
        <s v="279756" u="1"/>
        <s v="6532" u="1"/>
        <s v="1234ñ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928" u="1"/>
        <s v="1546282" u="1"/>
        <s v="noviembre17.1" u="1"/>
        <s v="DICIEMBRE STRE MUNI" u="1"/>
        <s v="10230" u="1"/>
        <s v="14423" u="1"/>
        <s v="280022" u="1"/>
        <s v="280114" u="1"/>
        <s v="280206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4953" u="1"/>
        <s v="6552" u="1"/>
        <s v="10514" u="1"/>
        <s v="280010" u="1"/>
        <s v="280102" u="1"/>
        <s v="281022" u="1"/>
        <s v="281114" u="1"/>
        <s v="282126" u="1"/>
        <s v="282218" u="1"/>
        <s v="283046" u="1"/>
        <s v="283138" u="1"/>
        <s v="284058" u="1"/>
        <s v="25698 11" u="1"/>
        <s v="5352" u="1"/>
        <s v="06532" u="1"/>
        <s v="26531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22023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90902" u="1"/>
        <s v="222001" u="1"/>
        <s v="283010" u="1"/>
        <s v="283102" u="1"/>
        <s v="24122021ujj" u="1"/>
        <s v="08090322" u="1"/>
        <s v="22082021" u="1"/>
        <s v="4182" u="1"/>
        <s v="284010" u="1"/>
        <s v="MSSJ 18/3/23" u="1"/>
        <s v="nov1020" u="1"/>
        <s v="920092 1 091" u="1"/>
        <s v="190422ujj" u="1"/>
        <s v="3849923" u="1"/>
        <s v="2901901 0" u="1"/>
        <s v="MSSJ 28./12./2022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090 20 932" u="1"/>
        <s v="280108 1121" u="1"/>
        <s v="0326..." u="1"/>
        <s v="LSP01082021" u="1"/>
        <s v="277686" u="1"/>
        <s v="230821 cdJ p" u="1"/>
        <s v="10015" u="1"/>
        <s v="MSSJ 4/2/23" u="1"/>
        <s v="26124" u="1"/>
        <s v="275742" u="1"/>
        <s v="277674" u="1"/>
        <s v="278594" u="1"/>
        <s v="278686" u="1"/>
        <s v="27877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124" u="1"/>
        <s v="280216" u="1"/>
        <s v="280308" u="1"/>
        <s v="281044" u="1"/>
        <s v="281136" u="1"/>
        <s v="282056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6953" u="1"/>
        <s v="060123" u="1"/>
        <s v="280112" u="1"/>
        <s v="280204" u="1"/>
        <s v="281124" u="1"/>
        <s v="281308" u="1"/>
        <s v="282044" u="1"/>
        <s v="282136" u="1"/>
        <s v="282228" u="1"/>
        <s v="283056" u="1"/>
        <s v="284068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03-2023MSP" u="1"/>
        <s v="081122" u="1"/>
        <s v="280100" u="1"/>
        <s v="282124" u="1"/>
        <s v="283044" u="1"/>
        <s v="283136" u="1"/>
        <s v="283228" u="1"/>
        <s v="284056" u="1"/>
        <s v="121022" u="1"/>
        <s v="279810" u="1"/>
        <s v="279902" u="1"/>
        <s v="283031 6" u="1"/>
        <s v="281100" u="1"/>
        <s v="282112" u="1"/>
        <s v="282204" u="1"/>
        <s v="283124" u="1"/>
        <s v="5773" u="1"/>
        <s v="122022" u="1"/>
        <s v="73377" u="1"/>
        <s v="022021" u="1"/>
        <s v="042020" u="1"/>
        <s v="282100" u="1"/>
        <s v="283112" u="1"/>
        <s v="283204" u="1"/>
        <s v="284032" u="1"/>
        <s v="284308" u="1"/>
        <s v="324208" u="1"/>
        <s v="26092021" u="1"/>
        <s v="38932" u="1"/>
        <s v="283100" u="1"/>
        <s v="30062022" u="1"/>
        <s v="30082021" u="1"/>
        <s v="02092021" u="1"/>
        <s v="lajsljlanv" u="1"/>
        <s v="13-112020" u="1"/>
        <s v="032021 Imp" u="1"/>
        <s v="29090 9811" u="1"/>
        <s v="FEFER 07-20" u="1"/>
        <s v="311222v" u="1"/>
        <s v="X0921c52" u="1"/>
        <s v="25688" u="1"/>
        <s v="02/09/2021" u="1"/>
        <s v="2010112022 011" u="1"/>
        <s v="290923" u="1"/>
        <s v="14NOV 390902" u="1"/>
        <s v="25696" u="1"/>
        <s v="24245343" u="1"/>
        <s v="290911" u="1"/>
        <s v="190290 2023" u="1"/>
        <s v="277652 MAR21" u="1"/>
        <s v="0708060" u="1"/>
        <s v="2800085" u="1"/>
        <s v="234121 12" u="1"/>
        <s v="275672" u="1"/>
        <s v="240321 cd" u="1"/>
        <s v="LSP10062022" u="1"/>
        <s v="278788" u="1"/>
        <s v="89100322" u="1"/>
        <s v="902lslnov.1" u="1"/>
        <s v="280078" u="1"/>
        <s v="26.02.23F" u="1"/>
        <s v="2023 MARZO-LGSM" u="1"/>
        <s v="04/22 MPSTREAMING1" u="1"/>
        <s v="22032" u="1"/>
        <s v="277672" u="1"/>
        <s v="278592" u="1"/>
        <s v="278776" u="1"/>
        <s v="278868" u="1"/>
        <s v="279788" u="1"/>
        <s v="3903kgld" u="1"/>
        <s v="Centro de Jubilados Pensionados de Yuto" u="1"/>
        <s v="10308" u="1"/>
        <s v="280066" u="1"/>
        <s v="280158" u="1"/>
        <s v="281078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9592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909009 2303" u="1"/>
        <s v="278660" u="1"/>
        <s v="278752" u="1"/>
        <s v="278844" u="1"/>
        <s v="279580" u="1"/>
        <s v="279672" u="1"/>
        <s v="279764" u="1"/>
        <s v="279856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8740" u="1"/>
        <s v="278832" u="1"/>
        <s v="278924" u="1"/>
        <s v="279660" u="1"/>
        <s v="279752" u="1"/>
        <s v="279844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795681" u="1"/>
        <s v="26533" u="1"/>
        <s v="278912" u="1"/>
        <s v="279740" u="1"/>
        <s v="279832" u="1"/>
        <s v="279924" u="1"/>
        <s v="2909 102" u="1"/>
        <s v="280359 julio" u="1"/>
        <s v="020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84066" u="1"/>
        <s v="2795561" u="1"/>
        <s v="278900" u="1"/>
        <s v="279912" u="1"/>
        <s v="1115/052021" u="1"/>
        <s v="281110" u="1"/>
        <s v="281202" u="1"/>
        <s v="282030" u="1"/>
        <s v="282122" u="1"/>
        <s v="283042" u="1"/>
        <s v="150520 MON" u="1"/>
        <s v="101113" u="1"/>
        <s v="279900" u="1"/>
        <s v="8 marzo" u="1"/>
        <s v="92090 232 3" u="1"/>
        <s v="2564" u="1"/>
        <s v="14641" u="1"/>
        <s v="282110" u="1"/>
        <s v="282202" u="1"/>
        <s v="283030" u="1"/>
        <s v="283122" u="1"/>
        <s v="284318" u="1"/>
        <s v="0706EX/2022" u="1"/>
        <s v="22824" u="1"/>
        <s v="oct221" u="1"/>
        <s v="3333635" u="1"/>
        <s v="29093811 1209 01" u="1"/>
        <s v="202102" u="1"/>
        <s v="283110" u="1"/>
        <s v="283202" u="1"/>
        <s v="284030" u="1"/>
        <s v="284306" u="1"/>
        <s v="290091 1" u="1"/>
        <s v="3904893 33 123" u="1"/>
        <s v="190422v" u="1"/>
        <s v="30042020 CP" u="1"/>
        <s v="2796001" u="1"/>
        <s v="8TERRENO" u="1"/>
        <s v="145215" u="1"/>
        <s v="NOV2020" u="1"/>
        <s v="11marzo.jumi" u="1"/>
        <s v="121022cm" u="1"/>
        <s v="25697" u="1"/>
        <s v="carp 25 feb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277694" u="1"/>
        <s v="8298923" u="1"/>
        <s v="275488 0520" u="1"/>
        <s v="10025" u="1"/>
        <s v="280088" u="1"/>
        <s v="13 febrero 2022.mercado" u="1"/>
        <s v="275750" u="1"/>
        <s v="278694" u="1"/>
        <s v="278786" u="1"/>
        <s v="278878" u="1"/>
        <s v="280076" u="1"/>
        <s v="280168" u="1"/>
        <s v="281088" u="1"/>
        <s v="31021221" u="1"/>
        <s v="2980901 2" u="1"/>
        <s v="278590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1076" u="1"/>
        <s v="281168" u="1"/>
        <s v="282088" u="1"/>
        <s v="277325 20" u="1"/>
        <s v="279457 10" u="1"/>
        <s v="278762" u="1"/>
        <s v="278854" u="1"/>
        <s v="278946" u="1"/>
        <s v="279590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5744" u="1"/>
        <s v="26534" u="1"/>
        <s v="277910" u="1"/>
        <s v="278830" u="1"/>
        <s v="279750" u="1"/>
        <s v="279842" u="1"/>
        <s v="28298 019 132 1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84076" u="1"/>
        <s v="2795661" u="1"/>
        <s v="29090 1 1 10" u="1"/>
        <s v="1745" u="1"/>
        <s v="120122" u="1"/>
        <s v="278910" u="1"/>
        <s v="279830" u="1"/>
        <s v="14450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3236" u="1"/>
        <s v="284064" u="1"/>
        <s v="8965 b" u="1"/>
        <s v="2795541" u="1"/>
        <s v="141121" u="1"/>
        <s v="279910" u="1"/>
        <s v="304149" u="1"/>
        <s v="14642" u="1"/>
        <s v="281200" u="1"/>
        <s v="283040" u="1"/>
        <s v="283132" u="1"/>
        <s v="283224" u="1"/>
        <s v="284328" u="1"/>
        <s v="38923849 4spt" u="1"/>
        <s v="22733" u="1"/>
        <s v="202020" u="1"/>
        <s v="282200" u="1"/>
        <s v="284316" u="1"/>
        <s v="284408" u="1"/>
        <s v="22833" u="1"/>
        <s v="34900 34" u="1"/>
        <s v="283200" u="1"/>
        <s v="284304" u="1"/>
        <s v="02082022" u="1"/>
        <s v="04 -2020" u="1"/>
        <s v="2090 012" u="1"/>
        <s v="97989 2309 1" u="1"/>
        <s v="01-2/2021" u="1"/>
        <s v="2805500 11" u="1"/>
        <s v="uca oct21b}" u="1"/>
        <s v="25698" u="1"/>
        <s v="280908 101" u="1"/>
        <s v="209032" u="1"/>
        <s v="30109" u="1"/>
        <s v="0822 1021" u="1"/>
        <s v="080323 COM" u="1"/>
        <s v="493883 234" u="1"/>
        <s v="278820 1 113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876" u="1"/>
        <s v="278968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0803EX" u="1"/>
        <s v="277944" u="1"/>
        <s v="278680" u="1"/>
        <s v="278772" u="1"/>
        <s v="278864" u="1"/>
        <s v="278956" u="1"/>
        <s v="279692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779080" u="1"/>
        <s v="2795881" u="1"/>
        <s v="8982932" u="1"/>
        <s v="11202022" u="1"/>
        <s v="282413- 01-23" u="1"/>
        <s v="26535" u="1"/>
        <s v="278840" u="1"/>
        <s v="278932" u="1"/>
        <s v="279760" u="1"/>
        <s v="279852" u="1"/>
        <s v="279944" u="1"/>
        <s v="14719" u="1"/>
        <s v="159852" u="1"/>
        <s v="260223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300922 2" u="1"/>
        <s v="140223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074" u="1"/>
        <s v="284258" u="1"/>
        <s v="2795641" u="1"/>
        <s v="25698 12" u="1"/>
        <s v="789/07/2021" u="1"/>
        <s v="250522 JUN22" u="1"/>
        <s v="250522-8" u="1"/>
        <s v="090232  7, 10, 12 y 18 mayo 2022" u="1"/>
        <s v="061221" u="1"/>
        <s v="281302" u="1"/>
        <s v="282130" u="1"/>
        <s v="282222" u="1"/>
        <s v="282406" u="1"/>
        <s v="283050" u="1"/>
        <s v="283142" u="1"/>
        <s v="284062" u="1"/>
        <s v="284338" u="1"/>
        <s v="2795521" u="1"/>
        <s v="00010112022 01" u="1"/>
        <s v="10642" u="1"/>
        <s v="204054" u="1"/>
        <s v="283222" u="1"/>
        <s v="284326" u="1"/>
        <s v="150522M" u="1"/>
        <s v="4848792 1oct" u="1"/>
        <s v="26935" u="1"/>
        <s v="303031" u="1"/>
        <s v="LSP13032022" u="1"/>
        <s v="284314" u="1"/>
        <s v="092090 12" u="1"/>
        <s v="navas25nov.12" u="1"/>
        <s v="2585" u="1"/>
        <s v="265315" u="1"/>
        <s v="284302" u="1"/>
        <s v="17082022LGSM" u="1"/>
        <s v="5632.." u="1"/>
        <s v="2809201 27" u="1"/>
        <s v="90232nov" u="1"/>
        <s v="208054" u="1"/>
        <s v="333363g" u="1"/>
        <s v="269234 6" u="1"/>
        <s v="277652 DIC22" u="1"/>
        <s v="275794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X0921cP2" u="1"/>
        <s v="280084" u="1"/>
        <s v="280176" u="1"/>
        <s v="280268" u="1"/>
        <s v="281188" u="1"/>
        <s v="15052020" u="1"/>
        <s v="209090 121" u="1"/>
        <s v="278690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1084" u="1"/>
        <s v="281176" u="1"/>
        <s v="281268" u="1"/>
        <s v="282188" u="1"/>
        <s v="MAY" u="1"/>
        <s v="278862" u="1"/>
        <s v="278954" u="1"/>
        <s v="279690" u="1"/>
        <s v="279874" u="1"/>
        <s v="279966" u="1"/>
        <s v="17022023." u="1"/>
        <s v="273648 0621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83188" u="1"/>
        <s v="22527" u="1"/>
        <s v="278850" u="1"/>
        <s v="278942" u="1"/>
        <s v="279862" u="1"/>
        <s v="279954" u="1"/>
        <s v="029032.diciemb.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83268" u="1"/>
        <s v="2795861" u="1"/>
        <s v="278930" u="1"/>
        <s v="279850" u="1"/>
        <s v="279942" u="1"/>
        <s v="0536" u="1"/>
        <s v="14452" u="1"/>
        <s v="14636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795741" u="1"/>
        <s v="100223" u="1"/>
        <s v="279930" u="1"/>
        <s v="061122 7" u="1"/>
        <s v="290 1891 1" u="1"/>
        <s v="2956" u="1"/>
        <s v="280300" u="1"/>
        <s v="281312" u="1"/>
        <s v="282140" u="1"/>
        <s v="282232" u="1"/>
        <s v="282508" u="1"/>
        <s v="283060" u="1"/>
        <s v="283152" u="1"/>
        <s v="283244" u="1"/>
        <s v="284072" u="1"/>
        <s v="2795621" u="1"/>
        <s v="22643" u="1"/>
        <s v="301121" u="1"/>
        <s v="23080612020" u="1"/>
        <s v="259644Diciembre" u="1"/>
        <s v="19 marzo 2022.mercado" u="1"/>
        <s v="281300" u="1"/>
        <s v="283140" u="1"/>
        <s v="283232" u="1"/>
        <s v="283508" u="1"/>
        <s v="284060" u="1"/>
        <s v="284336" u="1"/>
        <s v="65398" u="1"/>
        <s v="290190 11" u="1"/>
        <s v="73397" u="1"/>
        <s v="282300" u="1"/>
        <s v="284324" u="1"/>
        <s v="290190 9" u="1"/>
        <s v="36" u="1"/>
        <s v="283300" u="1"/>
        <s v="284312" u="1"/>
        <s v="284404" u="1"/>
        <s v="274454 abr20" u="1"/>
        <s v="02092022" u="1"/>
        <s v="12" u="1"/>
        <s v="00" u="1"/>
        <s v="3904893 2" u="1"/>
        <s v="050722 01" u="1"/>
        <s v="mar2022" u="1"/>
        <s v="452022 MAYO" u="1"/>
        <s v="274792" u="1"/>
        <s v="28151709 29 02" u="1"/>
        <s v="16813." u="1"/>
        <s v="256897" u="1"/>
        <s v="25octubre" u="1"/>
        <s v="may2020" u="1"/>
        <s v="1222 1021" u="1"/>
        <s v="5-02-23 f" u="1"/>
        <s v="3939023 321" u="1"/>
        <s v="209023-1ener." u="1"/>
        <s v="2902930 209 1" u="1"/>
        <s v="082020 JUJUY FM" u="1"/>
        <s v="280198" u="1"/>
        <s v="938593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9896" u="1"/>
        <s v="279988" u="1"/>
        <s v="07042021" u="1"/>
        <s v="234512 1" u="1"/>
        <s v="280174" u="1"/>
        <s v="280266" u="1"/>
        <s v="281094" u="1"/>
        <s v="281186" u="1"/>
        <s v="281278" u="1"/>
        <s v="282198" u="1"/>
        <s v="11052020" u="1"/>
        <s v="269799.22" u="1"/>
        <s v="06082020 1" u="1"/>
        <s v="02153" u="1"/>
        <s v="278780" u="1"/>
        <s v="278872" u="1"/>
        <s v="278964" u="1"/>
        <s v="279792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83198" u="1"/>
        <s v="278860" u="1"/>
        <s v="278952" u="1"/>
        <s v="279780" u="1"/>
        <s v="279872" u="1"/>
        <s v="279964" u="1"/>
        <s v="452022 ABRIL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83278" u="1"/>
        <s v="278940" u="1"/>
        <s v="279860" u="1"/>
        <s v="279952" u="1"/>
        <s v="22 octubre lbetran" u="1"/>
        <s v="260323" u="1"/>
        <s v="280230" u="1"/>
        <s v="280322" u="1"/>
        <s v="280414" u="1"/>
        <s v="281242" u="1"/>
        <s v="281518" u="1"/>
        <s v="282070" u="1"/>
        <s v="282162" u="1"/>
        <s v="282254" u="1"/>
        <s v="283266" u="1"/>
        <s v="333363gu5" u="1"/>
        <s v="5345" u="1"/>
        <s v="180321" u="1"/>
        <s v="279940" u="1"/>
        <s v="8965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83254" u="1"/>
        <s v="284358" u="1"/>
        <s v="2795721" u="1"/>
        <s v="26653" u="1"/>
        <s v="281310" u="1"/>
        <s v="281402" u="1"/>
        <s v="282230" u="1"/>
        <s v="282506" u="1"/>
        <s v="283150" u="1"/>
        <s v="283242" u="1"/>
        <s v="283518" u="1"/>
        <s v="284070" u="1"/>
        <s v="284254" u="1"/>
        <s v="284346" u="1"/>
        <s v="2795601" u="1"/>
        <s v="27 marzo 2022.mercado" u="1"/>
        <s v="02653" u="1"/>
        <s v="563222" u="1"/>
        <s v="sep" u="1"/>
        <s v="283230" u="1"/>
        <s v="283506" u="1"/>
        <s v="´280276" u="1"/>
        <s v="930902323 2" u="1"/>
        <s v="09209032 100" u="1"/>
        <s v="9384" u="1"/>
        <s v="563210" u="1"/>
        <s v="oct GH" u="1"/>
        <s v="56" u="1"/>
        <s v="284322" u="1"/>
        <s v="290985" u="1"/>
        <s v="PANINI 2021" u="1"/>
        <s v="32" u="1"/>
        <s v="2586" u="1"/>
        <s v="284310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" u="1"/>
        <s v="0820202" u="1"/>
        <s v="2850462" u="1"/>
        <s v="2090190 1" u="1"/>
        <s v="3090232octb" u="1"/>
        <s v="309020DNOVIIEMBR3" u="1"/>
        <s v="083" u="1"/>
        <s v="909302kdls" u="1"/>
        <s v="273648 0720" u="1"/>
        <s v="2815310 2012" u="1"/>
        <s v="MSSJ- 16-17/03/2022" u="1"/>
        <s v="084" u="1"/>
        <s v="0220233" u="1"/>
        <s v="2850463" u="1"/>
        <s v="2789323231" u="1"/>
        <s v="085" u="1"/>
        <s v="277333 13" u="1"/>
        <s v="092091 121 1" u="1"/>
        <s v="27.01.23" u="1"/>
        <s v="022021 JUJUY FM" u="1"/>
        <s v="042020 JUJUY FM" u="1"/>
        <s v="086" u="1"/>
        <s v="280288" u="1"/>
        <s v="597780" u="1"/>
        <s v="FB2023" u="1"/>
        <s v="2800587" u="1"/>
        <s v="2850464" u="1"/>
        <s v="278894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9894" u="1"/>
        <s v="279986" u="1"/>
        <s v="03042021" u="1"/>
        <s v="281538 176" u="1"/>
        <s v="4516" u="1"/>
        <s v="30152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2850465" u="1"/>
        <s v="26538" u="1"/>
        <s v="258963" u="1"/>
        <s v="278962" u="1"/>
        <s v="279790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282368" u="1"/>
        <s v="283288" u="1"/>
        <s v="31 octubre 390902" u="1"/>
        <s v="27895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184" u="1"/>
        <s v="283276" u="1"/>
        <s v="2795941" u="1"/>
        <s v="sep2020" u="1"/>
        <s v="4093902 23" u="1"/>
        <s v="9755" u="1"/>
        <s v="279950" u="1"/>
        <s v="6noviembre.roca1" u="1"/>
        <s v="4546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83264" u="1"/>
        <s v="284092" u="1"/>
        <s v="284368" u="1"/>
        <s v="4909034" u="1"/>
        <s v="43090093 202" u="1"/>
        <s v="2090232 1marz" u="1"/>
        <s v="5756" u="1"/>
        <s v="100323" u="1"/>
        <s v="140321" u="1"/>
        <s v="90920 23" u="1"/>
        <s v="14562" u="1"/>
        <s v="280400" u="1"/>
        <s v="281504" u="1"/>
        <s v="282240" u="1"/>
        <s v="282516" u="1"/>
        <s v="282608" u="1"/>
        <s v="283160" u="1"/>
        <s v="283252" u="1"/>
        <s v="283528" u="1"/>
        <s v="284356" u="1"/>
        <s v="202204-0571" u="1"/>
        <s v="26938" u="1"/>
        <s v="301221" u="1"/>
        <s v="2401020" u="1"/>
        <s v="3939023" u="1"/>
        <s v="290190 12" u="1"/>
        <s v="17102019 4" u="1"/>
        <s v="390911 ju 2022" u="1"/>
        <s v="4566" u="1"/>
        <s v="UHYG" u="1"/>
        <s v="281400" u="1"/>
        <s v="282412" u="1"/>
        <s v="282504" u="1"/>
        <s v="283240" u="1"/>
        <s v="283516" u="1"/>
        <s v="283608" u="1"/>
        <s v="284252" u="1"/>
        <s v="283006 1" u="1"/>
        <s v="1112092022" u="1"/>
        <s v="281517 - jul 2022" u="1"/>
        <s v="MSSJ 2325/01/2023." u="1"/>
        <s v="323232" u="1"/>
        <s v="020422 CM2022" u="1"/>
        <s v="283504" u="1"/>
        <s v="284332" u="1"/>
        <s v="284424" u="1"/>
        <s v="5786" u="1"/>
        <s v="290390 10" u="1"/>
        <s v="52" u="1"/>
        <s v="4586" u="1"/>
        <s v="2021-07" u="1"/>
        <s v="5796" u="1"/>
        <s v="2090 013" u="1"/>
        <s v="2 agosto." u="1"/>
        <s v="160" u="1"/>
        <s v="266333" u="1"/>
        <s v="284400" u="1"/>
        <s v="161" u="1"/>
        <s v="287516" u="1"/>
        <s v="488334" u="1"/>
        <s v="MSSJ 27/12/2022.." u="1"/>
        <s v="14.feb.laura.blanco-8" u="1"/>
        <s v="162" u="1"/>
        <s v="8910131/10/21" u="1"/>
        <s v="0050582" u="1"/>
        <s v="163" u="1"/>
        <s v="171805 1" u="1"/>
        <s v="0304/09/2021" u="1"/>
        <s v="NOV 21 ECO" u="1"/>
        <s v="15954.d" u="1"/>
        <s v="10046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269799.23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274" u="1"/>
        <s v="280366" u="1"/>
        <s v="280458" u="1"/>
        <s v="281286" u="1"/>
        <s v="281378" u="1"/>
        <s v="282298" u="1"/>
        <s v="11042021" u="1"/>
        <s v="06081221 1" u="1"/>
        <s v="26539" u="1"/>
        <s v="278880" u="1"/>
        <s v="278972" u="1"/>
        <s v="279892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283298" u="1"/>
        <s v="11122022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83194" u="1"/>
        <s v="284298" u="1"/>
        <s v="2090122" u="1"/>
        <s v="070622 cdJ" u="1"/>
        <s v="279960" u="1"/>
        <s v="8956" u="1"/>
        <s v="280330" u="1"/>
        <s v="280422" u="1"/>
        <s v="281526" u="1"/>
        <s v="281618" u="1"/>
        <s v="282170" u="1"/>
        <s v="282262" u="1"/>
        <s v="282354" u="1"/>
        <s v="282446" u="1"/>
        <s v="282538" u="1"/>
        <s v="283090" u="1"/>
        <s v="283274" u="1"/>
        <s v="283458" u="1"/>
        <s v="284286" u="1"/>
        <s v="2795921" u="1"/>
        <s v="1524785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262" u="1"/>
        <s v="283538" u="1"/>
        <s v="284366" u="1"/>
        <s v="2795801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283526" u="1"/>
        <s v="283618" u="1"/>
        <s v="284354" u="1"/>
        <s v="0811200" u="1"/>
        <s v="282410" u="1"/>
        <s v="282502" u="1"/>
        <s v="283514" u="1"/>
        <s v="283606" u="1"/>
        <s v="284342" u="1"/>
        <s v="25698 23" u="1"/>
        <s v="5376" u="1"/>
        <s v="151120M2" u="1"/>
        <s v="283502" u="1"/>
        <s v="284330" u="1"/>
        <s v="19 dic 3909021" u="1"/>
        <s v="08012 abril 2022" u="1"/>
        <s v="27000" u="1"/>
        <s v="026539" u="1"/>
        <s v="0050468" u="1"/>
        <s v="029203092323" u="1"/>
        <s v="/./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05" u="1"/>
        <s v="280388" u="1"/>
        <s v="CFA120" u="1"/>
        <s v="141516/12/22" u="1"/>
        <s v="200622JujjBAN" u="1"/>
        <s v="22063" u="1"/>
        <s v="27052021" u="1"/>
        <s v="006" u="1"/>
        <s v="280192" u="1"/>
        <s v="280284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007" u="1"/>
        <s v="489" u="1"/>
        <s v="4517" u="1"/>
        <s v="280180" u="1"/>
        <s v="280272" u="1"/>
        <s v="280364" u="1"/>
        <s v="280456" u="1"/>
        <s v="281284" u="1"/>
        <s v="281376" u="1"/>
        <s v="281468" u="1"/>
        <s v="0050444" u="1"/>
        <s v="31122022" u="1"/>
        <s v="290023 200 2" u="1"/>
        <s v="02356" u="1"/>
        <s v="279890" u="1"/>
        <s v="279982" u="1"/>
        <s v="21270721" u="1"/>
        <s v="269980 1505" u="1"/>
        <s v="280822 cdJpSAB" u="1"/>
        <s v="008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284" u="1"/>
        <s v="282376" u="1"/>
        <s v="282468" u="1"/>
        <s v="5737" u="1"/>
        <s v="26598 4" u="1"/>
        <s v="012023colsa" u="1"/>
        <s v="009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364" u="1"/>
        <s v="282456" u="1"/>
        <s v="283192" u="1"/>
        <s v="283284" u="1"/>
        <s v="283468" u="1"/>
        <s v="920210" u="1"/>
        <s v="91022 2" u="1"/>
        <s v="09 10 2022merc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2536" u="1"/>
        <s v="283180" u="1"/>
        <s v="283272" u="1"/>
        <s v="283456" u="1"/>
        <s v="2795901" u="1"/>
        <s v="fgtyjtyj" u="1"/>
        <s v="120422" u="1"/>
        <s v="4557" u="1"/>
        <s v="020421" u="1"/>
        <s v="242526" u="1"/>
        <s v="280500" u="1"/>
        <s v="281604" u="1"/>
        <s v="282432" u="1"/>
        <s v="282524" u="1"/>
        <s v="282708" u="1"/>
        <s v="283260" u="1"/>
        <s v="283536" u="1"/>
        <s v="283628" u="1"/>
        <s v="284272" u="1"/>
        <s v="284364" u="1"/>
        <s v="6 febrero 2022." u="1"/>
        <s v="563240" u="1"/>
        <s v="201412" u="1"/>
        <s v="281500" u="1"/>
        <s v="282512" u="1"/>
        <s v="282604" u="1"/>
        <s v="283524" u="1"/>
        <s v="283616" u="1"/>
        <s v="283708" u="1"/>
        <s v="284260" u="1"/>
        <s v="33336351" u="1"/>
        <s v="300422 CM2022" u="1"/>
        <s v="febrero01 los lapachos" u="1"/>
        <s v="22947" u="1"/>
        <s v="2412020" u="1"/>
        <s v="282500" u="1"/>
        <s v="283512" u="1"/>
        <s v="283604" u="1"/>
        <s v="284340" u="1"/>
        <s v="12/2021" u="1"/>
        <s v="281022i" u="1"/>
        <s v="01082021uj" u="1"/>
        <s v="32092 102" u="1"/>
        <s v="2801141352" u="1"/>
        <s v="280946 112" u="1"/>
        <s v="28 NOV 3909021" u="1"/>
        <s v="CUADROTARIFARIO122021" u="1"/>
        <s v="283500" u="1"/>
        <s v="5797" u="1"/>
        <s v="258457-393" u="1"/>
        <s v="441" u="1"/>
        <s v="0200" u="1"/>
        <s v="123 100 1982 1" u="1"/>
        <s v="562" u="1"/>
        <s v="0598" u="1"/>
        <s v="205320" u="1"/>
        <s v="28298 19-28-23" u="1"/>
        <s v="2412022" u="1"/>
        <s v="209019 11" u="1"/>
        <s v="290910 01" u="1"/>
        <s v="259645Enero" u="1"/>
        <s v="04042022MSSJ" u="1"/>
        <s v="563" u="1"/>
        <s v="268709" u="1"/>
        <s v="151120W2" u="1"/>
        <s v="4899 099 23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34234 24323" u="1"/>
        <s v="1242022" u="1"/>
        <s v="19diciembr smg.3" u="1"/>
        <s v="446" u="1"/>
        <s v="280398" u="1"/>
        <s v="31072./2..." u="1"/>
        <s v="326" u="1"/>
        <s v="4389309 231" u="1"/>
        <s v="032020 FM SOL" u="1"/>
        <s v="280294" u="1"/>
        <s v="280386" u="1"/>
        <s v="280478" u="1"/>
        <s v="281398" u="1"/>
        <s v="080522.." u="1"/>
        <s v="19062021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282398" u="1"/>
        <s v="11052021" u="1"/>
        <s v="11072020" u="1"/>
        <s v="15160622" u="1"/>
        <s v="28151323 1" u="1"/>
        <s v="16.26.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283294" u="1"/>
        <s v="283478" u="1"/>
        <s v="284398" u="1"/>
        <s v="090721 cdJ" u="1"/>
        <s v="56561565" u="1"/>
        <s v="280430" u="1"/>
        <s v="280614" u="1"/>
        <s v="280706" u="1"/>
        <s v="281350" u="1"/>
        <s v="281626" u="1"/>
        <s v="281718" u="1"/>
        <s v="282270" u="1"/>
        <s v="282362" u="1"/>
        <s v="282454" u="1"/>
        <s v="282546" u="1"/>
        <s v="283190" u="1"/>
        <s v="283466" u="1"/>
        <s v="160522" u="1"/>
        <s v="28298923" u="1"/>
        <s v="14665" u="1"/>
        <s v="080520" u="1"/>
        <s v="200422" u="1"/>
        <s v="280602" u="1"/>
        <s v="281522" u="1"/>
        <s v="281614" u="1"/>
        <s v="282442" u="1"/>
        <s v="282718" u="1"/>
        <s v="283270" u="1"/>
        <s v="283454" u="1"/>
        <s v="283546" u="1"/>
        <s v="283638" u="1"/>
        <s v="284466" u="1"/>
        <s v="5357" u="1"/>
        <s v="uca julio22" u="1"/>
        <s v="10848" u="1"/>
        <s v="50754" u="1"/>
        <s v="281510" u="1"/>
        <s v="282522" u="1"/>
        <s v="282706" u="1"/>
        <s v="283718" u="1"/>
        <s v="284362" u="1"/>
        <s v="56324." u="1"/>
        <s v="282510" u="1"/>
        <s v="282602" u="1"/>
        <s v="283522" u="1"/>
        <s v="283614" u="1"/>
        <s v="283706" u="1"/>
        <s v="284350" u="1"/>
        <s v="277329 112" u="1"/>
        <s v="290973 091" u="1"/>
        <s v="283510" u="1"/>
        <s v="283602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79407 101" u="1"/>
        <s v="6marzo" u="1"/>
        <s v="525" u="1"/>
        <s v="192007" u="1"/>
        <s v="5672021" u="1"/>
        <s v="152361 DM" u="1"/>
        <s v="190290 10201" u="1"/>
        <s v="2022023" u="1"/>
        <s v="31.03.23" u="1"/>
        <s v="526" u="1"/>
        <s v="0090239 1" u="1"/>
        <s v="17521 mayo" u="1"/>
        <s v="112020 FM SOL" u="1"/>
        <s v="MSSJ 28./12/2022" u="1"/>
        <s v="27062021" u="1"/>
        <s v="280292" u="1"/>
        <s v="280384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274454 pie" u="1"/>
        <s v="22365" u="1"/>
        <s v="279990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23423423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280" u="1"/>
        <s v="283464" u="1"/>
        <s v="23febrero.pensas." u="1"/>
        <s v="120522" u="1"/>
        <s v="300421" u="1"/>
        <s v="020521" u="1"/>
        <s v="280600" u="1"/>
        <s v="281612" u="1"/>
        <s v="282532" u="1"/>
        <s v="282716" u="1"/>
        <s v="282808" u="1"/>
        <s v="283452" u="1"/>
        <s v="283544" u="1"/>
        <s v="283636" u="1"/>
        <s v="283728" u="1"/>
        <s v="284372" u="1"/>
        <s v="277326 11 1" u="1"/>
        <s v="290 1892-1dici." u="1"/>
        <s v="26590" u="1"/>
        <s v="4568" u="1"/>
        <s v="14682" u="1"/>
        <s v="062623" u="1"/>
        <s v="281600" u="1"/>
        <s v="282704" u="1"/>
        <s v="283532" u="1"/>
        <s v="283624" u="1"/>
        <s v="283716" u="1"/>
        <s v="284360" u="1"/>
        <s v="15842012" u="1"/>
        <s v="43893489 23" u="1"/>
        <s v="32092 103" u="1"/>
        <s v="13/22d" u="1"/>
        <s v="282600" u="1"/>
        <s v="283612" u="1"/>
        <s v="283704" u="1"/>
        <s v="261020201" u="1"/>
        <s v="080323Jujj" u="1"/>
        <s v="277329 111" u="1"/>
        <s v="141020201" u="1"/>
        <s v="5798" u="1"/>
        <s v="2090 014" u="1"/>
        <s v="08112020" u="1"/>
        <s v="24102020" u="1"/>
        <s v="2627/12/22." u="1"/>
        <s v="28298 29-07-23" u="1"/>
        <s v="12102020" u="1"/>
        <s v="161022 FULL" u="1"/>
        <s v="268729" u="1"/>
        <s v="333363g1" u="1"/>
        <s v="34234236" u="1"/>
        <s v="268717" u="1"/>
        <s v="enePE/22" u="1"/>
        <s v="19072021lr" u="1"/>
        <s v="4230" u="1"/>
        <s v="209090 346" u="1"/>
        <s v="290901 1" u="1"/>
        <s v="4848792 1oct lp" u="1"/>
        <s v="1W" u="1"/>
        <s v="8MARZO" u="1"/>
        <s v="0050622" u="1"/>
        <s v="8938892" u="1"/>
        <s v="171805 2" u="1"/>
        <s v="282413-01-23" u="1"/>
        <s v="280498" u="1"/>
        <s v="26359" u="1"/>
        <s v="280394" u="1"/>
        <s v="280486" u="1"/>
        <s v="280578" u="1"/>
        <s v="281498" u="1"/>
        <s v="19032023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282498" u="1"/>
        <s v="11062021" u="1"/>
        <s v="1octubre 29010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283498" u="1"/>
        <s v="567-05-22" u="1"/>
        <s v="4848792 15nov" u="1"/>
        <s v="0902801 112131" u="1"/>
        <s v="28989892.3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283486" u="1"/>
        <s v="97989 1diciem.b" u="1"/>
        <s v="239092a2" u="1"/>
        <s v="010722../." u="1"/>
        <s v="279019" u="1"/>
        <s v="280622" u="1"/>
        <s v="280714" u="1"/>
        <s v="281450" u="1"/>
        <s v="282370" u="1"/>
        <s v="282462" u="1"/>
        <s v="282554" u="1"/>
        <s v="283290" u="1"/>
        <s v="283474" u="1"/>
        <s v="283658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83462" u="1"/>
        <s v="283646" u="1"/>
        <s v="283738" u="1"/>
        <s v="14683" u="1"/>
        <s v="281610" u="1"/>
        <s v="282530" u="1"/>
        <s v="282714" u="1"/>
        <s v="282806" u="1"/>
        <s v="283542" u="1"/>
        <s v="283726" u="1"/>
        <s v="284370" u="1"/>
        <s v="2824140" u="1"/>
        <s v="277327 123" u="1"/>
        <s v="262703" u="1"/>
        <s v="282610" u="1"/>
        <s v="282702" u="1"/>
        <s v="283530" u="1"/>
        <s v="283622" u="1"/>
        <s v="283714" u="1"/>
        <s v="17082020ldm" u="1"/>
        <s v="5378" u="1"/>
        <s v="10690" u="1"/>
        <s v="283610" u="1"/>
        <s v="283702" u="1"/>
        <s v="26983" u="1"/>
        <s v="6598" u="1"/>
        <s v="289898232" u="1"/>
        <s v="16112020" u="1"/>
        <s v="178822 1 2 1" u="1"/>
        <s v="5821" u="1"/>
        <s v="266715" u="1"/>
        <s v="268739" u="1"/>
        <s v="010422022" u="1"/>
        <s v="268727" u="1"/>
        <s v="24feb 2" u="1"/>
        <s v="2071420" u="1"/>
        <s v="8928992" u="1"/>
        <s v="268715" u="1"/>
        <s v="febbp/22" u="1"/>
        <s v="250006" u="1"/>
        <s v="9090238" u="1"/>
        <s v="209090 345" u="1"/>
        <s v="1 SEPTIEMBRE VENTAS" u="1"/>
        <s v="03.07.23" u="1"/>
        <s v="280910 1091" u="1"/>
        <s v="6082020" u="1"/>
        <s v="029032noviem" u="1"/>
        <s v="0652" u="1"/>
        <s v="50249" u="1"/>
        <s v="20901891" u="1"/>
        <s v="5060" u="1"/>
        <s v="274475 OCT" u="1"/>
        <s v="280588" u="1"/>
        <s v="52W" u="1"/>
        <s v="2563N" u="1"/>
        <s v="27072021" u="1"/>
        <s v="27092020" u="1"/>
        <s v="290092 101" u="1"/>
        <s v="05042022PKM" u="1"/>
        <s v="080622 1021" u="1"/>
        <s v="4509" u="1"/>
        <s v="280392" u="1"/>
        <s v="280484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392" u="1"/>
        <s v="282484" u="1"/>
        <s v="282576" u="1"/>
        <s v="282668" u="1"/>
        <s v="5739" u="1"/>
        <s v="MSSJ 24/12/20221" u="1"/>
        <s v="MSSJ 31/12/20221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380" u="1"/>
        <s v="282472" u="1"/>
        <s v="282564" u="1"/>
        <s v="282656" u="1"/>
        <s v="283484" u="1"/>
        <s v="283668" u="1"/>
        <s v="259646Febrero" u="1"/>
        <s v="26584" u="1"/>
        <s v="1524g2" u="1"/>
        <s v="4549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472" u="1"/>
        <s v="283656" u="1"/>
        <s v="102020 aj1" u="1"/>
        <s v="24245343 1" u="1"/>
        <s v="ene2021" u="1"/>
        <s v="290190 23" u="1"/>
        <s v="4559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283460" u="1"/>
        <s v="283644" u="1"/>
        <s v="283736" u="1"/>
        <s v="mar822" u="1"/>
        <s v="BM07/2020" u="1"/>
        <s v="4569" u="1"/>
        <s v="10683" u="1"/>
        <s v="281700" u="1"/>
        <s v="282712" u="1"/>
        <s v="282804" u="1"/>
        <s v="283540" u="1"/>
        <s v="283632" u="1"/>
        <s v="283724" u="1"/>
        <s v="14151617" u="1"/>
        <s v="274454 REC" u="1"/>
        <s v="17 ABRIL 2022.mercado" u="1"/>
        <s v="282700" u="1"/>
        <s v="283712" u="1"/>
        <s v="1314082020" u="1"/>
        <s v="mayo 2022 mart. pablo a. lello sanch." u="1"/>
        <s v="161222i" u="1"/>
        <s v="261120201" u="1"/>
        <s v="283700" u="1"/>
        <s v="10/22 ACERO" u="1"/>
        <s v="274454 Abr21" u="1"/>
        <s v="19042022MSSJ.." u="1"/>
        <s v="2602" u="1"/>
        <s v="08102021" u="1"/>
        <s v="11020" u="1"/>
        <s v="12112020" u="1"/>
        <s v="290902 12" u="1"/>
        <s v="208556" u="1"/>
        <s v="268737" u="1"/>
        <s v="15221" u="1"/>
        <s v="abrPE/22" u="1"/>
        <s v="23febrero" u="1"/>
        <s v="28298 0009" u="1"/>
        <s v="274586 2" u="1"/>
        <s v="4231" u="1"/>
        <s v="11220" u="1"/>
        <s v="240522 may22" u="1"/>
        <s v="268713" u="1"/>
        <s v="289908" u="1"/>
        <s v="20672022 jul/ago" u="1"/>
        <s v="15421" u="1"/>
        <s v="51410" u="1"/>
        <s v="260421 ME" u="1"/>
        <s v="8072021" u="1"/>
        <s v="20902891" u="1"/>
        <s v="1452" u="1"/>
        <s v="02923lnas" u="1"/>
        <s v="10168" u="1"/>
        <s v="30167" u="1"/>
        <s v="280598" u="1"/>
        <s v="50266" u="1"/>
        <s v="280494" u="1"/>
        <s v="280586" u="1"/>
        <s v="280678" u="1"/>
        <s v="281598" u="1"/>
        <s v="5481" u="1"/>
        <s v="23072021" u="1"/>
        <s v="280390" u="1"/>
        <s v="280574" u="1"/>
        <s v="280758" u="1"/>
        <s v="281494" u="1"/>
        <s v="281586" u="1"/>
        <s v="281678" u="1"/>
        <s v="282598" u="1"/>
        <s v="11072021" u="1"/>
        <s v="11092020" u="1"/>
        <s v="5491" u="1"/>
        <s v="280470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470" u="1"/>
        <s v="281562" u="1"/>
        <s v="281654" u="1"/>
        <s v="281746" u="1"/>
        <s v="282574" u="1"/>
        <s v="282666" u="1"/>
        <s v="283494" u="1"/>
        <s v="283678" u="1"/>
        <s v="MSSJ 18/11/20221" u="1"/>
        <s v="50390" u="1"/>
        <s v="279027" u="1"/>
        <s v="279119" u="1"/>
        <s v="280630" u="1"/>
        <s v="280722" u="1"/>
        <s v="280814" u="1"/>
        <s v="280906" u="1"/>
        <s v="281642" u="1"/>
        <s v="281918" u="1"/>
        <s v="282470" u="1"/>
        <s v="282562" u="1"/>
        <s v="282654" u="1"/>
        <s v="282838" u="1"/>
        <s v="283666" u="1"/>
        <s v="283758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918" u="1"/>
        <s v="283470" u="1"/>
        <s v="283654" u="1"/>
        <s v="283746" u="1"/>
        <s v="0093223" u="1"/>
        <s v="279003" u="1"/>
        <s v="281802" u="1"/>
        <s v="282630" u="1"/>
        <s v="282722" u="1"/>
        <s v="282814" u="1"/>
        <s v="282906" u="1"/>
        <s v="283550" u="1"/>
        <s v="283642" u="1"/>
        <s v="283826" u="1"/>
        <s v="sept222" u="1"/>
        <s v="29093811 1773" u="1"/>
        <s v="123552" u="1"/>
        <s v="282710" u="1"/>
        <s v="282802" u="1"/>
        <s v="283630" u="1"/>
        <s v="283722" u="1"/>
        <s v="283906" u="1"/>
        <s v="26985" u="1"/>
        <s v="12345." u="1"/>
        <s v="283710" u="1"/>
        <s v="289598" u="1"/>
        <s v="19041221 2" u="1"/>
        <s v="190290 3" u="1"/>
        <s v="10 octubre" u="1"/>
        <s v="278588-2" u="1"/>
        <s v="28102021" u="1"/>
        <s v="101120201" u="1"/>
        <s v="2090203 12 1" u="1"/>
        <s v="022023JP" u="1"/>
        <s v="891011/1719/08/21" u="1"/>
        <s v="268747" u="1"/>
        <s v="04122020" u="1"/>
        <s v="2022Diciembre" u="1"/>
        <s v="090232  12, 19, 24 y 31 mayo 2022" u="1"/>
        <s v="010522022" u="1"/>
        <s v="1823" u="1"/>
        <s v="04-2022 jujuy FM" u="1"/>
        <s v="28298 0008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2815310 2013" u="1"/>
        <s v="270001" u="1"/>
        <s v="07531" u="1"/>
        <s v="0653" u="1"/>
        <s v="10077" u="1"/>
        <s v="092022" u="1"/>
        <s v="oct22v" u="1"/>
        <s v="277645 22" u="1"/>
        <s v="092091 121 2" u="1"/>
        <s v="290090 20 23" u="1"/>
        <s v="5061" u="1"/>
        <s v="2890090 36" u="1"/>
        <s v="280688" u="1"/>
        <s v="27082021" u="1"/>
        <s v="277956 1" u="1"/>
        <s v="18-12-2022m" u="1"/>
        <s v="280492" u="1"/>
        <s v="280584" u="1"/>
        <s v="280676" u="1"/>
        <s v="280768" u="1"/>
        <s v="281688" u="1"/>
        <s v="15082021" u="1"/>
        <s v="8NOV 390902" u="1"/>
        <s v="5081" u="1"/>
        <s v="5892" u="1"/>
        <s v="9090" u="1"/>
        <s v="01121725" u="1"/>
        <s v="281083 10" u="1"/>
        <s v="12072021BM" u="1"/>
        <s v="280480" u="1"/>
        <s v="280572" u="1"/>
        <s v="280756" u="1"/>
        <s v="281492" u="1"/>
        <s v="281584" u="1"/>
        <s v="281676" u="1"/>
        <s v="281768" u="1"/>
        <s v="282688" u="1"/>
        <s v="2311o 123" u="1"/>
        <s v="279772 1" u="1"/>
        <s v="274579 30/04" u="1"/>
        <s v="27720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492" u="1"/>
        <s v="283584" u="1"/>
        <s v="283676" u="1"/>
        <s v="283768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836" u="1"/>
        <s v="282928" u="1"/>
        <s v="283480" u="1"/>
        <s v="283664" u="1"/>
        <s v="283756" u="1"/>
        <s v="9829392 293" u="1"/>
        <s v="319017" u="1"/>
        <s v="1254125" u="1"/>
        <s v="200620" u="1"/>
        <s v="279013" u="1"/>
        <s v="279105" u="1"/>
        <s v="280800" u="1"/>
        <s v="281904" u="1"/>
        <s v="282732" u="1"/>
        <s v="282824" u="1"/>
        <s v="282916" u="1"/>
        <s v="283652" u="1"/>
        <s v="283744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83640" u="1"/>
        <s v="283732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020423TN" u="1"/>
        <s v="15423" u="1"/>
        <s v="0805/052021" u="1"/>
        <s v="5442" u="1"/>
        <s v="208632" u="1"/>
        <s v="ASAMBLEA INTA" u="1"/>
        <s v="010208" u="1"/>
        <s v="291022" u="1"/>
        <s v="2090921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32023" u="1"/>
        <s v="052022" u="1"/>
        <s v="072021" u="1"/>
        <s v="092020" u="1"/>
        <s v="2890090 35" u="1"/>
        <s v="032021 UNJU" u="1"/>
        <s v="08012 jul 2022" u="1"/>
        <s v="4272" u="1"/>
        <s v="ILPO" u="1"/>
        <s v="280594" u="1"/>
        <s v="280686" u="1"/>
        <s v="280778" u="1"/>
        <s v="19092021" u="1"/>
        <s v="5482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AÑO20222W" u="1"/>
        <s v="2023-02534" u="1"/>
        <s v="UCA012021" u="1"/>
        <s v="06062022LGSM" u="1"/>
        <s v="279059" u="1"/>
        <s v="280570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12902021" u="1"/>
        <s v="234242 12 1" u="1"/>
        <s v="27720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83686" u="1"/>
        <s v="283778" u="1"/>
        <s v="56324.." u="1"/>
        <s v="22494" u="1"/>
        <s v="jun2022dp" u="1"/>
        <s v="06081221 51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846" u="1"/>
        <s v="282938" u="1"/>
        <s v="283490" u="1"/>
        <s v="283674" u="1"/>
        <s v="283766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822" u="1"/>
        <s v="282914" u="1"/>
        <s v="283650" u="1"/>
        <s v="283742" u="1"/>
        <s v="65321PO" u="1"/>
        <s v="101012020" u="1"/>
        <s v="209023-1febr." u="1"/>
        <s v="161902" u="1"/>
        <s v="282810" u="1"/>
        <s v="282902" u="1"/>
        <s v="283730" u="1"/>
        <s v="1516052022" u="1"/>
        <s v="1118 1" u="1"/>
        <s v="01050722 4" u="1"/>
        <s v="15octubre 2" u="1"/>
        <s v="283902" u="1"/>
        <s v="19.02.23F" u="1"/>
        <s v="26.03.23m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68731" u="1"/>
        <s v="sep20 2" u="1"/>
        <s v="20 diciembre" u="1"/>
        <s v="0326...C" u="1"/>
        <s v="5052" u="1"/>
        <s v="289902" u="1"/>
        <s v="2253" u="1"/>
        <s v="031021" u="1"/>
        <s v="2909202noviembre17.lspa" u="1"/>
        <s v="19029109 4" u="1"/>
        <s v="4848792 27 ABRIL - 2" u="1"/>
        <s v="01202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07121725  1n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24.1222HS" u="1"/>
        <s v="121906 1021" u="1"/>
        <s v="891011/07/21" u="1"/>
        <s v="6MARZO2" u="1"/>
        <s v="14588" u="1"/>
        <s v="279057" u="1"/>
        <s v="280844" u="1"/>
        <s v="280936" u="1"/>
        <s v="281580" u="1"/>
        <s v="281672" u="1"/>
        <s v="281764" u="1"/>
        <s v="281856" u="1"/>
        <s v="282592" u="1"/>
        <s v="282684" u="1"/>
        <s v="282776" u="1"/>
        <s v="282868" u="1"/>
        <s v="28378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3684" u="1"/>
        <s v="283776" u="1"/>
        <s v="280414 1" u="1"/>
        <s v="29002 332" u="1"/>
        <s v="210921 cdJ" u="1"/>
        <s v="221222 11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2936" u="1"/>
        <s v="283580" u="1"/>
        <s v="283672" u="1"/>
        <s v="283764" u="1"/>
        <s v="3112411021" u="1"/>
        <s v="27 06 22 nv" u="1"/>
        <s v="22695" u="1"/>
        <s v="300721" u="1"/>
        <s v="2814641" u="1"/>
        <s v="279021" u="1"/>
        <s v="279113" u="1"/>
        <s v="279205" u="1"/>
        <s v="280900" u="1"/>
        <s v="281912" u="1"/>
        <s v="282832" u="1"/>
        <s v="282924" u="1"/>
        <s v="283660" u="1"/>
        <s v="181911" u="1"/>
        <s v="080321 CM" u="1"/>
        <s v="BM09/2020" u="1"/>
        <s v="234242 12 6" u="1"/>
        <s v="279101" u="1"/>
        <s v="281900" u="1"/>
        <s v="282912" u="1"/>
        <s v="283740" u="1"/>
        <s v="30141618" u="1"/>
        <s v="1516192020" u="1"/>
        <s v="2814642" u="1"/>
        <s v="282900" u="1"/>
        <s v="23908234" u="1"/>
        <s v="01050722 3" u="1"/>
        <s v="2090 23 2323" u="1"/>
        <s v="06202112" u="1"/>
        <s v="24012021" u="1"/>
        <s v="1314102021" u="1"/>
        <s v="390489LSLKS" u="1"/>
        <s v="2814643" u="1"/>
        <s v="3814" u="1"/>
        <s v="08122021" u="1"/>
        <s v="12ap2021" u="1"/>
        <s v="1414" u="1"/>
        <s v="23232" u="1"/>
        <s v="269857" u="1"/>
        <s v="29001920 12 1" u="1"/>
        <s v="2814644" u="1"/>
        <s v="080322 cdJ" u="1"/>
        <s v="12-2022MSP" u="1"/>
        <s v="279453 101" u="1"/>
        <s v="268741" u="1"/>
        <s v="16diciembre jumi" u="1"/>
        <s v="290122" u="1"/>
        <s v="208640" u="1"/>
        <s v="212223122021" u="1"/>
        <s v="290202" u="1"/>
        <s v="2814645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289900" u="1"/>
        <s v="0405082021P" u="1"/>
        <s v="272111" u="1"/>
        <s v="noddict GH - CONST" u="1"/>
        <s v="03825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5483" u="1"/>
        <s v="336046" u="1"/>
        <s v="2890090 33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8949933" u="1"/>
        <s v="3083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586m" u="1"/>
        <s v="26597" u="1"/>
        <s v="131022cm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83694" u="1"/>
        <s v="283786" u="1"/>
        <s v="063414ñ453." u="1"/>
        <s v="20212223241" u="1"/>
        <s v="277203" u="1"/>
        <s v="278215" u="1"/>
        <s v="279043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283774" u="1"/>
        <s v="283958" u="1"/>
        <s v="31122021 MSP" u="1"/>
        <s v="200822" u="1"/>
        <s v="279031" u="1"/>
        <s v="279123" u="1"/>
        <s v="279215" u="1"/>
        <s v="280910" u="1"/>
        <s v="281922" u="1"/>
        <s v="282750" u="1"/>
        <s v="283670" u="1"/>
        <s v="283762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2922" u="1"/>
        <s v="283750" u="1"/>
        <s v="282910" u="1"/>
        <s v="290932 13" u="1"/>
        <s v="2090921 |1" u="1"/>
        <s v="5804" u="1"/>
        <s v="03126" u="1"/>
        <s v="28022021" u="1"/>
        <s v="190290 4" u="1"/>
        <s v="01050722 2" u="1"/>
        <s v="060622Jujj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190223" u="1"/>
        <s v="277652 ABR21" u="1"/>
        <s v="9863" u="1"/>
        <s v="0326.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150123.29" u="1"/>
        <s v="2" u="1"/>
        <s v="312021" u="1"/>
        <s v="152361 WD1" u="1"/>
        <s v="15742" u="1"/>
        <s v="274317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5894" u="1"/>
        <s v="020.92020" u="1"/>
        <s v="2890090 32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3796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3784" u="1"/>
        <s v="283968" u="1"/>
        <s v="2814628" u="1"/>
        <s v="063414ñ4532" u="1"/>
        <s v="31122021lD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283772" u="1"/>
        <s v="283956" u="1"/>
        <s v="141220 BP" u="1"/>
        <s v="97989 j 2022" u="1"/>
        <s v="32 13123 01" u="1"/>
        <s v="279213" u="1"/>
        <s v="279305" u="1"/>
        <s v="282840" u="1"/>
        <s v="282932" u="1"/>
        <s v="283760" u="1"/>
        <s v="CM0205" u="1"/>
        <s v="2814629" u="1"/>
        <s v="279751 4 9 1" u="1"/>
        <s v="0922 1021" u="1"/>
        <s v="2632701 1" u="1"/>
        <s v="279201" u="1"/>
        <s v="11222.cm." u="1"/>
        <s v="EXPTE 317 2020" u="1"/>
        <s v="jul  2020" u="1"/>
        <s v="2902389 121" u="1"/>
        <s v="274454 JUN20" u="1"/>
        <s v="390221 10 1122" u="1"/>
        <s v="2309001-1-4-fb.lb" u="1"/>
        <s v="08032021" u="1"/>
        <s v="24022021" u="1"/>
        <s v="01050722 1" u="1"/>
        <s v="3004" u="1"/>
        <s v="263271 NOV.DIC" u="1"/>
        <s v="28 agosto 2020" u="1"/>
        <s v="277907 jul-dic2020" u="1"/>
        <s v="278533 203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5444" u="1"/>
        <s v="27635" u="1"/>
        <s v="15451" u="1"/>
        <s v="030223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3650" u="1"/>
        <s v="290180 120" u="1"/>
        <s v="278179" u="1"/>
        <s v="279099" u="1"/>
        <s v="280794" u="1"/>
        <s v="280886" u="1"/>
        <s v="28097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339" u="1"/>
        <s v="280850" u="1"/>
        <s v="281770" u="1"/>
        <s v="281862" u="1"/>
        <s v="282690" u="1"/>
        <s v="282874" u="1"/>
        <s v="282966" u="1"/>
        <s v="283794" u="1"/>
        <s v="283978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283690" u="1"/>
        <s v="283966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770" u="1"/>
        <s v="283954" u="1"/>
        <s v="279211" u="1"/>
        <s v="279303" u="1"/>
        <s v="282930" u="1"/>
        <s v="010821Mq" u="1"/>
        <s v="18octubre" u="1"/>
        <s v="075." u="1"/>
        <s v="32020 6" u="1"/>
        <s v="0522 1021" u="1"/>
        <s v="311222 LT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16112022" u="1"/>
        <s v="5014" u="1"/>
        <s v="010822022" u="1"/>
        <s v="2090232 1mayo" u="1"/>
        <s v="MSSJ 30/07/2022" u="1"/>
        <s v="062020nov" u="1"/>
        <s v="JMPIR29-12" u="1"/>
        <s v="MSSJ 02/04/23" u="1"/>
        <s v="UCA300420" u="1"/>
        <s v="5845" u="1"/>
        <s v="190323" u="1"/>
        <s v="HUANUCO" u="1"/>
        <s v="029032.oct" u="1"/>
        <s v="29091 16 mayo" u="1"/>
        <s v="290 189 230912" u="1"/>
        <s v="128932" u="1"/>
        <s v="270313" u="1"/>
        <s v="130222" u="1"/>
        <s v="20 julio" u="1"/>
        <s v="2901828 1octubre" u="1"/>
        <s v="010222" u="1"/>
        <s v="030405" u="1"/>
        <s v="151221" u="1"/>
        <s v="031221" u="1"/>
        <s v="28298 0002" u="1"/>
        <s v="277992 1" u="1"/>
        <s v="290190 19" u="1"/>
        <s v="280988" u="1"/>
        <s v="2903289 123" u="1"/>
        <s v="154325" u="1"/>
        <s v="5632 1" u="1"/>
        <s v="06/062021" u="1"/>
        <s v="15852" u="1"/>
        <s v="278177" u="1"/>
        <s v="279189" u="1"/>
        <s v="280792" u="1"/>
        <s v="280976" u="1"/>
        <s v="281988" u="1"/>
        <s v="5 J- 2022." u="1"/>
        <s v="4093902 223" u="1"/>
        <s v="278533 - 30 ABRIL" u="1"/>
        <s v="25" u="1"/>
        <s v="5895" u="1"/>
        <s v="BARCENA.TERRENOS.MARZO" u="1"/>
        <s v="256326" u="1"/>
        <s v="277337" u="1"/>
        <s v="279085" u="1"/>
        <s v="279177" u="1"/>
        <s v="279269" u="1"/>
        <s v="280780" u="1"/>
        <s v="280872" u="1"/>
        <s v="280964" u="1"/>
        <s v="281792" u="1"/>
        <s v="281976" u="1"/>
        <s v="282988" u="1"/>
        <s v="01" u="1"/>
        <s v="5094" u="1"/>
        <s v="281535 11" u="1"/>
        <s v="23920 32 235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976" u="1"/>
        <s v="283988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280414 2" u="1"/>
        <s v="28738382 21" u="1"/>
        <s v="2762091" u="1"/>
        <s v="2806641" u="1"/>
        <s v="281531 10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300921" u="1"/>
        <s v="2772091" u="1"/>
        <s v="279313" u="1"/>
        <s v="279405" u="1"/>
        <s v="282940" u="1"/>
        <s v="283952" u="1"/>
        <s v="02/08/21" u="1"/>
        <s v="2806642" u="1"/>
        <s v="279301" u="1"/>
        <s v="1 abril 2021" u="1"/>
        <s v="092020 JUJUY FM" u="1"/>
        <s v="0122 1021" u="1"/>
        <s v="111906 d0921" u="1"/>
        <s v="300420201" u="1"/>
        <s v="516515 121" u="1"/>
        <s v="11116 7 ABRIL" u="1"/>
        <s v="274454 JUL20" u="1"/>
        <s v="08042021" u="1"/>
        <s v="08062020" u="1"/>
        <s v="24032021" u="1"/>
        <s v="24052020" u="1"/>
        <s v="CTX 2022" u="1"/>
        <s v="83989 98923 3" u="1"/>
        <s v="12032021" u="1"/>
        <s v="279453 121" u="1"/>
        <s v="24112022" u="1"/>
        <s v="5483982 1" u="1"/>
        <s v="209023 23" u="1"/>
        <s v="UCA070520" u="1"/>
        <s v="063414ñ4531w" u="1"/>
        <s v="290201 1octubre" u="1"/>
        <s v="24 octubre 390902" u="1"/>
        <s v="102021b2" u="1"/>
        <s v="032023." u="1"/>
        <s v="marz/22" u="1"/>
        <s v="1011feb" u="1"/>
        <s v="20212223 NOV" u="1"/>
        <s v="5445" u="1"/>
        <s v="190321" u="1"/>
        <s v="281085 14" u="1"/>
        <s v="030323" u="1"/>
        <s v="050322" u="1"/>
        <s v="080323 SSD" u="1"/>
        <s v="290202.nov" u="1"/>
        <s v="CTX 2023 PC" u="1"/>
        <s v="190422 CM2022" u="1"/>
        <s v="23652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30010422.5" u="1"/>
        <s v="0511021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283986" u="1"/>
        <s v="7novi.adic." u="1"/>
        <s v="280122NOV.3L23" u="1"/>
        <s v="2792200 OCTUBRE" u="1"/>
        <s v="277311" u="1"/>
        <s v="278507" u="1"/>
        <s v="279151" u="1"/>
        <s v="279243" u="1"/>
        <s v="279427" u="1"/>
        <s v="279519" u="1"/>
        <s v="281950" u="1"/>
        <s v="282870" u="1"/>
        <s v="282962" u="1"/>
        <s v="283790" u="1"/>
        <s v="283974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283962" u="1"/>
        <s v="11222cm" u="1"/>
        <s v="2392090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29090 23 23" u="1"/>
        <s v="JUNIO 2021 melli" u="1"/>
        <s v="15 SEPTIEMBRE - AVISO 2" u="1"/>
        <s v="0607" u="1"/>
        <s v="2950465" u="1"/>
        <s v="3004senco" u="1"/>
        <s v="9949NF" u="1"/>
        <s v="UCA240520" u="1"/>
        <s v="5045" u="1"/>
        <s v="5856" u="1"/>
        <s v="9865" u="1"/>
        <s v="130322" u="1"/>
        <s v="090 2390 1125" u="1"/>
        <s v="11645" u="1"/>
        <s v="111122 7" u="1"/>
        <s v="4889 453" u="1"/>
        <s v="24feb" u="1"/>
        <s v="311221" u="1"/>
        <s v="09.2021" u="1"/>
        <s v="281021 CM3" u="1"/>
        <s v="X0921155" u="1"/>
        <s v="181022 CM2" u="1"/>
        <s v="5065" u="1"/>
        <s v="275253" u="1"/>
        <s v="MSSJ 12/06/2022" u="1"/>
        <s v="65" u="1"/>
        <s v="2712051" u="1"/>
        <s v="15954" u="1"/>
        <s v="50499" u="1"/>
        <s v="279289" u="1"/>
        <s v="280892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30010422.4" u="1"/>
        <s v="5095" u="1"/>
        <s v="171" u="1"/>
        <s v="278529" u="1"/>
        <s v="279173" u="1"/>
        <s v="279265" u="1"/>
        <s v="279357" u="1"/>
        <s v="280960" u="1"/>
        <s v="281880" u="1"/>
        <s v="281972" u="1"/>
        <s v="282892" u="1"/>
        <s v="283996" u="1"/>
        <s v="251102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311022" u="1"/>
        <s v="2762171" u="1"/>
        <s v="2817761" u="1"/>
        <s v="6noviembre.roca2" u="1"/>
        <s v="278505" u="1"/>
        <s v="279425" u="1"/>
        <s v="279517" u="1"/>
        <s v="279609" u="1"/>
        <s v="282960" u="1"/>
        <s v="283972" u="1"/>
        <s v="2762051" u="1"/>
        <s v="279413" u="1"/>
        <s v="279505" u="1"/>
        <s v="283960" u="1"/>
        <s v="393899 23" u="1"/>
        <s v="07121725  1" u="1"/>
        <s v="054" u="1"/>
        <s v="295" u="1"/>
        <s v="mecanico 12 marzo" u="1"/>
        <s v="175" u="1"/>
        <s v="279401" u="1"/>
        <s v="070522 LT" u="1"/>
        <s v="920932 232" u="1"/>
        <s v="055" u="1"/>
        <s v="090722JujjBAN" u="1"/>
        <s v="ciensoc.anon.14feb.2" u="1"/>
        <s v="23054" u="1"/>
        <s v="110922 BMP" u="1"/>
        <s v="056" u="1"/>
        <s v="279453 131" u="1"/>
        <s v="029032.mayo" u="1"/>
        <s v="08072020" u="1"/>
        <s v="33336..41" u="1"/>
        <s v="057" u="1"/>
        <s v="23082020 1" u="1"/>
        <s v="289892" u="1"/>
        <s v="07121725  2" u="1"/>
        <s v="058" u="1"/>
        <s v="12122022" u="1"/>
        <s v="290209 10" u="1"/>
        <s v="082022colsa" u="1"/>
        <s v="059" u="1"/>
        <s v="2627" u="1"/>
        <s v="5436" u="1"/>
        <s v="300421 cdJ" u="1"/>
        <s v="154287" u="1"/>
        <s v="310323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010722CJC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283994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283982" u="1"/>
        <s v="253" u="1"/>
        <s v="2762151" u="1"/>
        <s v="133" u="1"/>
        <s v="278503" u="1"/>
        <s v="279331" u="1"/>
        <s v="279423" u="1"/>
        <s v="279515" u="1"/>
        <s v="279607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029032.marzo." u="1"/>
        <s v="255" u="1"/>
        <s v="135" u="1"/>
        <s v="1792020" u="1"/>
        <s v="24.02.23" u="1"/>
        <s v="31122021TN" u="1"/>
        <s v="29090328 1213" u="1"/>
        <s v="256" u="1"/>
        <s v="15248" u="1"/>
        <s v="2180462" u="1"/>
        <s v="290422.." u="1"/>
        <s v="136" u="1"/>
        <s v="20.01.23" u="1"/>
        <s v="28052021" u="1"/>
        <s v="02042021 UNJU" u="1"/>
        <s v="498" u="1"/>
        <s v="269751." u="1"/>
        <s v="289381 1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121906 0621" u="1"/>
        <s v="11739" u="1"/>
        <s v="17-0522" u="1"/>
        <s v="278820 1 1" u="1"/>
        <s v="1040521 mayo" u="1"/>
        <s v="5046" u="1"/>
        <s v="130422" u="1"/>
        <s v="151617" u="1"/>
        <s v="010422" u="1"/>
        <s v="296388" u="1"/>
        <s v="07072020 ucr" u="1"/>
        <s v="01/2021" u="1"/>
        <s v="2010112022" u="1"/>
        <s v="275709" u="1"/>
        <s v="279389" u="1"/>
        <s v="280992" u="1"/>
        <s v="INMUEBLE EL CEIBAL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103062022" u="1"/>
        <s v="MAY2020 J" u="1"/>
        <s v="01/2023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mar2022 ICADE" u="1"/>
        <s v="279501" u="1"/>
        <s v="24.03.23" u="1"/>
        <s v="070622 LT" u="1"/>
        <s v="101112/08/2021" u="1"/>
        <s v="215" u="1"/>
        <s v="23248" u="1"/>
        <s v="300420211" u="1"/>
        <s v="33336..42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122022colsa" u="1"/>
        <s v="5437" u="1"/>
        <s v="300721C" u="1"/>
        <s v="274586 5" u="1"/>
        <s v="120622 cdJ" u="1"/>
        <s v="274454 29JUN21" u="1"/>
        <s v="290522" u="1"/>
        <s v="AÑO2023" u="1"/>
        <s v="238989 23" u="1"/>
        <s v="333366" u="1"/>
        <s v="271122 8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00132023" u="1"/>
        <s v="112020 bm" u="1"/>
        <s v="29091 23 19" u="1"/>
        <s v="154511" u="1"/>
        <s v="17102020" u="1"/>
        <s v="283697343 3" u="1"/>
        <s v="258456" u="1"/>
        <s v="278547" u="1"/>
        <s v="279191" u="1"/>
        <s v="279375" u="1"/>
        <s v="279467" u="1"/>
        <s v="279559" u="1"/>
        <s v="281990" u="1"/>
        <s v="05102020" u="1"/>
        <s v="mar21" u="1"/>
        <s v="532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GRDF" u="1"/>
        <s v="20200" u="1"/>
        <s v="278523" u="1"/>
        <s v="278615" u="1"/>
        <s v="278707" u="1"/>
        <s v="279351" u="1"/>
        <s v="279627" u="1"/>
        <s v="279719" u="1"/>
        <s v="283990" u="1"/>
        <s v="654" u="1"/>
        <s v="281009" u="1"/>
        <s v="278511" u="1"/>
        <s v="278603" u="1"/>
        <s v="279431" u="1"/>
        <s v="279523" u="1"/>
        <s v="279615" u="1"/>
        <s v="279707" u="1"/>
        <s v="282009" u="1"/>
        <s v="2762111" u="1"/>
        <s v="MSSJ25/05/2022" u="1"/>
        <s v="535" u="1"/>
        <s v="279511" u="1"/>
        <s v="279603" u="1"/>
        <s v="283009" u="1"/>
        <s v="269082 23" u="1"/>
        <s v="230821 CM1" u="1"/>
        <s v="23065" u="1"/>
        <s v="KO" u="1"/>
        <s v="284009" u="1"/>
        <s v="122020 FM SOL" u="1"/>
        <s v="enero23.ejedsa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2656563 3" u="1"/>
        <s v="539" u="1"/>
        <s v="272477" u="1"/>
        <s v="121906 0721" u="1"/>
        <s v="31122022LGSM" u="1"/>
        <s v="5838" u="1"/>
        <s v="011222." u="1"/>
        <s v="160922c" u="1"/>
        <s v="2900901 102" u="1"/>
        <s v="51371" u="1"/>
        <s v="200622 cdJ" u="1"/>
        <s v="9090 23" u="1"/>
        <s v="289009" u="1"/>
        <s v="130522" u="1"/>
        <s v="152361" u="1"/>
        <s v="170520" u="1"/>
        <s v="333364" u="1"/>
        <s v="2590923 marzo" u="1"/>
        <s v="15958" u="1"/>
        <s v="274453" u="1"/>
        <s v="2828746" u="1"/>
        <s v="5888" u="1"/>
        <s v="158489" u="1"/>
        <s v="275717" u="1"/>
        <s v="278385" u="1"/>
        <s v="278569" u="1"/>
        <s v="279489" u="1"/>
        <s v="82989 23" u="1"/>
        <s v="271120200" u="1"/>
        <s v="5510" u="1"/>
        <s v="275705" u="1"/>
        <s v="278373" u="1"/>
        <s v="278557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103062023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2010112022 0113" u="1"/>
        <s v="4330" u="1"/>
        <s v="159545" u="1"/>
        <s v="280007" u="1"/>
        <s v="281019" u="1"/>
        <s v="28280471" u="1"/>
        <s v="MSSJ07/07/2022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98989 2932" u="1"/>
        <s v="8398 23232 3" u="1"/>
        <s v="278601" u="1"/>
        <s v="279613" u="1"/>
        <s v="279705" u="1"/>
        <s v="00010112022 022" u="1"/>
        <s v="282007" u="1"/>
        <s v="283019" u="1"/>
        <s v="2791531" u="1"/>
        <s v="279601" u="1"/>
        <s v="062006" u="1"/>
        <s v="283007" u="1"/>
        <s v="7782383" u="1"/>
        <s v="278818 09121" u="1"/>
        <s v="280941 28 agosto" u="1"/>
        <s v="280944 28 agosto" u="1"/>
        <s v="020821Q" u="1"/>
        <s v="260920200" u="1"/>
        <s v="109021 12 AGOSTO" u="1"/>
        <s v="08032023" u="1"/>
        <s v="08072021" u="1"/>
        <s v="08092020" u="1"/>
        <s v="0903290 2" u="1"/>
        <s v="3 octubre" u="1"/>
        <s v="2609" u="1"/>
        <s v="MAY22" u="1"/>
        <s v="12082020" u="1"/>
        <s v="234121 1335" u="1"/>
        <s v="AG020820" u="1"/>
        <s v="25909240  mayo" u="1"/>
        <s v="12122023" u="1"/>
        <s v="4228" u="1"/>
        <s v="15383" u="1"/>
        <s v="51372" u="1"/>
        <s v="75380" u="1"/>
        <s v="2898892 1" u="1"/>
        <s v="2023-18138" u="1"/>
        <s v="5438" u="1"/>
        <s v="23658" u="1"/>
        <s v="290622" u="1"/>
        <s v="290020 1" u="1"/>
        <s v="170622" u="1"/>
        <s v="26 J- 2022." u="1"/>
        <s v="274454 29JUN20" u="1"/>
        <s v="050622" u="1"/>
        <s v="090620" u="1"/>
        <s v="274475" u="1"/>
        <s v="2586W" u="1"/>
        <s v="2701511" u="1"/>
        <s v="080323 CM2" u="1"/>
        <s v="259640 agosto" u="1"/>
        <s v="20902309 18dic.1" u="1"/>
        <s v="2659" u="1"/>
        <s v="300422 SSD" u="1"/>
        <s v="275739" u="1"/>
        <s v="0310.2020" u="1"/>
        <s v="274531" u="1"/>
        <s v="275727" u="1"/>
        <s v="277659" u="1"/>
        <s v="278579" u="1"/>
        <s v="279499" u="1"/>
        <s v="agosto21" u="1"/>
        <s v="17112020A" u="1"/>
        <s v="3333642." u="1"/>
        <s v="5100" u="1"/>
        <s v="256360" u="1"/>
        <s v="275715" u="1"/>
        <s v="278567" u="1"/>
        <s v="278659" u="1"/>
        <s v="279395" u="1"/>
        <s v="279487" u="1"/>
        <s v="279579" u="1"/>
        <s v="29112020" u="1"/>
        <s v="mar23" u="1"/>
        <s v="17112020" u="1"/>
        <s v="noviembre.autocor.1" u="1"/>
        <s v="275703" u="1"/>
        <s v="278371" u="1"/>
        <s v="278555" u="1"/>
        <s v="278647" u="1"/>
        <s v="278739" u="1"/>
        <s v="279475" u="1"/>
        <s v="279567" u="1"/>
        <s v="279659" u="1"/>
        <s v="21102020" u="1"/>
        <s v="2311" u="1"/>
        <s v="280029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6532363" u="1"/>
        <s v="CTX 2023 MP" u="1"/>
        <s v="MSSJ 27/12/2022." u="1"/>
        <s v="20210" u="1"/>
        <s v="278531" u="1"/>
        <s v="278623" u="1"/>
        <s v="278715" u="1"/>
        <s v="278807" u="1"/>
        <s v="279451" u="1"/>
        <s v="279543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090 012 01" u="1"/>
        <s v="2122/052021" u="1"/>
        <s v="5160" u="1"/>
        <s v="2361" u="1"/>
        <s v="283005" u="1"/>
        <s v="284017" u="1"/>
        <s v="mar18.23" u="1"/>
        <s v="18112021ujj" u="1"/>
        <s v="284005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51373" u="1"/>
        <s v="5839" u="1"/>
        <s v="23659" u="1"/>
        <s v="289029" u="1"/>
        <s v="0108MEX" u="1"/>
        <s v="5038" u="1"/>
        <s v="5859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240,322FMS" u="1"/>
        <s v="5511" u="1"/>
        <s v="275713" u="1"/>
        <s v="278565" u="1"/>
        <s v="278657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645" u="1"/>
        <s v="278737" u="1"/>
        <s v="278829" u="1"/>
        <s v="279381" u="1"/>
        <s v="279473" u="1"/>
        <s v="279565" u="1"/>
        <s v="279657" u="1"/>
        <s v="sep/21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MSSJ 25/2/23" u="1"/>
        <s v="9550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79701" u="1"/>
        <s v="090232 abril 2022 conv. agrim." u="1"/>
        <s v="282003" u="1"/>
        <s v="283015" u="1"/>
        <s v="283107" u="1"/>
        <s v="284027" u="1"/>
        <s v="0903290 3" u="1"/>
        <s v="16813" u="1"/>
        <s v="283003" u="1"/>
        <s v="284015" u="1"/>
        <s v="26112021ujj" u="1"/>
        <s v="130123.20-23" u="1"/>
        <s v="08082021" u="1"/>
        <s v="24092020" u="1"/>
        <s v="02923lnas." u="1"/>
        <s v="284003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90 3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71122 9" u="1"/>
        <s v="209019" u="1"/>
        <s v="281528  1012" u="1"/>
        <s v="275759" u="1"/>
        <s v="2903019 1" u="1"/>
        <s v="10023mar2023." u="1"/>
        <s v="080321 CM1" u="1"/>
        <s v="275747" u="1"/>
        <s v="277679" u="1"/>
        <s v="278599" u="1"/>
        <s v="15 SEPTIEMBRE" u="1"/>
        <s v="febmar2023 melli" u="1"/>
        <s v="277667" u="1"/>
        <s v="278587" u="1"/>
        <s v="278679" u="1"/>
        <s v="279599" u="1"/>
        <s v="jul2020" u="1"/>
        <s v="311222LED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280049" u="1"/>
        <s v="17102021" u="1"/>
        <s v="febPE/22" u="1"/>
        <s v="39020323 273" u="1"/>
        <s v="275711" u="1"/>
        <s v="278563" u="1"/>
        <s v="278655" u="1"/>
        <s v="278747" u="1"/>
        <s v="278839" u="1"/>
        <s v="279391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2049" u="1"/>
        <s v="281222HS" u="1"/>
        <s v="20febrero" u="1"/>
        <s v="278631" u="1"/>
        <s v="278723" u="1"/>
        <s v="278815" u="1"/>
        <s v="278907" u="1"/>
        <s v="279551" u="1"/>
        <s v="279643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284049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090 101" u="1"/>
        <s v="2901891 2" u="1"/>
        <s v="010822EX/2022" u="1"/>
        <s v="282001" u="1"/>
        <s v="283013" u="1"/>
        <s v="283105" u="1"/>
        <s v="150123.1" u="1"/>
        <s v="2893211 091" u="1"/>
        <s v="EDICTO MARIANA RIOS" u="1"/>
        <s v="283001" u="1"/>
        <s v="284013" u="1"/>
        <s v="12344ñ4" u="1"/>
        <s v="121906 0921" u="1"/>
        <s v="27-11-2022m" u="1"/>
        <s v="092091 10121 1" u="1"/>
        <s v="5181" u="1"/>
        <s v="04082021" u="1"/>
        <s v="20032023" u="1"/>
        <s v="15478" u="1"/>
        <s v="284001" u="1"/>
        <s v="9209203" u="1"/>
        <s v="9889892" u="1"/>
        <s v="05902021" u="1"/>
        <s v="28291221" u="1"/>
        <s v="75575" u="1"/>
        <s v="12344ñ5" u="1"/>
        <s v="90032NOV." u="1"/>
        <s v="274596 6" u="1"/>
        <s v="28151323 10 2" u="1"/>
        <s v="191222 11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111222 10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585" u="1"/>
        <s v="278677" u="1"/>
        <s v="278769" u="1"/>
        <s v="279689" u="1"/>
        <s v="29020221" u="1"/>
        <s v="19.03.23m" u="1"/>
        <s v="5089" u="1"/>
        <s v="12022" u="1"/>
        <s v="280059" u="1"/>
        <s v="031020211" u="1"/>
        <s v="280943 11" u="1"/>
        <s v="MSSJ 24/3/23" u="1"/>
        <s v="31 07 2022 mercado" u="1"/>
        <s v="Convocatoria Club 20 de Enero" u="1"/>
        <s v="278573" u="1"/>
        <s v="278665" u="1"/>
        <s v="278757" u="1"/>
        <s v="279493" u="1"/>
        <s v="279585" u="1"/>
        <s v="279677" u="1"/>
        <s v="279769" u="1"/>
        <s v="25102021" u="1"/>
        <s v="0303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01102021" u="1"/>
        <s v="01122020" u="1"/>
        <s v="56321" u="1"/>
        <s v="280035" u="1"/>
        <s v="280127" u="1"/>
        <s v="280219" u="1"/>
        <s v="281139" u="1"/>
        <s v="282059" u="1"/>
        <s v="222422023" u="1"/>
        <s v="MSSJ 25/3/23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WS" u="1"/>
        <s v="280023" u="1"/>
        <s v="280115" u="1"/>
        <s v="280207" u="1"/>
        <s v="281035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43090093 205" u="1"/>
        <s v="280011" u="1"/>
        <s v="280103" u="1"/>
        <s v="281023" u="1"/>
        <s v="281115" u="1"/>
        <s v="282035" u="1"/>
        <s v="282127" u="1"/>
        <s v="283139" u="1"/>
        <s v="284059" u="1"/>
        <s v="278801" u="1"/>
        <s v="279813" u="1"/>
        <s v="279905" u="1"/>
        <s v="29091 9 mayo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0903290 4" u="1"/>
        <s v="230822 LT" u="1"/>
        <s v="3004221TN" u="1"/>
        <s v="042023" u="1"/>
        <s v="062022" u="1"/>
        <s v="082021" u="1"/>
        <s v="282011" u="1"/>
        <s v="282103" u="1"/>
        <s v="283023" u="1"/>
        <s v="283115" u="1"/>
        <s v="283207" u="1"/>
        <s v="20900 23" u="1"/>
        <s v="010821 LT" u="1"/>
        <s v="VSJ3007-1" u="1"/>
        <s v="283011" u="1"/>
        <s v="284023" u="1"/>
        <s v="2899891 2" u="1"/>
        <s v="109021 22 agosto" u="1"/>
        <s v="08092021" u="1"/>
        <s v="52912" u="1"/>
        <s v="284011" u="1"/>
        <s v="284103" u="1"/>
        <s v="12062022" u="1"/>
        <s v="5592" u="1"/>
        <s v="59778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311222 10" u="1"/>
        <s v="2901902" u="1"/>
        <s v="19072021pF" u="1"/>
        <s v="2090230 032" u="1"/>
        <s v="277699" u="1"/>
        <s v="2840920 1012" u="1"/>
        <s v="118921 AGOSTO" u="1"/>
        <s v="390911enero carmen." u="1"/>
        <s v="390911marzo carmen." u="1"/>
        <s v="0326./." u="1"/>
        <s v="0902802" u="1"/>
        <s v="277687" u="1"/>
        <s v="278699" u="1"/>
        <s v="jun0620" u="1"/>
        <s v="30 ABRIL 2022.mercado" u="1"/>
        <s v="333814" u="1"/>
        <s v="MSSJ 5/2/23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687" u="1"/>
        <s v="279779" u="1"/>
        <s v="280948 2" u="1"/>
        <s v="29112021" u="1"/>
        <s v="280057" u="1"/>
        <s v="281069" u="1"/>
        <s v="2763510" u="1"/>
        <s v="17112021" u="1"/>
        <s v="209023 233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3069" u="1"/>
        <s v="5132" u="1"/>
        <s v="278731" u="1"/>
        <s v="278823" u="1"/>
        <s v="278915" u="1"/>
        <s v="279651" u="1"/>
        <s v="279743" u="1"/>
        <s v="279927" u="1"/>
        <s v="284009." u="1"/>
        <s v="271809 202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84069" u="1"/>
        <s v="2584561" u="1"/>
        <s v="2795591" u="1"/>
        <s v="3420 90 12" u="1"/>
        <s v="09202 01223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61022" u="1"/>
        <s v="280101" u="1"/>
        <s v="281021" u="1"/>
        <s v="281113" u="1"/>
        <s v="282125" u="1"/>
        <s v="283045" u="1"/>
        <s v="283137" u="1"/>
        <s v="283229" u="1"/>
        <s v="284057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584562" u="1"/>
        <s v="310323 PLR" u="1"/>
        <s v="022022" u="1"/>
        <s v="042021" u="1"/>
        <s v="062020" u="1"/>
        <s v="282101" u="1"/>
        <s v="283021" u="1"/>
        <s v="283113" u="1"/>
        <s v="283205" u="1"/>
        <s v="284309" u="1"/>
        <s v="18 09 2022merc" u="1"/>
        <s v="5172" u="1"/>
        <s v="283101" u="1"/>
        <s v="20082021" u="1"/>
        <s v="11479" u="1"/>
        <s v="285205" u="1"/>
        <s v="286217" u="1"/>
        <s v="1011mar" u="1"/>
        <s v="MSSJ 08/3/23" u="1"/>
        <s v="16/09/2021" u="1"/>
        <s v="3902839" u="1"/>
        <s v="274789" u="1"/>
        <s v="29-01_2023m" u="1"/>
        <s v="231222 11" u="1"/>
        <s v="jul0720" u="1"/>
        <s v="111222 11" u="1"/>
        <s v="8MARZO RUTA 9" u="1"/>
        <s v="281517 - ag 2022" u="1"/>
        <s v="27009 1 octubre" u="1"/>
        <s v="010822" u="1"/>
        <s v="275765" u="1"/>
        <s v="2718091" u="1"/>
        <s v="277685" u="1"/>
        <s v="278789" u="1"/>
        <s v="477583" u="1"/>
        <s v="3333641" u="1"/>
        <s v="3DICIEMBRE" u="1"/>
        <s v="32023" u="1"/>
        <s v="280079" u="1"/>
        <s v="00279060" u="1"/>
        <s v="275741" u="1"/>
        <s v="277673" u="1"/>
        <s v="278593" u="1"/>
        <s v="278685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3333642" u="1"/>
        <s v="ene2022 ICADE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8013 OI2" u="1"/>
        <s v="29089191 1" u="1"/>
        <s v="240323 cdJpVI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691" u="1"/>
        <s v="2505/052021" u="1"/>
        <s v="5543" u="1"/>
        <s v="24616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84067" u="1"/>
        <s v="2795571" u="1"/>
        <s v="109021 15 agosto" u="1"/>
        <s v="278901" u="1"/>
        <s v="279913" u="1"/>
        <s v="01-2023MSP" u="1"/>
        <s v="081121" u="1"/>
        <s v="281111" u="1"/>
        <s v="282031" u="1"/>
        <s v="282123" u="1"/>
        <s v="283043" u="1"/>
        <s v="283135" u="1"/>
        <s v="283227" u="1"/>
        <s v="284055" u="1"/>
        <s v="1595451" u="1"/>
        <s v="VSJ3007-2" u="1"/>
        <s v="2909198 9 1" u="1"/>
        <s v="282111" u="1"/>
        <s v="282203" u="1"/>
        <s v="283031" u="1"/>
        <s v="283123" u="1"/>
        <s v="284319" u="1"/>
        <s v="7 marzo" u="1"/>
        <s v="3902840 1" u="1"/>
        <s v="283111" u="1"/>
        <s v="283203" u="1"/>
        <s v="284307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290922" u="1"/>
        <s v="190921" u="1"/>
        <s v="2090232 131" u="1"/>
        <s v="070921" u="1"/>
        <s v="210822" u="1"/>
        <s v="27989" u="1"/>
        <s v="316699" u="1"/>
        <s v="0327./." u="1"/>
        <s v="072020 30" u="1"/>
        <s v="2909021 112" u="1"/>
        <s v="277695" u="1"/>
        <s v="278799" u="1"/>
        <s v="27 febrero 2022.mercado" u="1"/>
        <s v="92021" u="1"/>
        <s v="280089" u="1"/>
        <s v="99100322" u="1"/>
        <s v="278695" u="1"/>
        <s v="278787" u="1"/>
        <s v="279799" u="1"/>
        <s v="012023II" u="1"/>
        <s v="102020oct" u="1"/>
        <s v="280077" u="1"/>
        <s v="280169" u="1"/>
        <s v="281089" u="1"/>
        <s v="234512 8" u="1"/>
        <s v="070622Jujj" u="1"/>
        <s v="277671" u="1"/>
        <s v="278591" u="1"/>
        <s v="278775" u="1"/>
        <s v="278867" u="1"/>
        <s v="279695" u="1"/>
        <s v="279787" u="1"/>
        <s v="279879" u="1"/>
        <s v="17AGO21" u="1"/>
        <s v="12.02.23F" u="1"/>
        <s v="4848793 3 diciembre 2" u="1"/>
        <s v="56324" u="1"/>
        <s v="280065" u="1"/>
        <s v="280157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775" u="1"/>
        <s v="279867" u="1"/>
        <s v="279959" u="1"/>
        <s v="2796377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080223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795671" u="1"/>
        <s v="029032.mayo. MARMOLERIA" u="1"/>
        <s v="278911" u="1"/>
        <s v="279831" u="1"/>
        <s v="2932090 12" u="1"/>
        <s v="56632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84065" u="1"/>
        <s v="2795551" u="1"/>
        <s v="27009 1 sept" u="1"/>
        <s v="5153" u="1"/>
        <s v="20532" u="1"/>
        <s v="121307" u="1"/>
        <s v="279911" u="1"/>
        <s v="301022" u="1"/>
        <s v="262214" u="1"/>
        <s v="282121" u="1"/>
        <s v="283041" u="1"/>
        <s v="284329" u="1"/>
        <s v="92309023" u="1"/>
        <s v="2090 102" u="1"/>
        <s v="283121" u="1"/>
        <s v="284317" u="1"/>
        <s v="BMOCT22" u="1"/>
        <s v="28298-19-28-23" u="1"/>
        <s v="102020" u="1"/>
        <s v="123123" u="1"/>
        <s v="005055" u="1"/>
        <s v="283201" u="1"/>
        <s v="284305" u="1"/>
        <s v="nov GH" u="1"/>
        <s v="290090 1" u="1"/>
        <s v="5183" u="1"/>
        <s v="23589" u="1"/>
        <s v="12344o5" u="1"/>
        <s v="274596 7" u="1"/>
        <s v="20enero22s" u="1"/>
        <s v="170920" u="1"/>
        <s v="22 M- 2022." u="1"/>
        <s v="ENE22" u="1"/>
        <s v="010922" u="1"/>
        <s v="250910" u="1"/>
        <s v="275785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277681" u="1"/>
        <s v="278693" u="1"/>
        <s v="278785" u="1"/>
        <s v="278877" u="1"/>
        <s v="278969" u="1"/>
        <s v="279889" u="1"/>
        <s v="09032021" u="1"/>
        <s v="23202112" u="1"/>
        <s v="25022021" u="1"/>
        <s v="12.03.23F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2090203 12 32" u="1"/>
        <s v="3945" u="1"/>
        <s v="5544" u="1"/>
        <s v="160223" u="1"/>
        <s v="180222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84075" u="1"/>
        <s v="284259" u="1"/>
        <s v="2795651" u="1"/>
        <s v="1545" u="1"/>
        <s v="VSJ3007-3" u="1"/>
        <s v="281303" u="1"/>
        <s v="282131" u="1"/>
        <s v="282223" u="1"/>
        <s v="282407" u="1"/>
        <s v="283051" u="1"/>
        <s v="283143" u="1"/>
        <s v="283235" u="1"/>
        <s v="284063" u="1"/>
        <s v="284339" u="1"/>
        <s v="2795531" u="1"/>
        <s v="23082021TN" u="1"/>
        <s v="nov 2021 melli" u="1"/>
        <s v="283223" u="1"/>
        <s v="284051" u="1"/>
        <s v="284327" u="1"/>
        <s v="08012 ags 2022" u="1"/>
        <s v="284315" u="1"/>
        <s v="290192 1" u="1"/>
        <s v="125145" u="1"/>
        <s v="08092022" u="1"/>
        <s v="18" u="1"/>
        <s v="284303" u="1"/>
        <s v="2909009 231" u="1"/>
        <s v="1585" u="1"/>
        <s v="/./-" u="1"/>
        <s v="290901 1octubre" u="1"/>
        <s v="208055" u="1"/>
        <s v="311222 12" u="1"/>
        <s v="20672022 jun" u="1"/>
        <s v="010822 cdJpACHA" u="1"/>
        <s v="010722UIJ" u="1"/>
        <s v="VSJ3007-19" u="1"/>
        <s v="ene23" u="1"/>
        <s v="abr21" u="1"/>
        <s v="2903902" u="1"/>
        <s v="2008092022" u="1"/>
        <s v="00019" u="1"/>
        <s v="274771" u="1"/>
        <s v="839899234" u="1"/>
        <s v="0622 1021" u="1"/>
        <s v="090281 09 1 2" u="1"/>
        <s v="MSSJ 1820/01/2023" u="1"/>
        <s v="278899" u="1"/>
        <s v="280189" u="1"/>
        <s v="5905" u="1"/>
        <s v="277691" u="1"/>
        <s v="278795" u="1"/>
        <s v="278887" u="1"/>
        <s v="279899" u="1"/>
        <s v="280085" u="1"/>
        <s v="280177" u="1"/>
        <s v="280269" u="1"/>
        <s v="281189" u="1"/>
        <s v="20902801 23" u="1"/>
        <s v="278674 127224" u="1"/>
        <s v="258-1" u="1"/>
        <s v="278691" u="1"/>
        <s v="278875" u="1"/>
        <s v="279795" u="1"/>
        <s v="279887" u="1"/>
        <s v="279979" u="1"/>
        <s v="21022021" u="1"/>
        <s v="280073" u="1"/>
        <s v="280165" u="1"/>
        <s v="280257" u="1"/>
        <s v="281085" u="1"/>
        <s v="281269" u="1"/>
        <s v="282189" u="1"/>
        <s v="278771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189" u="1"/>
        <s v="2795991" u="1"/>
        <s v="290923 1 diciembre" u="1"/>
        <s v="891011/1719/08/21a" u="1"/>
        <s v="5935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83269" u="1"/>
        <s v="2795871" u="1"/>
        <s v="5945" u="1"/>
        <s v="278931" u="1"/>
        <s v="279851" u="1"/>
        <s v="279943" u="1"/>
        <s v="080323" u="1"/>
        <s v="24022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32 131" u="1"/>
        <s v="2795751" u="1"/>
        <s v="120223" u="1"/>
        <s v="279931" u="1"/>
        <s v="300122" u="1"/>
        <s v="280301" u="1"/>
        <s v="281221" u="1"/>
        <s v="281313" u="1"/>
        <s v="282141" u="1"/>
        <s v="282417" u="1"/>
        <s v="282509" u="1"/>
        <s v="283061" u="1"/>
        <s v="283153" u="1"/>
        <s v="283245" u="1"/>
        <s v="284073" u="1"/>
        <s v="2795631" u="1"/>
        <s v="301122" u="1"/>
        <s v="281301" u="1"/>
        <s v="282221" u="1"/>
        <s v="283141" u="1"/>
        <s v="283509" u="1"/>
        <s v="284061" u="1"/>
        <s v="284337" u="1"/>
        <s v="602021" u="1"/>
        <s v="2795511" u="1"/>
        <s v="5164" u="1"/>
        <s v="5975" u="1"/>
        <s v="259643Noviembre" u="1"/>
        <s v="2365" u="1"/>
        <s v="284325" u="1"/>
        <s v="303030" u="1"/>
        <s v="563201" u="1"/>
        <s v="030.122020" u="1"/>
        <s v="10 mayo agrotecn stella" u="1"/>
        <s v="284313" u="1"/>
        <s v="290190 1" u="1"/>
        <s v="190290 10" u="1"/>
        <s v="26" u="1"/>
        <s v="5184" u="1"/>
        <s v="284301" u="1"/>
        <s v="02" u="1"/>
        <s v="5194" u="1"/>
        <s v="126327" u="1"/>
        <s v="010722." u="1"/>
        <s v="345353ñ" u="1"/>
        <s v="23900 102" u="1"/>
        <s v=".." u="1"/>
        <s v="208053" u="1"/>
        <s v="BMAGO22" u="1"/>
        <s v="11799" u="1"/>
        <s v="274793" u="1"/>
        <s v="VSJ3007-18" u="1"/>
        <s v="nov1" u="1"/>
        <s v="3112/2021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258-2" u="1"/>
        <s v="278793" u="1"/>
        <s v="278885" u="1"/>
        <s v="279989" u="1"/>
        <s v="09042021" u="1"/>
        <s v="25052020" u="1"/>
        <s v="29101 1 2 6232" u="1"/>
        <s v="1524E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175" u="1"/>
        <s v="281267" u="1"/>
        <s v="281359" u="1"/>
        <s v="282095" u="1"/>
        <s v="282187" u="1"/>
        <s v="282279" u="1"/>
        <s v="283199" u="1"/>
        <s v="278861" u="1"/>
        <s v="279781" u="1"/>
        <s v="279873" u="1"/>
        <s v="279965" u="1"/>
        <s v="280151" u="1"/>
        <s v="280243" u="1"/>
        <s v="280427" u="1"/>
        <s v="281071" u="1"/>
        <s v="281163" u="1"/>
        <s v="281255" u="1"/>
        <s v="281347" u="1"/>
        <s v="282175" u="1"/>
        <s v="282267" u="1"/>
        <s v="282359" u="1"/>
        <s v="283095" u="1"/>
        <s v="283187" u="1"/>
        <s v="283279" u="1"/>
        <s v="2090293" u="1"/>
        <s v="2908123" u="1"/>
        <s v="278941" u="1"/>
        <s v="279861" u="1"/>
        <s v="279953" u="1"/>
        <s v="0326" u="1"/>
        <s v="280231" u="1"/>
        <s v="280323" u="1"/>
        <s v="280415" u="1"/>
        <s v="281151" u="1"/>
        <s v="281243" u="1"/>
        <s v="281427" u="1"/>
        <s v="281519" u="1"/>
        <s v="282071" u="1"/>
        <s v="282163" u="1"/>
        <s v="282255" u="1"/>
        <s v="283267" u="1"/>
        <s v="2795851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83255" u="1"/>
        <s v="284359" u="1"/>
        <s v="2795731" u="1"/>
        <s v="20635" u="1"/>
        <s v="281311" u="1"/>
        <s v="282231" u="1"/>
        <s v="282507" u="1"/>
        <s v="283151" u="1"/>
        <s v="283243" u="1"/>
        <s v="283519" u="1"/>
        <s v="284071" u="1"/>
        <s v="284255" u="1"/>
        <s v="284347" u="1"/>
        <s v="2795611" u="1"/>
        <s v="2849012 7" u="1"/>
        <s v="290902 1235" u="1"/>
        <s v="277652 ab20" u="1"/>
        <s v="274454 AGOSTO20" u="1"/>
        <s v="021220" u="1"/>
        <s v="282403" u="1"/>
        <s v="283231" u="1"/>
        <s v="283507" u="1"/>
        <s v="303040" u="1"/>
        <s v="070621M" u="1"/>
        <s v="290209 33" u="1"/>
        <s v="290920 mayo9" u="1"/>
        <s v="284323" u="1"/>
        <s v="10 MARZO" u="1"/>
        <s v="14 08 2022 merc" u="1"/>
        <s v="290321 13" u="1"/>
        <s v="284311" u="1"/>
        <s v="284403" u="1"/>
        <s v="12092022" u="1"/>
        <s v="0820211" u="1"/>
        <s v="311222 13" u="1"/>
        <s v="259647Marzo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003." u="1"/>
        <s v="a2021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280289" u="1"/>
        <s v="2909021" u="1"/>
        <s v="adfsadfas" u="1"/>
        <s v="5906" u="1"/>
        <s v="08247" u="1"/>
        <s v="277975" u="1"/>
        <s v="278895" u="1"/>
        <s v="29042021" u="1"/>
        <s v="21092020 D" u="1"/>
        <s v="0920902navas112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36529" u="1"/>
        <s v="200269" u="1"/>
        <s v="241279" u="1"/>
        <s v="280173" u="1"/>
        <s v="280265" u="1"/>
        <s v="280357" u="1"/>
        <s v="281093" u="1"/>
        <s v="281185" u="1"/>
        <s v="281277" u="1"/>
        <s v="281369" u="1"/>
        <s v="282289" u="1"/>
        <s v="277322 21" u="1"/>
        <s v="29200 891" u="1"/>
        <s v="20061221 1" u="1"/>
        <s v="5115" u="1"/>
        <s v="278871" u="1"/>
        <s v="278963" u="1"/>
        <s v="279791" u="1"/>
        <s v="279975" u="1"/>
        <s v="159456 I" u="1"/>
        <s v="279465 1" u="1"/>
        <s v="6325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289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83277" u="1"/>
        <s v="2795951" u="1"/>
        <s v="2909023" u="1"/>
        <s v="5946" u="1"/>
        <s v="279951" u="1"/>
        <s v="240323" u="1"/>
        <s v="280321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283265" u="1"/>
        <s v="284369" u="1"/>
        <s v="111122iEJ" u="1"/>
        <s v="120323" u="1"/>
        <s v="281531 156" u="1"/>
        <s v="280401" u="1"/>
        <s v="281321" u="1"/>
        <s v="281505" u="1"/>
        <s v="282241" u="1"/>
        <s v="282517" u="1"/>
        <s v="282609" u="1"/>
        <s v="283161" u="1"/>
        <s v="283253" u="1"/>
        <s v="283529" u="1"/>
        <s v="284357" u="1"/>
        <s v="2795711" u="1"/>
        <s v="5155" u="1"/>
        <s v="BMAY22" u="1"/>
        <s v="29002 31" u="1"/>
        <s v="282413" u="1"/>
        <s v="282505" u="1"/>
        <s v="283241" u="1"/>
        <s v="283517" u="1"/>
        <s v="283609" u="1"/>
        <s v="284253" u="1"/>
        <s v="284345" u="1"/>
        <s v="283007 1" u="1"/>
        <s v="7782383 2231" u="1"/>
        <s v="5976" u="1"/>
        <s v="2agosto" u="1"/>
        <s v="2090 103" u="1"/>
        <s v="13 marzo 2022.mercado" u="1"/>
        <s v="223232" u="1"/>
        <s v="282401" u="1"/>
        <s v="283505" u="1"/>
        <s v="284425" u="1"/>
        <s v="072021UB" u="1"/>
        <s v="26598111" u="1"/>
        <s v="209023-1fmarzo." u="1"/>
        <s v="204325" u="1"/>
        <s v="284321" u="1"/>
        <s v="97989 321" u="1"/>
        <s v="jun   2020" u="1"/>
        <s v="3 2022" u="1"/>
        <s v="284401" u="1"/>
        <s v="1411021" u="1"/>
        <s v="060" u="1"/>
        <s v="02090123" u="1"/>
        <s v="28082020 pg9" u="1"/>
        <s v="061" u="1"/>
        <s v="19072021SE" u="1"/>
        <s v="062" u="1"/>
        <s v="063" u="1"/>
        <s v="0201023" u="1"/>
        <s v="99030232OKD" u="1"/>
        <s v="97989 abril." u="1"/>
        <s v="VSJ3007-16" u="1"/>
        <s v="064" u="1"/>
        <s v="MSSJ 2930./12./2022" u="1"/>
        <s v="065" u="1"/>
        <s v="56329" u="1"/>
        <s v="280299" u="1"/>
        <s v="17.02.23" u="1"/>
        <s v="21.12.22" u="1"/>
        <s v="290 81982 893" u="1"/>
        <s v="066" u="1"/>
        <s v="280287" u="1"/>
        <s v="280379" u="1"/>
        <s v="281299" u="1"/>
        <s v="13.01.23" u="1"/>
        <s v="239090 12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275" u="1"/>
        <s v="280367" u="1"/>
        <s v="280459" u="1"/>
        <s v="281287" u="1"/>
        <s v="281379" u="1"/>
        <s v="13022022" u="1"/>
        <s v="2090203 2023" u="1"/>
        <s v="278881" u="1"/>
        <s v="278973" u="1"/>
        <s v="279893" u="1"/>
        <s v="279985" u="1"/>
        <s v="01042021" u="1"/>
        <s v="01062020" u="1"/>
        <s v="068" u="1"/>
        <s v="280171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283299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619" u="1"/>
        <s v="281171" u="1"/>
        <s v="281263" u="1"/>
        <s v="281355" u="1"/>
        <s v="282091" u="1"/>
        <s v="282275" u="1"/>
        <s v="282459" u="1"/>
        <s v="283287" u="1"/>
        <s v="2090204 2023" u="1"/>
        <s v="279961" u="1"/>
        <s v="89899 121" u="1"/>
        <s v="VSJ3007-5" u="1"/>
        <s v="29883209 12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275" u="1"/>
        <s v="283459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83263" u="1"/>
        <s v="283539" u="1"/>
        <s v="2795811" u="1"/>
        <s v="2849012 8" u="1"/>
        <s v="0108/052021" u="1"/>
        <s v="121517" u="1"/>
        <s v="201122 7" u="1"/>
        <s v="276230 121 5" u="1"/>
        <s v="281503" u="1"/>
        <s v="282515" u="1"/>
        <s v="282607" u="1"/>
        <s v="283527" u="1"/>
        <s v="283619" u="1"/>
        <s v="284263" u="1"/>
        <s v="284355" u="1"/>
        <s v="250522-1" u="1"/>
        <s v="AGRALE" u="1"/>
        <s v="282411" u="1"/>
        <s v="282503" u="1"/>
        <s v="283515" u="1"/>
        <s v="283607" u="1"/>
        <s v="2779011" u="1"/>
        <s v="290321 14" u="1"/>
        <s v="23090 121 1" u="1"/>
        <s v="283503" u="1"/>
        <s v="284331" u="1"/>
        <s v="090190 25 abril" u="1"/>
        <s v="140" u="1"/>
        <s v="1011021" u="1"/>
        <s v="300422 SUBTE" u="1"/>
        <s v="ene21 distancia" u="1"/>
        <s v="../" u="1"/>
        <s v="0220201" u="1"/>
        <s v="141" u="1"/>
        <s v="26531.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4899834 4" u="1"/>
        <s v="25861651" u="1"/>
        <s v="144" u="1"/>
        <s v="232423 2" u="1"/>
        <s v="VSJ3007-15" u="1"/>
        <s v="San Martín hockey club" u="1"/>
        <s v="265" u="1"/>
        <s v="17.03.23" u="1"/>
        <s v="145" u="1"/>
        <s v="1marzo" u="1"/>
        <s v="092020 FM SOL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21092020 B" u="1"/>
        <s v="063414ñ453.2" u="1"/>
        <s v="280273" u="1"/>
        <s v="280365" u="1"/>
        <s v="280457" u="1"/>
        <s v="281285" u="1"/>
        <s v="281377" u="1"/>
        <s v="281469" u="1"/>
        <s v="148" u="1"/>
        <s v="389" u="1"/>
        <s v="278971" u="1"/>
        <s v="279891" u="1"/>
        <s v="sept21" u="1"/>
        <s v="21122022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149" u="1"/>
        <s v="5937" u="1"/>
        <s v="24547" u="1"/>
        <s v="279971" u="1"/>
        <s v="032023colsa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3193" u="1"/>
        <s v="283285" u="1"/>
        <s v="283469" u="1"/>
        <s v="276489 100 1" u="1"/>
        <s v="5947" u="1"/>
        <s v="920211" u="1"/>
        <s v="280421" u="1"/>
        <s v="280605" u="1"/>
        <s v="281341" u="1"/>
        <s v="281525" u="1"/>
        <s v="281617" u="1"/>
        <s v="281709" u="1"/>
        <s v="282261" u="1"/>
        <s v="282353" u="1"/>
        <s v="282537" u="1"/>
        <s v="283273" u="1"/>
        <s v="283457" u="1"/>
        <s v="2795911" u="1"/>
        <s v="13diciembre" u="1"/>
        <s v="43090093 2056 03" u="1"/>
        <s v="26124." u="1"/>
        <s v="265286" u="1"/>
        <s v="280501" u="1"/>
        <s v="281513" u="1"/>
        <s v="281605" u="1"/>
        <s v="282525" u="1"/>
        <s v="282709" u="1"/>
        <s v="283261" u="1"/>
        <s v="283537" u="1"/>
        <s v="283629" u="1"/>
        <s v="284273" u="1"/>
        <s v="284365" u="1"/>
        <s v="5156" u="1"/>
        <s v="00563" u="1"/>
        <s v="20562" u="1"/>
        <s v="6047." u="1"/>
        <s v="281501" u="1"/>
        <s v="282513" u="1"/>
        <s v="282605" u="1"/>
        <s v="283525" u="1"/>
        <s v="283617" u="1"/>
        <s v="283709" u="1"/>
        <s v="284353" u="1"/>
        <s v="uca oct21" u="1"/>
        <s v="12 18 07 2022" u="1"/>
        <s v="5977" u="1"/>
        <s v="oct2107" u="1"/>
        <s v="28194423" u="1"/>
        <s v="282501" u="1"/>
        <s v="283513" u="1"/>
        <s v="283605" u="1"/>
        <s v="284341" u="1"/>
        <s v="25964 julio" u="1"/>
        <s v="5176" u="1"/>
        <s v="02/2021" u="1"/>
        <s v="0310.20201" u="1"/>
        <s v="12955" u="1"/>
        <s v="283501" u="1"/>
        <s v="23900 104" u="1"/>
        <s v="2909022diciembre.navas" u="1"/>
        <s v="5997" u="1"/>
        <s v="28032020 12" u="1"/>
        <s v="25000" u="1"/>
        <s v="1020321" u="1"/>
        <s v="272387 2" u="1"/>
        <s v="08012 j 2022" u="1"/>
        <s v="5196" u="1"/>
        <s v="010922." u="1"/>
        <s v="05101" u="1"/>
        <s v="0410" u="1"/>
        <s v="2890891" u="1"/>
        <s v="4800780916 NY22" u="1"/>
        <s v="2022 2906" u="1"/>
        <s v="222" u="1"/>
        <s v="463" u="1"/>
        <s v="0420" u="1"/>
        <s v="209012 01" u="1"/>
        <s v="465" u="1"/>
        <s v="345" u="1"/>
        <s v="434343 2" u="1"/>
        <s v="VSJ3007-14" u="1"/>
        <s v="225" u="1"/>
        <s v="280399" u="1"/>
        <s v="239090 13" u="1"/>
        <s v="300421 LT" u="1"/>
        <s v="19diciembr smg.1" u="1"/>
        <s v="1492020" u="1"/>
        <s v="226" u="1"/>
        <s v="280387" u="1"/>
        <s v="280479" u="1"/>
        <s v="281399" u="1"/>
        <s v="09029 1" u="1"/>
        <s v="2509101" u="1"/>
        <s v="00279062" u="1"/>
        <s v="2909012 1" u="1"/>
        <s v="09022023" u="1"/>
        <s v="09082020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282399" u="1"/>
        <s v="154511 2" u="1"/>
        <s v="01052021" u="1"/>
        <s v="290902 1231 1" u="1"/>
        <s v="469" u="1"/>
        <s v="280271" u="1"/>
        <s v="280363" u="1"/>
        <s v="280455" u="1"/>
        <s v="280639" u="1"/>
        <s v="281375" u="1"/>
        <s v="281467" u="1"/>
        <s v="281559" u="1"/>
        <s v="282387" u="1"/>
        <s v="282479" u="1"/>
        <s v="24364" u="1"/>
        <s v="279981" u="1"/>
        <s v="0209MEX." u="1"/>
        <s v="24122022LGSM" u="1"/>
        <s v="280351" u="1"/>
        <s v="280443" u="1"/>
        <s v="281271" u="1"/>
        <s v="281363" u="1"/>
        <s v="281455" u="1"/>
        <s v="281639" u="1"/>
        <s v="282191" u="1"/>
        <s v="282375" u="1"/>
        <s v="282467" u="1"/>
        <s v="282559" u="1"/>
        <s v="283295" u="1"/>
        <s v="28347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627" u="1"/>
        <s v="282271" u="1"/>
        <s v="282363" u="1"/>
        <s v="282455" u="1"/>
        <s v="282639" u="1"/>
        <s v="283191" u="1"/>
        <s v="283467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443" u="1"/>
        <s v="282719" u="1"/>
        <s v="283271" u="1"/>
        <s v="283455" u="1"/>
        <s v="283547" u="1"/>
        <s v="283639" u="1"/>
        <s v="2809112 1sept" u="1"/>
        <s v="090190 18 abril" u="1"/>
        <s v="24664" u="1"/>
        <s v="f0921" u="1"/>
        <s v="3490324" u="1"/>
        <s v="281511" u="1"/>
        <s v="281603" u="1"/>
        <s v="282523" u="1"/>
        <s v="282615" u="1"/>
        <s v="282707" u="1"/>
        <s v="283627" u="1"/>
        <s v="283719" u="1"/>
        <s v="284363" u="1"/>
        <s v="10-0422" u="1"/>
        <s v="5632./." u="1"/>
        <s v="dic.. GH - CONST" u="1"/>
        <s v="07062020 w" u="1"/>
        <s v="sep1" u="1"/>
        <s v="282511" u="1"/>
        <s v="282603" u="1"/>
        <s v="283523" u="1"/>
        <s v="283615" u="1"/>
        <s v="283707" u="1"/>
        <s v="284351" u="1"/>
        <s v="280 1090" u="1"/>
        <s v="28965" u="1"/>
        <s v="323423" u="1"/>
        <s v="283511" u="1"/>
        <s v="283603" u="1"/>
        <s v="5587" u="1"/>
        <s v="308196" u="1"/>
        <s v="326263" u="1"/>
        <s v="141022i" u="1"/>
        <s v="2200422" u="1"/>
        <s v="280945 112" u="1"/>
        <s v="00010112022" u="1"/>
        <s v="25001" u="1"/>
        <s v="122020 bm" u="1"/>
        <s v="12344ñ52" u="1"/>
        <s v="081120200" u="1"/>
        <s v="421" u="1"/>
        <s v="28081 12" u="1"/>
        <s v="713082020" u="1"/>
        <s v="100132023." u="1"/>
        <s v="0010" u="1"/>
        <s v="239802kg" u="1"/>
        <s v="274586 9" u="1"/>
        <s v="agos-022" u="1"/>
        <s v="29028 198 1" u="1"/>
        <s v="02042022MSSJ" u="1"/>
        <s v="543" u="1"/>
        <s v="268708" u="1"/>
        <s v="4840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349090 323" u="1"/>
        <s v="VSJ3007-13" u="1"/>
        <s v="19032022PKM" u="1"/>
        <s v="29082020" u="1"/>
        <s v="2902891 12" u="1"/>
        <s v="280293" u="1"/>
        <s v="280385" u="1"/>
        <s v="280477" u="1"/>
        <s v="280569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280281" u="1"/>
        <s v="280373" u="1"/>
        <s v="280465" u="1"/>
        <s v="280557" u="1"/>
        <s v="281293" u="1"/>
        <s v="281385" u="1"/>
        <s v="281477" u="1"/>
        <s v="281569" u="1"/>
        <s v="282489" u="1"/>
        <s v="00265" u="1"/>
        <s v="279991" u="1"/>
        <s v="8384939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2293" u="1"/>
        <s v="282477" u="1"/>
        <s v="282569" u="1"/>
        <s v="28348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373" u="1"/>
        <s v="282465" u="1"/>
        <s v="282557" u="1"/>
        <s v="283293" u="1"/>
        <s v="283477" u="1"/>
        <s v="240431" u="1"/>
        <s v="280613" u="1"/>
        <s v="280705" u="1"/>
        <s v="281533" u="1"/>
        <s v="281625" u="1"/>
        <s v="281809" u="1"/>
        <s v="282361" u="1"/>
        <s v="282453" u="1"/>
        <s v="282545" u="1"/>
        <s v="282729" u="1"/>
        <s v="283281" u="1"/>
        <s v="283465" u="1"/>
        <s v="04/102020b" u="1"/>
        <s v="19 J- 2022." u="1"/>
        <s v="13febrero.pensas." u="1"/>
        <s v="280601" u="1"/>
        <s v="281613" u="1"/>
        <s v="282533" u="1"/>
        <s v="282625" u="1"/>
        <s v="282717" u="1"/>
        <s v="282809" u="1"/>
        <s v="283453" u="1"/>
        <s v="283545" u="1"/>
        <s v="283637" u="1"/>
        <s v="328996/2" u="1"/>
        <s v="092031 19 DIC.-" u="1"/>
        <s v="282705" u="1"/>
        <s v="283533" u="1"/>
        <s v="283717" u="1"/>
        <s v="282601" u="1"/>
        <s v="283613" u="1"/>
        <s v="283705" u="1"/>
        <s v="181122i" u="1"/>
        <s v="281020201" u="1"/>
        <s v="290919 12" u="1"/>
        <s v="25002" u="1"/>
        <s v="283601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12022" u="1"/>
        <s v="3032021" u="1"/>
        <s v="2020" u="1"/>
        <s v="5640" u="1"/>
        <s v="010820 p" u="1"/>
        <s v="274475 2" u="1"/>
        <s v="1278820 1 1" u="1"/>
        <s v="504" u="1"/>
        <s v="5650" u="1"/>
        <s v="7MARZO" u="1"/>
        <s v="2508219 1" u="1"/>
        <s v="25510" u="1"/>
        <s v="76256" u="1"/>
        <s v="280499" u="1"/>
        <s v="0326...C." u="1"/>
        <s v="MSSJ 22-25/04/2022" u="1"/>
        <s v="90920389 10 dicmbre" u="1"/>
        <s v="3112221TN" u="1"/>
        <s v="VSJ3007-12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280291" u="1"/>
        <s v="280475" u="1"/>
        <s v="280567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739" u="1"/>
        <s v="281291" u="1"/>
        <s v="281475" u="1"/>
        <s v="281567" u="1"/>
        <s v="281659" u="1"/>
        <s v="282395" u="1"/>
        <s v="282487" u="1"/>
        <s v="282579" u="1"/>
        <s v="283499" u="1"/>
        <s v="509" u="1"/>
        <s v="20365" u="1"/>
        <s v="9309023" u="1"/>
        <s v="12282" u="1"/>
        <s v="280451" u="1"/>
        <s v="280543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283487" u="1"/>
        <s v="1524g5" u="1"/>
        <s v="283006 13" u="1"/>
        <s v="12566" u="1"/>
        <s v="280623" u="1"/>
        <s v="280715" u="1"/>
        <s v="280807" u="1"/>
        <s v="281451" u="1"/>
        <s v="282371" u="1"/>
        <s v="282463" u="1"/>
        <s v="282555" u="1"/>
        <s v="283291" u="1"/>
        <s v="283475" u="1"/>
        <s v="283659" u="1"/>
        <s v="03221TN" u="1"/>
        <s v="1000293952.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647" u="1"/>
        <s v="283739" u="1"/>
        <s v="239092 feb...1" u="1"/>
        <s v="24858" u="1"/>
        <s v="300420" u="1"/>
        <s v="201122 8" u="1"/>
        <s v="281611" u="1"/>
        <s v="282531" u="1"/>
        <s v="282715" u="1"/>
        <s v="282807" u="1"/>
        <s v="283451" u="1"/>
        <s v="283543" u="1"/>
        <s v="283727" u="1"/>
        <s v="284371" u="1"/>
        <s v="25963 junio" u="1"/>
        <s v="20902 3 20 23" u="1"/>
        <s v="277328 123" u="1"/>
        <s v="282611" u="1"/>
        <s v="282703" u="1"/>
        <s v="283531" u="1"/>
        <s v="283715" u="1"/>
        <s v="392090 23" u="1"/>
        <s v="4848793 15nov." u="1"/>
        <s v="25003" u="1"/>
        <s v="283611" u="1"/>
        <s v="2837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100232023." u="1"/>
        <s v="0011" u="1"/>
        <s v="0822" u="1"/>
        <s v="240322FMS" u="1"/>
        <s v="15423D" u="1"/>
        <s v="3108992" u="1"/>
        <s v="9MARZO" u="1"/>
        <s v="290 1892-1marzo-1" u="1"/>
        <s v="5250" u="1"/>
        <s v="029032.JUL" u="1"/>
        <s v="VSJ3007-23" u="1"/>
        <s v="2563 11" u="1"/>
        <s v="02902891" u="1"/>
        <s v="28084" u="1"/>
        <s v="280589" u="1"/>
        <s v="20902390" u="1"/>
        <s v="278674 11" u="1"/>
        <s v="97989 321 2 01" u="1"/>
        <s v="29072021" u="1"/>
        <s v="3849923 14" u="1"/>
        <s v="VSJ3007-11" u="1"/>
        <s v="280393" u="1"/>
        <s v="280485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485" u="1"/>
        <s v="281577" u="1"/>
        <s v="281669" u="1"/>
        <s v="282589" u="1"/>
        <s v="25052020 ING" u="1"/>
        <s v="5290" u="1"/>
        <s v="28292" u="1"/>
        <s v="181122v" u="1"/>
        <s v="2412790" u="1"/>
        <s v="08323 LT" u="1"/>
        <s v="278137 5" u="1"/>
        <s v="23298090 23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590924 abril" u="1"/>
        <s v="3849923 1mayo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48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485" u="1"/>
        <s v="FIGUEROA CABALLERO31marzo.22" u="1"/>
        <s v="5148" u="1"/>
        <s v="agos20 2" u="1"/>
        <s v="13/22didc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3737" u="1"/>
        <s v="284473" u="1"/>
        <s v="100520" u="1"/>
        <s v="274454 MAY20" u="1"/>
        <s v="281701" u="1"/>
        <s v="282713" u="1"/>
        <s v="282805" u="1"/>
        <s v="283541" u="1"/>
        <s v="283633" u="1"/>
        <s v="283725" u="1"/>
        <s v="283031 1" u="1"/>
        <s v="302614" u="1"/>
        <s v="45/11" u="1"/>
        <s v="282701" u="1"/>
        <s v="283713" u="1"/>
        <s v="26 abril 2021" u="1"/>
        <s v="022021 DImp" u="1"/>
        <s v="09022" u="1"/>
        <s v="283701" u="1"/>
        <s v="3884329 125" u="1"/>
        <s v="2794930 2kl3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3112MEX." u="1"/>
        <s v="268726" u="1"/>
        <s v="29093811" u="1"/>
        <s v="3090232octubre." u="1"/>
        <s v="2021" u="1"/>
        <s v="279406 111" u="1"/>
        <s v="25504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906" u="1"/>
        <s v="28085" u="1"/>
        <s v="28269" u="1"/>
        <s v="VSJ3007-22" u="1"/>
        <s v="57711" u="1"/>
        <s v="EDADAS" u="1"/>
        <s v="277959 1" u="1"/>
        <s v="280495" u="1"/>
        <s v="280587" u="1"/>
        <s v="280679" u="1"/>
        <s v="281599" u="1"/>
        <s v="00279063" u="1"/>
        <s v="080123.1" u="1"/>
        <s v="25072021" u="1"/>
        <s v="25092020" u="1"/>
        <s v="VSJ3007-8" u="1"/>
        <s v="3849923 13" u="1"/>
        <s v="280391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827" u="1"/>
        <s v="280919" u="1"/>
        <s v="281471" u="1"/>
        <s v="281563" u="1"/>
        <s v="281655" u="1"/>
        <s v="281747" u="1"/>
        <s v="282575" u="1"/>
        <s v="282759" u="1"/>
        <s v="283495" u="1"/>
        <s v="283679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827" u="1"/>
        <s v="281919" u="1"/>
        <s v="282471" u="1"/>
        <s v="282563" u="1"/>
        <s v="282655" u="1"/>
        <s v="282747" u="1"/>
        <s v="282839" u="1"/>
        <s v="283667" u="1"/>
        <s v="283759" u="1"/>
        <s v="010822 cdJ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471" u="1"/>
        <s v="283655" u="1"/>
        <s v="283747" u="1"/>
        <s v="DIC STRE MUNIACC" u="1"/>
        <s v="Liga de Veteranos Ledesmense de Fútbol" u="1"/>
        <s v="300520" u="1"/>
        <s v="279004" u="1"/>
        <s v="281803" u="1"/>
        <s v="282631" u="1"/>
        <s v="282723" u="1"/>
        <s v="282815" u="1"/>
        <s v="282907" u="1"/>
        <s v="283551" u="1"/>
        <s v="283643" u="1"/>
        <s v="161002020" u="1"/>
        <s v="25632023" u="1"/>
        <s v="900322901.nov." u="1"/>
        <s v="282711" u="1"/>
        <s v="282803" u="1"/>
        <s v="283631" u="1"/>
        <s v="283723" u="1"/>
        <s v="283907" u="1"/>
        <s v="02202201" u="1"/>
        <s v="311222 CM2" u="1"/>
        <s v="56983" u="1"/>
        <s v="283711" u="1"/>
        <s v="2071416" u="1"/>
        <s v="49939 1" u="1"/>
        <s v="220323Jujj" u="1"/>
        <s v="021222i" u="1"/>
        <s v="06032021 b" u="1"/>
        <s v="24 07 2022 mercado" u="1"/>
        <s v="5599" u="1"/>
        <s v="18122020" u="1"/>
        <s v="MSSJ 2325/01/2023" u="1"/>
        <s v="21204" u="1"/>
        <s v="268748" u="1"/>
        <s v="2071417" u="1"/>
        <s v="06122020" u="1"/>
        <s v="22112020" u="1"/>
        <s v="480901 1 2 3" u="1"/>
        <s v="0002" u="1"/>
        <s v="271846 20" u="1"/>
        <s v="020822 SUBTE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02900 2332" u="1"/>
        <s v="21320" u="1"/>
        <s v="268712" u="1"/>
        <s v="289907" u="1"/>
        <s v="0032" u="1"/>
        <s v="250003" u="1"/>
        <s v="214,322FMS" u="1"/>
        <s v="278834 12i0" u="1"/>
        <s v="3652" u="1"/>
        <s v="2071419" u="1"/>
        <s v="2022 2409" u="1"/>
        <s v="3453343" u="1"/>
        <s v="12 julio." u="1"/>
        <s v="2902930 12" u="1"/>
        <s v="VSJ3007-21" u="1"/>
        <s v="070722 - 11116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689" u="1"/>
        <s v="5109" u="1"/>
        <s v="21092020" u="1"/>
        <s v="281513 2021" u="1"/>
        <s v="23900 230 12" u="1"/>
        <s v="280573" u="1"/>
        <s v="280757" u="1"/>
        <s v="281493" u="1"/>
        <s v="281585" u="1"/>
        <s v="281677" u="1"/>
        <s v="281769" u="1"/>
        <s v="282689" u="1"/>
        <s v="140422." u="1"/>
        <s v="28298 010 1232" u="1"/>
        <s v="26539 12 abril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00293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FB 2022" u="1"/>
        <s v="20900 202 01" u="1"/>
        <s v="26124./" u="1"/>
        <s v="111906 d042022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481" u="1"/>
        <s v="283665" u="1"/>
        <s v="283757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5159" u="1"/>
        <s v="265390" u="1"/>
        <s v="279002" u="1"/>
        <s v="282813" u="1"/>
        <s v="282905" u="1"/>
        <s v="283641" u="1"/>
        <s v="283733" u="1"/>
        <s v="09083RLCD" u="1"/>
        <s v="34893 38.dic" u="1"/>
        <s v="282801" u="1"/>
        <s v="283905" u="1"/>
        <s v="CM2006" u="1"/>
        <s v="060821 cdJ p" u="1"/>
        <s v="125145 1" u="1"/>
        <s v="160920N88" u="1"/>
        <s v="10110211" u="1"/>
        <s v="020423Jujj" u="1"/>
        <s v="2090203 12 5" u="1"/>
        <s v="274454 dic20" u="1"/>
        <s v="1603" u="1"/>
        <s v="02202011" u="1"/>
        <s v="26102021" u="1"/>
        <s v="209023-1dic." u="1"/>
        <s v="97989 mayo 2022" u="1"/>
        <s v="5199" u="1"/>
        <s v="6011" u="1"/>
        <s v="14122020" u="1"/>
        <s v="269957 5" u="1"/>
        <s v="30112020" u="1"/>
        <s v="21213" u="1"/>
        <s v="268746" u="1"/>
        <s v="02102021" u="1"/>
        <s v="109021 5AGOSTO" u="1"/>
        <s v="29101 1 2 6" u="1"/>
        <s v="523Q" u="1"/>
        <s v="5632" u="1"/>
        <s v="65320" u="1"/>
        <s v="2090838" u="1"/>
        <s v="290023" u="1"/>
        <s v="311222 cdJpSAB" u="1"/>
        <s v="11//22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25622" u="1"/>
        <s v="072022" u="1"/>
        <s v="092021" u="1"/>
        <s v="280699" u="1"/>
        <s v="25630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2903221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3699" u="1"/>
        <s v="17159852" u="1"/>
        <s v="20569" u="1"/>
        <s v="2656566.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491" u="1"/>
        <s v="283675" u="1"/>
        <s v="283767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571" u="1"/>
        <s v="283663" u="1"/>
        <s v="283755" u="1"/>
        <s v="0301093951" u="1"/>
        <s v="24786" u="1"/>
        <s v="141022 2" u="1"/>
        <s v="278000" u="1"/>
        <s v="279104" u="1"/>
        <s v="281903" u="1"/>
        <s v="282731" u="1"/>
        <s v="282823" u="1"/>
        <s v="282915" u="1"/>
        <s v="283651" u="1"/>
        <s v="283743" u="1"/>
        <s v="282811" u="1"/>
        <s v="282903" u="1"/>
        <s v="283731" u="1"/>
        <s v="24894" u="1"/>
        <s v="20 septiembre" u="1"/>
        <s v="283903" u="1"/>
        <s v="301222i" u="1"/>
        <s v="06012021" u="1"/>
        <s v="071022.." u="1"/>
        <s v="mayo 2021 melli" u="1"/>
        <s v="22102021" u="1"/>
        <s v="0003" u="1"/>
        <s v="10102021" u="1"/>
        <s v="65321" u="1"/>
        <s v="268744" u="1"/>
        <s v="57578909" u="1"/>
        <s v="0013" u="1"/>
        <s v="268732" u="1"/>
        <s v="1233" u="1"/>
        <s v="278674 13" u="1"/>
        <s v="34900 3423" u="1"/>
        <s v="289903" u="1"/>
        <s v="277989 1" u="1"/>
        <s v="02022.13fs3221" u="1"/>
        <s v="259642 octubre" u="1"/>
        <s v="031022" u="1"/>
        <s v="293090 12 1" u="1"/>
        <s v="090 2390 12" u="1"/>
        <s v="012023" u="1"/>
        <s v="032022" u="1"/>
        <s v="052021" u="1"/>
        <s v="072020" u="1"/>
        <s v="280789" u="1"/>
        <s v="130123.1-23" u="1"/>
        <s v="4848792 27 ABRIL - 1" u="1"/>
        <s v="5272" u="1"/>
        <s v="29092021" u="1"/>
        <s v="280593" u="1"/>
        <s v="280685" u="1"/>
        <s v="280777" u="1"/>
        <s v="280869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765" u="1"/>
        <s v="280857" u="1"/>
        <s v="281593" u="1"/>
        <s v="281685" u="1"/>
        <s v="281777" u="1"/>
        <s v="281869" u="1"/>
        <s v="282789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83789" u="1"/>
        <s v="26octubre.roca.2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685" u="1"/>
        <s v="283777" u="1"/>
        <s v="202665" u="1"/>
        <s v="279218" u="1"/>
        <s v="280913" u="1"/>
        <s v="281741" u="1"/>
        <s v="281925" u="1"/>
        <s v="282753" u="1"/>
        <s v="282845" u="1"/>
        <s v="282937" u="1"/>
        <s v="283673" u="1"/>
        <s v="283765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283661" u="1"/>
        <s v="MSSJ 29-30/12/2022" u="1"/>
        <s v="123663" u="1"/>
        <s v="25016" u="1"/>
        <s v="279010" u="1"/>
        <s v="279102" u="1"/>
        <s v="281901" u="1"/>
        <s v="282913" u="1"/>
        <s v="283741" u="1"/>
        <s v="283833" u="1"/>
        <s v="283031 2" u="1"/>
        <s v="747484" u="1"/>
        <s v="05360 11" u="1"/>
        <s v="14151610" u="1"/>
        <s v="920932 20 1" u="1"/>
        <s v="22-01-23 ENERO" u="1"/>
        <s v="282901" u="1"/>
        <s v="281517 -20112" u="1"/>
        <s v="239092jul" u="1"/>
        <s v="283901" u="1"/>
        <s v="14012021" u="1"/>
        <s v="25052020 1" u="1"/>
        <s v="10092021 BIS" u="1"/>
        <s v="32 13123 00 23" u="1"/>
        <s v="25224" u="1"/>
        <s v="09109 4 abril 2021" u="1"/>
        <s v="5623" u="1"/>
        <s v="090 2390 15" u="1"/>
        <s v="290123" u="1"/>
        <s v="5643" u="1"/>
        <s v="25340" u="1"/>
        <s v="268730" u="1"/>
        <s v="210822 2" u="1"/>
        <s v="2ºET" u="1"/>
        <s v="5653" u="1"/>
        <s v="277999 1" u="1"/>
        <s v="02-2023MSP" u="1"/>
        <s v="071122" u="1"/>
        <s v="25632" u="1"/>
        <s v="131021" u="1"/>
        <s v="289901" u="1"/>
        <s v="1695451" u="1"/>
        <s v="1506221TN" u="1"/>
        <s v="73905" u="1"/>
        <s v="011021" u="1"/>
        <s v="280799" u="1"/>
        <s v="234234234" u="1"/>
        <s v="4848792 27 ABRIL - 3" u="1"/>
        <s v="25640" u="1"/>
        <s v="112022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336047" u="1"/>
        <s v="2909090 23" u="1"/>
        <s v="03 09 2022merc" u="1"/>
        <s v="280591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83799" u="1"/>
        <s v="29090232" u="1"/>
        <s v="25/09/2021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775" u="1"/>
        <s v="283959" u="1"/>
        <s v="256082020 1" u="1"/>
        <s v="100742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480901" u="1"/>
        <s v="15 M- 2022." u="1"/>
        <s v="2814631" u="1"/>
        <s v="20901223 1 01" u="1"/>
        <s v="29002 33220 2" u="1"/>
        <s v="111906 d012022" u="1"/>
        <s v="56987" u="1"/>
        <s v="204859" u="1"/>
        <s v="279112" u="1"/>
        <s v="279204" u="1"/>
        <s v="281911" u="1"/>
        <s v="28283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39020323 2" u="1"/>
        <s v="05.03.23F" u="1"/>
        <s v="289190 01" u="1"/>
        <s v="9marzo 2021" u="1"/>
        <s v="dic2022 ICADE" u="1"/>
        <s v="4848793 3 diciembre 3" u="1"/>
        <s v="10012021" u="1"/>
        <s v="29200 8912" u="1"/>
        <s v="28 MARZO 2021" u="1"/>
        <s v="06122021" u="1"/>
        <s v="269082 1" u="1"/>
        <s v="2653909 233" u="1"/>
        <s v="0004" u="1"/>
        <s v="10112021" u="1"/>
        <s v="5223" u="1"/>
        <s v="25425" u="1"/>
        <s v="0014" u="1"/>
        <s v="jul20" u="1"/>
        <s v="21mayo pastos chicos" u="1"/>
        <s v="268740" u="1"/>
        <s v="250922 2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031122" u="1"/>
        <s v="211021" u="1"/>
        <s v="2898191" u="1"/>
        <s v="2234234 1" u="1"/>
        <s v="5263" u="1"/>
        <s v="312022" u="1"/>
        <s v="1" u="1"/>
        <s v="76479" u="1"/>
        <s v="212021" u="1"/>
        <s v="280889" u="1"/>
        <s v="2814636" u="1"/>
        <s v="65923" u="1"/>
        <s v="276238" u="1"/>
        <s v="277066" u="1"/>
        <s v="280693" u="1"/>
        <s v="280785" u="1"/>
        <s v="280877" u="1"/>
        <s v="280969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2814637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785" u="1"/>
        <s v="283969" u="1"/>
        <s v="8493434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957" u="1"/>
        <s v="190290 1320223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2841" u="1"/>
        <s v="282933" u="1"/>
        <s v="2814639" u="1"/>
        <s v="09202 012 1" u="1"/>
        <s v="14102002" u="1"/>
        <s v="891011/23/08/21" u="1"/>
        <s v="279110" u="1"/>
        <s v="279202" u="1"/>
        <s v="902930kdñ" u="1"/>
        <s v="2898220 marzo." u="1"/>
        <s v="298819 124" u="1"/>
        <s v="848493" u="1"/>
        <s v="9781 MAYO 2021" u="1"/>
        <s v="125145 2" u="1"/>
        <s v="891011/31/08/21" u="1"/>
        <s v="5604" u="1"/>
        <s v="26022021" u="1"/>
        <s v="270168" u="1"/>
        <s v="30010422" u="1"/>
        <s v="02102022" u="1"/>
        <s v="JUl21" u="1"/>
        <s v="268750" u="1"/>
        <s v="5483982" u="1"/>
        <s v="152361 D" u="1"/>
        <s v="312019 W" u="1"/>
        <s v="170223" u="1"/>
        <s v="26 julio" u="1"/>
        <s v="274475 4" u="1"/>
        <s v="08012 MARZO 2022" u="1"/>
        <s v="JUN21" u="1"/>
        <s v="050223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81899" u="1"/>
        <s v="299091 8DICIEMBRE." u="1"/>
        <s v="278168" u="1"/>
        <s v="279088" u="1"/>
        <s v="280691" u="1"/>
        <s v="280875" u="1"/>
        <s v="280967" u="1"/>
        <s v="281795" u="1"/>
        <s v="281887" u="1"/>
        <s v="282899" u="1"/>
        <s v="24127901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795" u="1"/>
        <s v="283979" u="1"/>
        <s v="03/2023." u="1"/>
        <s v="3902840 1 blks" u="1"/>
        <s v="209023s1" u="1"/>
        <s v="392090 20 032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283691" u="1"/>
        <s v="283967" u="1"/>
        <s v="8 MAYO 2022.mercado" u="1"/>
        <s v="311222 EVE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955" u="1"/>
        <s v="02032201" u="1"/>
        <s v="141022 3" u="1"/>
        <s v="16/07/21" u="1"/>
        <s v="279212" u="1"/>
        <s v="279304" u="1"/>
        <s v="282931" u="1"/>
        <s v="250522-4" u="1"/>
        <s v="1909021 12" u="1"/>
        <s v="2826551" u="1"/>
        <s v="0722 1021" u="1"/>
        <s v="feb2022 ICADE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0015" u="1"/>
        <s v="73432" u="1"/>
        <s v="jun22" u="1"/>
        <s v="270222" u="1"/>
        <s v="277652 DIC20" u="1"/>
        <s v="1235" u="1"/>
        <s v="5244" u="1"/>
        <s v="05360" u="1"/>
        <s v="21350" u="1"/>
        <s v="130223" u="1"/>
        <s v="09202 012 7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989" u="1"/>
        <s v="10046ENERO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781" u="1"/>
        <s v="283965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283953" u="1"/>
        <s v="9829392 2233" u="1"/>
        <s v="20898" u="1"/>
        <s v="279210" u="1"/>
        <s v="279302" u="1"/>
        <s v="283031 3" u="1"/>
        <s v="05360 12" u="1"/>
        <s v="18.12.22" u="1"/>
        <s v="0322 102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6014" u="1"/>
        <s v="29089 189 1" u="1"/>
        <s v="274475 12dic" u="1"/>
        <s v="071022." u="1"/>
        <s v="290918 123 21" u="1"/>
        <s v="5635" u="1"/>
        <s v="272164" u="1"/>
        <s v="020422 cdJ" u="1"/>
        <s v="029090 2323" u="1"/>
        <s v="25636" u="1"/>
        <s v="170323" u="1"/>
        <s v="210822 3" u="1"/>
        <s v="050323" u="1"/>
        <s v="070322" u="1"/>
        <s v="270312" u="1"/>
        <s v="25644" u="1"/>
        <s v="29653" u="1"/>
        <s v="9674" u="1"/>
        <s v="011221" u="1"/>
        <s v="280999" u="1"/>
        <s v="4500127200-22" u="1"/>
        <s v="280895" u="1"/>
        <s v="280987" u="1"/>
        <s v="281999" u="1"/>
        <s v="00279065" u="1"/>
        <s v="029090 2324" u="1"/>
        <s v="281513 - mayo 22" u="1"/>
        <s v="25852" u="1"/>
        <s v="276244" u="1"/>
        <s v="279188" u="1"/>
        <s v="280791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77336" u="1"/>
        <s v="279084" u="1"/>
        <s v="279176" u="1"/>
        <s v="279268" u="1"/>
        <s v="280871" u="1"/>
        <s v="280963" u="1"/>
        <s v="281791" u="1"/>
        <s v="281975" u="1"/>
        <s v="282895" u="1"/>
        <s v="282987" u="1"/>
        <s v="283999" u="1"/>
        <s v="2750361" u="1"/>
        <s v="20902309 cien.soc.5" u="1"/>
        <s v="52698" u="1"/>
        <s v="256313" u="1"/>
        <s v="277324" u="1"/>
        <s v="279072" u="1"/>
        <s v="279164" u="1"/>
        <s v="279256" u="1"/>
        <s v="280951" u="1"/>
        <s v="281871" u="1"/>
        <s v="281963" u="1"/>
        <s v="282791" u="1"/>
        <s v="282975" u="1"/>
        <s v="283987" u="1"/>
        <s v="031222cm" u="1"/>
        <s v="feb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283791" u="1"/>
        <s v="283975" u="1"/>
        <s v="07121725  23" u="1"/>
      </sharedItems>
    </cacheField>
    <cacheField name="Referencia" numFmtId="0">
      <sharedItems/>
    </cacheField>
    <cacheField name="Comentario" numFmtId="0">
      <sharedItems containsBlank="1" count="8000" longText="1">
        <s v="EDICTO &quot;La Dra , Lis Valdecantos"/>
        <s v="PODER JUDICIAL DE LA PROVINCIA D"/>
        <s v="EDICTO INSCRIPCION DE MARTILLERO"/>
        <s v="Expte. Nº C-197535/2022 caratula"/>
        <s v="EDICTO DE CITACION EL DIRECTOR D"/>
        <s v="-------------------------- E D I"/>
        <s v="EDICTO San Salvador de Jujuy, 06"/>
        <s v="Ref. Expte. Nº B-248190/2011 car"/>
        <s v="  CON LOGO  Colegio de Profesion"/>
        <s v="ASAMBLEA ORDINARIA             E"/>
        <s v="CENTRO VECINAL B° SANTA BÁRBARA "/>
        <s v="BUSQUEDA LABORAL  ARQUITECTO"/>
        <s v="COSEJERO y HECHICERO DEL AMOR JA"/>
        <s v="PRESTAMOS POR EMPEÑO (AVISO ARMA"/>
        <s v="ELENA - ESPIRITISTA"/>
        <s v="ESTUDIE ITALIANO ASOC. DANTE ALI"/>
        <s v="SAE VENDE MASTER RENAULT 2008, t"/>
        <s v="EMILIO AUTOMOTORES"/>
        <s v="CARMEN UNA VIDENTE"/>
        <s v="/////////////////JESUS TAROT////"/>
        <s v="DANIEL VIDENTE DE LO MÁS SORPREN"/>
        <s v="FM JUJUY UN DIA PERFECTO"/>
        <s v="VALERZA PUBLICIDAD"/>
        <s v="EDICTO DE COMPROMISO PREVIO DE F"/>
        <s v="TOMBOLA... ABRIL 2023"/>
        <s v="LA COCHERIA SRL"/>
        <s v="WERCHOW OBITUARIO"/>
        <s v="FARMACIA YRIGOYEN"/>
        <s v="SERIVICIO SOCIALES FUTURO..."/>
        <s v="GOBIERNO DE JUJUY CONSULTA MEDID"/>
        <s v="NORTE SERVICIO SOCIALES ...."/>
        <s v="CARPAS 3H"/>
        <s v="RUBEN RIVAROLA GOBERNADOR"/>
        <s v="La UNIDAD EJECUTORA EN CIENCIAS "/>
        <s v="CARLOS SADIR EL CAMBIO A SEGUIR "/>
        <s v="COMODIN"/>
        <s v="LIC. ADRIANA PATRICIA ORELLANA  "/>
        <s v="PODOLOGIA  Uñas encarnadas - Mic"/>
        <s v="MARTILLERO PÚBLICO JUDICIAL Pocl"/>
        <s v="///LOGO//// CENTRO AUDIFONOS  PA"/>
        <s v="LIC. DIEGO CRUZ QUIROPRAXIA  ///"/>
        <s v="PROBLEMAS DE COLUMNA Y EXTREMIDA"/>
        <s v="CEMER..."/>
        <s v="    LIC.MARIA CRISTINA OLMOS    "/>
        <s v="MICHEL ESTUDIO JURIDICO AVISO AR"/>
        <s v="PONE EN ORDEN LA DOCUMENTACION D"/>
        <s v="JUBILACIONES, PENSIONES, REAJUST"/>
        <s v="-ALIMENTOS- SUCESIONES- -DIVORCI"/>
        <s v="+ ARGOTE, Juan Pastor (q.e.p.d.)"/>
        <s v="DERGAM"/>
        <s v="BINGO LOBO"/>
        <s v="CINE ALFA..."/>
        <s v="4 PÁGINAS ESPECIALES DE  SUPLEME"/>
        <s v="" u="1"/>
        <s v="AGRO RURAL" u="1"/>
        <s v="+ LOPEZ SANCHEZ, Matías Nicolás " u="1"/>
        <m u="1"/>
        <s v="PROMO CLASUFICADOS" u="1"/>
        <s v="GRAN PEÑA EL GAUCHITO" u="1"/>
        <s v="   Ref. Expte. Nº C-196316/2022 " u="1"/>
        <s v="+ MIRTHA EDITH NALLAR DE GAYA   " u="1"/>
        <s v="EDICTO SUCESORIO   .-.-.-.-JUZGA" u="1"/>
        <s v="GOBIERNO CONSEJO D EL  MUJER...." u="1"/>
        <s v="Contreras SA  USA LA MISMA IMAGE" u="1"/>
        <s v="SOFIA DE LOS ÁNGELES SALAS ( QEP" u="1"/>
        <s v="VIERNES 16  LEYENDA HOY !!" u="1"/>
        <s v="EMPRESA DEL MEDIO PROMOTORA" u="1"/>
        <s v="+ VELASQUEZ, ROSALINDA INÉS  q.e" u="1"/>
        <s v="Cámara en lo Civil y Comercia Sa" u="1"/>
        <s v="DUEÑO ALQUILA DPTO. 1 Dor. con b" u="1"/>
        <s v="TOYOTA HILUX. DX  4 x 4.  D/ CAB" u="1"/>
        <s v="“CENTRO DE PARTICIPACION COMUNIT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PUMA SERVICENTRO SAN JOSE...." u="1"/>
        <s v="BIBLIOTECA POPULAR “ROSARIO TOLA" u="1"/>
        <s v="CARNICERIA LIZARRAGA   CELEBRACI" u="1"/>
        <s v="VENDO  Departamento U$S 25.000 2" u="1"/>
        <s v="VENDO URGENTE Nissan Navara D/C 2.5," u="1"/>
        <s v="PROFESIONAL RRHH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IMP EMP. SELECC. OPERARIO DE DEP" u="1"/>
        <s v="LA CASA DEL RIEGO ESP PERIODIST." u="1"/>
        <s v="+ PAULINA ARGELIA BALCARCE q.e.p" u="1"/>
        <s v="Centro Vecinal Social General Be" u="1"/>
        <s v="EDICTO CITATORIO   === En el Exp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AVISO ENVIA ARMADO RENE SALAS" u="1"/>
        <s v="(logo)CONSEJO PROFESIONAL DE AGR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 MUNICIPALIDAD DE PALPALA   LICI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RISTINA DEL VALLE SOSA 13-02-19" u="1"/>
        <s v="EDICTO ---- Dra. BEATRIZ JOSEFIN" u="1"/>
        <s v="MELLI AUTOMOTORES - SALUDO FIN D" u="1"/>
        <s v="SUPERMERCADO DIA FIESTAS PAT. EL" u="1"/>
        <s v="con imagen de la virgen Santa Ana a color aviso para renovar" u="1"/>
        <s v="PETERS HNOS" u="1"/>
        <s v="color amarillo  por favor" u="1"/>
        <s v="UNIV. SIGLO 21 - abogacia" u="1"/>
        <s v="IMPACTO AMBIENTAL - BELLOMO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SANTERIA Y REGALERI “SAN ESXPEDI" u="1"/>
        <s v="TASACIONES CASAS- TERRENOS- FINC" u="1"/>
        <s v="APACHETA - la mansion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- - - - - - - - - - - - - - -  E" u="1"/>
        <s v="EDICTO-- --------EN EL EXPTE. N°" u="1"/>
        <s v="VENDEDOR/A   -Con experiencia co" u="1"/>
        <s v="PERICO VENDO CASA Bº Santa Ana F" u="1"/>
        <s v="+ GEOL. GABRIEL GUSTAVO BLASCO q" u="1"/>
        <s v="EDICTO----- EN EL EXPTE. N° D-03" u="1"/>
        <s v="GOBIERNO CONSULTA PUBLICA - INFE" u="1"/>
        <s v="LOGROS MARZO- TELAM SECRETARIA D" u="1"/>
        <s v="Tribunal de Evaluación Concursos" u="1"/>
        <s v="CON LOGO _x000d__x000a_AVISO EN CARPETA DE NOTABLES DE LA FECHA" u="1"/>
        <s v="UNION CAÑEROS INDEPEND. DIA DE L" u="1"/>
        <s v="DIOSA DE LOS AMARRES “DEYSY”  Es" u="1"/>
        <s v="CONCEJO DELIBERANTE  - Anuario" u="1"/>
        <s v="+ JOSE A. DEL FRARI Falleció el " u="1"/>
        <s v="+ JOSÉ LUIS MORENO 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 E D I C T O: = = = DRA. MARISA " u="1"/>
        <s v="1° de Mayo - Nuestro Recuerdo en" u="1"/>
        <s v="COPPROBI_x000d__x000a__x000d__x000a_CON LOGO _x000d__x000a__x000d__x000a_WORD EN CARPETA DE LA FECHA" u="1"/>
        <s v="GOBIERNO 2 DE ABRIL .." u="1"/>
        <s v="LLAMADO A ELECCIONES SINDICATO D" u="1"/>
        <s v="CEGIN SRL" u="1"/>
        <s v="+ CAYETANO ALBERTO ORELLANA  /Q.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/// CON LOGO /// Municipalidad d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SUETRA ESP. ANUARIO" u="1"/>
        <s v="EL CATORCE ESP SAN JOSE" u="1"/>
        <s v="                  EDICTO SUCESOR" u="1"/>
        <s v=" CENTRO VECINAL DEL B° 281 VIVIE" u="1"/>
        <s v="&quot;vendo terreno en el loteo el Mo" u="1"/>
        <s v="EDICTO SUCESORIO  - - -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ANA MARÍA BERBEL (Q.E.P.D.).  Fa" u="1"/>
        <s v="CAMARA JUJEÑA DE TRANSPORTE AUTO" u="1"/>
        <s v="CITROEN C3 VTI 115 Origins, Mode" u="1"/>
        <s v="FCIA. NUESTRA SRA. DEL CARMEN .A" u="1"/>
        <s v="AVISO ARMADO  AGUADO" u="1"/>
        <s v="RAÚL JOSÉ SÁNCHEZ 1X3" u="1"/>
        <s v="SUETRA ESP COOP. DE TABAC.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VIERNES 17 DE MARZO LEYENDA &quot;HOY&quot;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MIGUEL DE LOS SANTOS HERRERA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GRAN MONARCA ESP ANUARIO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UCSE INGENIERIA" u="1"/>
        <s v="AUDIENCIA PUBLIC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aviso para repetir idem 1501448" u="1"/>
        <s v="BUSCO SOCIO CAPITALISTA. EMPRESA" u="1"/>
        <s v="CONCEJO DELIBERANTE  - ANIVERSAR" u="1"/>
        <s v="“CENTRO VECINAL CULTURAL SOCIAL " u="1"/>
        <s v="PUNTO DE VISTA  FM JUJUY..." u="1"/>
        <s v="+ AMARILLA NICOLAS  (Q.E.P.D.)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PERICO  ALQUILO  GALPONES  NUEVO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COLEGIO DE ABOGADOS RES N 013/23" u="1"/>
        <s v="CONVOCATORIA A ASAMBLEA  La Fund" u="1"/>
        <s v="hoy en sociedad espoañolaLiga su" u="1"/>
        <s v="MUNIC. S.S. DE JUJUY FE DE ERRAT" u="1"/>
        <s v="a color fondo rosado claro letras negras" u="1"/>
        <s v="CAROLINA HOGAR ESP SAN CAYETANO" u="1"/>
        <s v="CARGAR CUENTA WERCOW  MOD 1X3 BY" u="1"/>
        <s v="CARTELERA   INE ALTOS HORNOS ZAP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BONILLO ORG. DE SEGUROS ESP ANUA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LA BULONERA ESP COOP. DE TABAC.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SUETRA  ANIV CAMARA TABACO" u="1"/>
        <s v="CONVOCATORIA CONSORCIO RUTA 66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EMPRESA LIDER  BUSCA RESPONSABLE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CONCURSO LICIT ROPA INDUMENTARIA" u="1"/>
        <s v="E   D   I   C   T   O  JUZGADO D" u="1"/>
        <s v="JUAN HUMBERTO GARCÍA Q.E.P.D. Se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MARINARO  SALUDO DE FIN DE AÑO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DE TECNIC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MARIELA GALLARDO TAPIA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RODRIGO TAPARI PAG ESP (BONIF 3X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52° Aniversario de Egreso de la 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SALES DE JUJUY - DIA del medioam" u="1"/>
        <s v="GOBIERNO TRAMITES POLICIALES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RUBEN RIVAROLA - FELICES FIESTAS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EXTINTORES Y SERV. EMSA  ESP ANU" u="1"/>
        <s v="MARTILLERA LAURA BLANCO BAJO LA " u="1"/>
        <s v="ALQUILO GALPON" u="1"/>
        <s v="GOBIERNO MAESTRO DOS" u="1"/>
        <s v="AG AGRO GALLEGO  - ESP TRABAJADO" u="1"/>
        <s v="AG AGRO GALLEGO ESP COOP. DE TAB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SINDICATO UNICO DE TRABAJADORES " u="1"/>
        <s v="aviso para renovar idem anuncio 1500970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GOBIERNO DE JUJUY  DI D ELA DIAB" u="1"/>
        <s v="pag. Jujuy" u="1"/>
        <s v=" +LUIS BASIGALUPO  q.e.p.d  Fall" u="1"/>
        <s v="CONVOCATORIA  El Club Atlético O" u="1"/>
        <s v="Convocatoria Convocase a todos l" u="1"/>
        <s v="EDICTOS   El Juzgado Federal de " u="1"/>
        <s v="EXTINTORES Y SERV. EMSA SAN ISID" u="1"/>
        <s v="EJES CORTE..." u="1"/>
        <s v="CENTRO VECINAL B° CARAHUNCO  COM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COMODIN - DIA DE LA MUJER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TAVERNITI  ESP SAN JOSE" u="1"/>
        <s v="+ DR. HORACIO FRANCO  q.e.p.d. F" u="1"/>
        <s v="CARLOS SADIR  gobernador LISTA 5" u="1"/>
        <s v="VENDO RENAULT CLIO 2008  impecab" u="1"/>
        <s v="aviso en carpeta de notables (con logo)" u="1"/>
        <s v="MAYSSA" u="1"/>
        <s v="DIA DEL PROTESISTA DENTAL" u="1"/>
        <s v="CRILLON ESP ANIV. CAM. TAB.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  - - - El tribunal de la" u="1"/>
        <s v="EDICTO SUCESORIO ---Juzgado Mult" u="1"/>
        <s v="IMPORTANTE EMPRESA COMERCIAL BUS" u="1"/>
        <s v="AVISO ARMADO GUARDAD EN LA CARPETA DE LA FECHA DE AT. AL CLIENTE" u="1"/>
        <s v="EL MARTINAZO" u="1"/>
        <s v=" (enfrentadas) - NICO FIAMBRES" u="1"/>
        <s v="TECNO EXPRESS S.R.L. Informa a s" u="1"/>
        <s v="jorge suarez" u="1"/>
        <s v="LATITUD SUR  ESP ANURIO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ASAMB. GRAL. ORDINARIA ASOC. DE 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AMPERE ..." u="1"/>
        <s v="LUBRINOR-  ESP POLICIA" u="1"/>
        <s v="CAMARA DE TABACO ESP SAN ISIDRO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VENDO TERRENOS  Zona Carmen  Lot" u="1"/>
        <s v="GOBIERNO  RENTAS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CON FOTO COLOR******AGREGAR FOTO MIRTA GRICELDA MACHACA “Nena”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RIA  MAYORISTA Y MINORISTA  DE" u="1"/>
        <s v="MUNIC. S.S. DE JUJUY -  ANIV GIM" u="1"/>
        <s v="CLINICA NUESTRA SRA. DE FATIMA S" u="1"/>
        <s v="COLEGIO DE ODONTOLOGOS COMUNICAD" u="1"/>
        <s v="GOBIERNO  en vaciones TOLERANCIA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+ JORGE LUIS ZELAYA ENRIQUEZ  Fa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AVISO PAGINA 3 : -PINTURERIA Y F" u="1"/>
        <s v="EDICTO ---Dra. MARISA E. RONDON 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“Juzgado de Pri" u="1"/>
        <s v="EDICTO SUCESORIO: JUZGADO DE PRI" u="1"/>
        <s v="CORREGIR AVISO, LLAMO LA SEÑORA Y QUIERE QUE SALGA_x000d__x000a_CON RECUADRO COLOR AMARILO Y LETRA NEGRA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HAMBURGO - NAVIDAD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ELECTROMAT...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Necesito administrativo contable" u="1"/>
        <s v="RUBEN RIVAROLA - SALUDO SAN JOSE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+ REYES, Walter Rubén (q.e.p.d) " u="1"/>
        <s v="COLEGIO MEDICO - DÍA PANAMERICAN" u="1"/>
        <s v="EDICTOS Dra. ELBA RITA CABEZAS, " u="1"/>
        <s v="LA CASA DEL RIEGO DIA DE LA BAND" u="1"/>
        <s v="PROYECTO: CONSTRUCCIÓN DE PLANTA" u="1"/>
        <s v="aviso renovado a partir de dia 25/11/22  con los dos numeros color idem." u="1"/>
        <s v="SANATORIO LOS LAPACHOS...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EMDEI secundario - Prop. Educati" u="1"/>
        <s v="GOBIERNO DE JUJUY SERVICIO PENIT" u="1"/>
        <s v="MUNIC. S.S. DE JUJUY - AUTONOMIA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FASTA  SALUDO DE FIN DE  AÑO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PSAP CONVOCATORIA ASAMBLEA GRA" u="1"/>
        <s v="GOBIERNO INCENDIOS FORESTALES SU" u="1"/>
        <s v="UNJU 2 DE ABRIL" u="1"/>
        <s v="FIXION   RockaBruja" u="1"/>
        <s v="TOMAS GEREMIAS CHOQUE" u="1"/>
        <s v="GOBIERNO 24 DE MARZO ..." u="1"/>
        <s v="CENTRO VECINAL DE LA LOCALIDAD D" u="1"/>
        <s v="+ GRACIELA PILAR TEJERINA “CHELA" u="1"/>
        <s v="ALLIANCE ONE  ESP. CAMAR DEL TAB" u="1"/>
        <s v="IMPORTANTE EMPRESA  INCORPORA  S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MATILDE GLADIS PANTOJ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MUTUAL.. DEL CIRC. DE OFICIALES " u="1"/>
        <s v="TUCUMAN VENDO DPTO. 3 dorm-calle" u="1"/>
        <s v="NUMANCIA" u="1"/>
        <s v="TROPICO .... ADHESION" u="1"/>
        <s v=" E D I C T O -  -----JUZGADO DE " u="1"/>
        <s v="+ VILCA, Natalia del Carmen (q.e" u="1"/>
        <s v="E D I C T O S - - - EL JUZGADO D" u="1"/>
        <s v="PEÑA DE COROICO FINCA LA HERMINI" u="1"/>
        <s v="PEÑA RINCON DE AMIGOS LA HERMINI" u="1"/>
        <s v="SE NECESITA oficiales armadores " u="1"/>
        <s v="TEXTO Y FOTO (DISÑADO ) ENVIADO AL CORREO DE OBITUARIO (PABLO) A COLOR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VICENTE SUAREZ IBAÑEZ (q.e.p.d" u="1"/>
        <s v="+ VIDAL, Jesús Normando (q.e.p.d" u="1"/>
        <s v="EDICTO SUCESORIO          EL JUZ" u="1"/>
        <s v="CANAL4 PROGRAMACION.." u="1"/>
        <s v="LUCHIN MATERIALES  SALUDO DE FIN" u="1"/>
        <s v="Ha llegado a esta ciudad los cur" u="1"/>
        <s v="BANCO DE LA NACION ARGENTINA  TI" u="1"/>
        <s v="BODAS DE ORO  50 AÑOS DE LA ESCU" u="1"/>
        <s v="IMPAR - SANATORIO LAVALLE ESP MU" u="1"/>
        <s v="POR CINCO DIAS: El Juzgado de Pr" u="1"/>
        <s v="SE SOLICITA PERSONAL ADM PARA EM" u="1"/>
        <s v="9 DE AREA" u="1"/>
        <s v="COMUNICADO WAL MART" u="1"/>
        <s v="13/16 PAGO SOLICITADA PUBLICADA " u="1"/>
        <s v="Fotocopiadora y Libreria San Ma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LA ORQUIDEA-ANIV. 50 CARRE" u="1"/>
        <s v="DOVIS DIESEL  ESP AGROTECNICA" u="1"/>
        <s v="FERIA COMUNITARIA &quot;EL MILAGRO” C" u="1"/>
        <s v="GOBIERNO  COL CENTER COVID 0800 " u="1"/>
        <s v="+ ZIGARAN, Elda Yolanda (q.e.p.d" u="1"/>
        <s v="cargar a cuenta werchow  + PAULA" u="1"/>
        <s v="GOBIERNO VACUNACION ANTIGRIPAL.." u="1"/>
        <s v="PESCADERIA ROCHITAS Celebrando N" u="1"/>
        <s v="EDICTO - - - - DRA MARIA JULIA G" u="1"/>
        <s v="MUNIC. S.S. DE JUJUY - SOBERANIA" u="1"/>
        <s v="NECESITO COCINERO, Ayudante de c" u="1"/>
        <s v="ZENTIDOS  AVISO ARMADO (aviso fa" u="1"/>
        <s v="PUBLICACION - NOTA ENVIADO AL CORREO DE SONIA Y SR. CLAUDIO (CORREGIDO) 35 AÑOS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+WUALVER HECTOR QUISPE+ q.e.p.d " u="1"/>
        <s v="ELIAS DEPORTES - Día del Periodi" u="1"/>
        <s v="GOBIERNO CONVOCATORIA BOSQUES..." u="1"/>
        <s v="OVANDO, Vidal (q.e.p.d.) Se durm" u="1"/>
        <s v="PAG ESP - BALBI (BONIF PLAN 3X1 " u="1"/>
        <s v="paso de la patria fondo amarillo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+ WALTER ALVAREZ   (q.e.p.d.) Fa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SUPER CARNES RUBEN - ANUARIO" u="1"/>
        <s v="COOPERADORA DEL CENTRO DE SALUD " u="1"/>
        <s v="TRAME SRL   CELEBRACIÓN VIRGEN D" u="1"/>
        <s v="DENTAL RED ESP ODONT" u="1"/>
        <s v="LATITUD SUR SAN ISIDRO LABRADOR" u="1"/>
        <s v="CONVOCATORIA ASAMBLEA GENERAL EX" u="1"/>
        <s v="Hábitat-Car vende impecable casa" u="1"/>
        <s v="RADIO CLUB PERICO  LU1TP Invita " u="1"/>
        <s v="FEDERACION GAUCHA" u="1"/>
        <s v="MARIO IBARRA VIAJES ..." u="1"/>
        <s v="NUMANCIA - SALUDOS A PAPÁ" u="1"/>
        <s v="ALQUILO DPTO.  para Comercio PA " u="1"/>
        <s v="GOBIERNO -  dDIA D EL RECONQUIST" u="1"/>
        <s v="YOLY POLLERIA PATRONAL DE PERICO" u="1"/>
        <s v="con fotoo" u="1"/>
        <s v="4- T E   GOBIERNO" u="1"/>
        <s v="OPTICO/A P/SS DE JUJUY" u="1"/>
        <s v="ELECTROMAT ESP ARQUITECTO Y URBA" u="1"/>
        <s v="MARTILLERA LAURA BLANCO     VENT" u="1"/>
        <s v="Sucesores de Fleming Finca Santa" u="1"/>
        <s v="TORNEO PCIAL. DEL INTERIOR 2022 " u="1"/>
        <s v="EJESA CORTE." u="1"/>
        <s v="GOBIERNO SOLICITADA" u="1"/>
        <s v="GOBIERNO  LA SEGURIDAD ..." u="1"/>
        <s v="+ CARRILLO GONZALEZ, Luis Albert" u="1"/>
        <s v="GOBIERNO AUTONOMIA POLITICA DE J" u="1"/>
        <s v="TOYOTA HILUX SRV 3.0 mod/2013, D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4 PAGINAS CENTRO EMP DE COMERCIO" u="1"/>
        <s v="GOBIERNO TURISMO SALINAS GRANDES" u="1"/>
        <s v="SERVICIOS SOCIALES INST. DEL NOR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+ María Cristina Ruiz de Lamas (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EDICTO -- DRA. ALEJANDRA DANIELA" u="1"/>
        <s v="LATITUD SUR PAGINA ESPECIAL" u="1"/>
        <s v="SE BUSCA ARMADOR E INSTALADOR" u="1"/>
        <s v=" resaltar el nombre mas grande" u="1"/>
        <s v="CONCEJO DELIBERANTE   -  PACHAM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RUEDA, Augusto (q.e.p.d.) Fallec" u="1"/>
        <s v="VENTA CASAS  CASA CENTRICA  Call" u="1"/>
        <s v="TELAM - CIENCIA" u="1"/>
        <s v="----DRA. MARIA VICTORIA GO0NZALE" u="1"/>
        <s v="COLEGIO DE ABOGADOS RECTIFICATOR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MUNIC. S.S. DE JUJUY -  HOMENAJE" u="1"/>
        <s v="BUSQUEDA CLINICA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 El CENTRO INTERDISCIPLINARIO DE" u="1"/>
        <s v="Carta de Agradecimiento al: Club" u="1"/>
        <s v="Expte. C-165900/20 EDICTO SUCESO" u="1"/>
        <s v="Expte. C-184559/21 EDICTO SUCESO" u="1"/>
        <s v="GOBIERNO -   DIA DE LA MEMORIA V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infomercial comodín" u="1"/>
        <s v="+ SARA MARTINEZ DE MIRANDA  q.e.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ADRIANA GUTIERREZ ORTIZ  (q.e.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ESTRADA, Soledad Melina (q.e.p.d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GOBIERNO TOLERANCIA CERO-  PIROT" u="1"/>
        <s v="Se necesita secretaria administr" u="1"/>
        <s v="VETERINARIA HELIOS" u="1"/>
        <s v="TEXTO CARP. 08-03 WORD" u="1"/>
        <s v="repite del ultimo aviso" u="1"/>
        <s v="CON FOTO COLOR CUERPO ENTERO" u="1"/>
        <s v="+FIGUEROA, Mirta Noemí q.e.p.d. " u="1"/>
        <s v="COLEGIO DE PROFESIONALES DE TURI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PIZPIRETA  FM JUJUY...." u="1"/>
        <s v="SEÑORA COCA    AVISO ARMADO" u="1"/>
        <s v="ASOCIACION GAUCHA  EXODO JUJEÑO " u="1"/>
        <s v="PEUGEOT 408  FULL-4 PTAS- MOD/20" u="1"/>
        <s v="con foto !" u="1"/>
        <s v="AJUMEC ESP DIA DEL MEDICO" u="1"/>
        <s v="CAMARA DE TABACO ESP SAN MARINO" u="1"/>
        <s v=" Ref. Expte. Nº C-157690/2020 ca" u="1"/>
        <s v="IMPORTANTE EMPRESA INCORPORA: As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AVISO ENVIADO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con foto a color sin recortar enviado al correo de obituario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GOBIERNO EL NORTE A SEGUIR   GOB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FRIAR" u="1"/>
        <s v="ARQUITECTO / ING CIVIL / MMO Ful" u="1"/>
        <s v="BONILLO ORG. DE SEGUROS PATRONAL" u="1"/>
        <s v="GRACIAS  *SAN EXPEDITO *SAN ACUT" u="1"/>
        <s v="MAIDANA 1X3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PAPEL - MUNICIPALIDAD DE SAN PED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LA CASA DEL RIEGO  ESP NAVIDAD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S.E.M.P.  CONVOCATORIA A ELECCIO" u="1"/>
        <s v="TOMAR AVISO COMPLETO EN CARPETA DE NOTABLES DE LA FECHA_x000d__x000a__x000d__x000a_ARCHIVO DE WORD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DRA LUCIA ADERA   REPITE AVISO" u="1"/>
        <s v="GOBIERNO FEDERACION BASQUET BOCA" u="1"/>
        <s v="LA CASA DEL RIEGO ESP ZAFRA LIBE" u="1"/>
        <s v="GRAN MONARCA  ESP EXODO JUJEÑO" u="1"/>
        <s v="+ ATENCIO, Juan José  q.e.p.d. F" u="1"/>
        <s v="CUBIERTAS Y LLANTAS ORIGINALES P" u="1"/>
        <s v="contratap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gramación (5x3) por corrreo al Sr. Claudio y Franco _x000d__x000a_UBICAR EN PAGINA IMPAR DEL SUPLENTO ESPECIAL SAN JOSE" u="1"/>
        <s v="CARDOSO VENDE ALTE BROWM" u="1"/>
        <s v="GOBIERNO  SAN SALVADOR..." u="1"/>
        <s v=" +MORALES TERESA  q.e.p.d.  Fall" u="1"/>
        <s v="CENTRO DE GEOLOGOS ADHESION ...." u="1"/>
        <s v="CENTRO VECINAL BARRIO SARGENTO C" u="1"/>
        <s v="EDICTO  En el EXPTE. C-165640/20" u="1"/>
        <s v="GOBIERNO NORTE A SEGUIR   GOBIE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SARA BIANCO" u="1"/>
        <s v="TRAME  SALUDO DE FIN DE  AÑO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 HUGO CIRIO SAAVEDRA Se durmió " u="1"/>
        <s v="+CARMEN ROSA CARRAZANA DE CACERE" u="1"/>
        <s v="FOTO GUARDAD EN LA CARPETA DE LA FECHA DE AT. AL CLIENTE_x000d__x000a__x000d__x000a_CON EL MARCO DEL RECUADRO A COLOR Y CON FLORES COLORES DE DETALLE." u="1"/>
        <s v="fondo celeste" u="1"/>
        <s v="UNJU - DIA DE LA MUJER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CLUB SOCIAL DEPORTIVO EL CRUCE C" u="1"/>
        <s v="ASOCIACION DE PROFESIONALES DE JUJUY  - LOGO EN CARPETA DE LA FECHA" u="1"/>
        <s v="TODOJUY -CHEVROJUY" u="1"/>
        <s v="+ AMARILLA, Nicolas Elizardo    " u="1"/>
        <s v="CARLOS SADIR GOBERNADOR LISTA 50" u="1"/>
        <s v="CENTRO VECINAL DEL BARRIO 19 DE " u="1"/>
        <s v="SOLDANDO UNA DEUDA DE HONOR Por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FORD ESCOSPORT Mod. 2013 color n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VENTA DE LOTES económicos a part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FOTO GUARDAD EN LA CARPETA DE LA FECHA DE AT. AL CLIENTE_x000d__x000a__x000d__x000a_CON EL MARCO DEL RECUADRO CON FLORES DE COLORES" u="1"/>
        <s v="ALICIA MABEL BORJA" u="1"/>
        <s v="VOTO A VOTO CASAPIA" u="1"/>
        <s v="+ MIGUEL ALBERTO CARLOS (aviso a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INGENIO RIO GRANDE SRL INVITA ..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+ RAMON ARAMAYO  (q.e.p.d.) Fall" u="1"/>
        <s v="+ RAMOS, Leandro (q.e.p.d.) Fall" u="1"/>
        <s v="CLUB ATL. TALLERES CONVOCATORIA " u="1"/>
        <s v="ERNESTO ROJAS" u="1"/>
        <s v="TAVERNITI  ESP NAVIDAD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TAZADOR PROFESIONAL (Aviso armado)" u="1"/>
        <s v="CLINICA VETERINARIA MEDI VET ANU" u="1"/>
        <s v="EDICTO  EN EL EXPTE N°: B-07110/" u="1"/>
        <s v="GRAN MONARCA SUP. ESPECIAL" u="1"/>
        <s v=" -----------------------------E " u="1"/>
        <s v="1º ANIVERSARIO ADRIAN SCARO ... " u="1"/>
        <s v="AVISO PAGINA 2 : -AVICOLA TORREJ" u="1"/>
        <s v="COLEGIO MEDICO día del Escribano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CURSO DE VERDANO 2023  FOLCLORE" u="1"/>
        <s v="PAG IMPAR - LA RABIOLA ESP ANUAR" u="1"/>
        <s v="con foto sr. Aparcio René" u="1"/>
        <s v="GOBIERNO - PREVENCION DE INCENDI" u="1"/>
        <s v="MUNICIPALIDAD DE PALPALA  LICITA" u="1"/>
        <s v="CON IMAGEN DE  SAN EXPEDITO" u="1"/>
        <s v="+ MIRTA &quot; NENA&quot; MACHACA  Q.E.P.D" u="1"/>
        <s v="CONVOCATORIA DESOCUPADOS SAN FRA" u="1"/>
        <s v="INSTITUTO BALCARCE PAGINA ESPECI" u="1"/>
        <s v="RENGEL VENDE importante propieda" u="1"/>
        <s v=" EDUARDO JOSE ROMEO            ABOGA" u="1"/>
        <s v="JOSE LUIS CORO Y ASOCIADOS (MP 1326)" u="1"/>
        <s v="con logo enviado al correo de clasificado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PAGO ANUAL ANTICIPADO  PAG 3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LAS CAPILLAS  JUJUY          + H" u="1"/>
        <s v="TASACIONES  PROFESIONALES CASAS," u="1"/>
        <s v="El CONSEJO COMUNITARIO de la COMUNID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GARELY SACI ESP SAN JOSE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AUDIENCIA PUBLICA LEY 6137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JEMSE JUJUY ENERGIA Y MINERIA  L" u="1"/>
        <s v="UNION CAÑEROS -ESP COOP. DE TAB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ELECTRICIDAD PERICO PATRONAL DE " u="1"/>
        <s v="VENDO TOYOTA Land Cruiser Prado 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+ ANGEL RAUL GIMENEZ (PAPUCHO)  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CENTRO VECINAL B° 11 DE OCTUBRE 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XTREME NEUMATICOS ESP COOP. DE T" u="1"/>
        <s v=" UNO EJESA CORTE..." u="1"/>
        <s v="NUMANCIA SUP. ESTILOS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FARMACIA YRIGOYEN ESP EMP DE FAR" u="1"/>
        <s v="GOBIERNO DOS" u="1"/>
        <s v="Jure Marhe Jure" u="1"/>
        <s v="MUNI JUJUY - Teatro Mitre" u="1"/>
        <s v="ERNESTO ALFREDO REYES Q.E.P.D. F" u="1"/>
        <s v="SORTEO DÍA DE LA MADRE" u="1"/>
        <s v="EL TRIBUNO - TORNEO HOCKEY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CON IMAGEN EN CARPETA 23 DE MARZO" u="1"/>
        <s v="aviso para renovar a color con logo Sepelios San Jose" u="1"/>
        <s v="LATITUD SUR ESP MUJER" u="1"/>
        <s v="EDICTO / / / / / DR. DIEGO ARMAN" u="1"/>
        <s v="EDICTO SUCESORIO DR. DIEGO ARMAN" u="1"/>
        <s v="VENDO Toyota Hilux SRX 4x4 AT 20" u="1"/>
        <s v="INFOMERCIAL LA VACA LOLA" u="1"/>
        <s v="+ PAREDES, CATALINO  Falleció el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EL MARTINAZO _x000d__x000a_MARILYN" u="1"/>
        <s v="color con foto carp. del 20-02" u="1"/>
        <s v="2570/2021 - OSPINA GONZALEZ, JUA" u="1"/>
        <s v="SOCIEDAD SIRIO LIBANESA  CONVOCA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aviso para renovar idem anuncio 1501944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E D I C T O S  - - - EL JUZGADO " u="1"/>
        <s v="Juzgado de Primera Intancia en l" u="1"/>
        <s v="panamericano logo archivo word carpeta 09-06" u="1"/>
        <s v="UOM EMPLEADOS DE COMERCIO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CONSEJO DE FARMAC. CONVOCATORIA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CON IMAGEN DE CUBIERTA CARPETA EN EL DIA 22 DE MARZO" u="1"/>
        <s v="CARUSO SEGUROS ANUARIO" u="1"/>
        <s v="FONDO BLANCO LESTRAS ROJAS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Empresa selecciona INGENIERO EN 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+ FLORINDA FILOMENA VALDIVIEZO D" u="1"/>
        <s v="+ Prof. En Letras Carmen Teófila" u="1"/>
        <s v="CENTRO GAUCHO TRADICIÓN CRONOGRA" u="1"/>
        <s v="PAGINA 3 - SUPERMERCADO DIA SUP." u="1"/>
        <s v="+ ROSA L. ROCHA DE RIVAS MOLINA " u="1"/>
        <s v="PODEROSA NOVENA A LA VIRGEN DE G" u="1"/>
        <s v="SANERIA SAN EXPEDITO PALPALÁ  CE" u="1"/>
        <s v="SIND. DE LUZ Y FUERZA ESP. MUJER" u="1"/>
        <s v="Farmacia Carrizo" u="1"/>
        <s v="TODO GOMAS ESP MECANICOS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GOMEZ ROCO...." u="1"/>
        <s v="INOCENCIA BEJARANO" u="1"/>
        <s v="CARDOSO VENDE CENTRO..." u="1"/>
        <s v="MECANICA ITALIA ESP EL CARMEN" u="1"/>
        <s v="COLEGIO DE DE PROFESIONALES.... " u="1"/>
        <s v="FUND. PRO JUJUY AGROPECUAR.  ANI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/// LOGO EN CARPETA ///  MOVIMIE" u="1"/>
        <s v="CLUB PESCADORES LA CIENAGA  La C" u="1"/>
        <s v="COMVOCATORIA La Comisión Reorgan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EL PULSO" u="1"/>
        <s v="A &amp; M  ESTUDIO JURIDICO CONTABLE" u="1"/>
        <s v="COLEGIO DE KINESIOLOGOS - ESP MU" u="1"/>
        <s v="SUPERMAT ..." u="1"/>
        <s v="AGOSTINI DES. INMOBIL ESP ANUARI" u="1"/>
        <s v="PROGRAMA A TODO O NADA. MES: SEP" u="1"/>
        <s v="SIN FOTO CON RECUADRO SUAVE SIN FLORES" u="1"/>
        <s v="VOLKSWAGEN GOLF" u="1"/>
        <s v="CAMARA DE TABACO" u="1"/>
        <s v="UCASAL INGRESO CARRERAS 1" u="1"/>
        <s v="//AVISO ARMADO/// BUSCAMOS VENDE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ALLIANCE ONE  ESP SAN JOSE" u="1"/>
        <s v="aviso para repetir idem 1500011" u="1"/>
        <s v="COL. FARMACEUTICOS ... DIA DEL M" u="1"/>
        <s v="CONSEJO DE FONOAUDIOLOGOS CONVOC" u="1"/>
        <s v="Raúl Goitea" u="1"/>
        <s v="CLUB LAVALLE" u="1"/>
        <s v="CANDIDATOS DIPUTADOS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EMPRESA DEL MEDIO        BUSCA  " u="1"/>
        <s v="OPORTUNIDAD !!!! Vendo Departame" u="1"/>
        <s v="SE NECESITA CARNICERO c/experien" u="1"/>
        <s v="FAMILIA FACHINI" u="1"/>
        <s v="AGRADECIMIENTO La Flia Valda agr" u="1"/>
        <s v="CONSEJO DE CIENCIAS ECONOMICAS -" u="1"/>
        <s v="FUNDACIÓN CERES CONVOCATORIA Se " u="1"/>
        <s v="PAG 3 - TELECOM - ANUARIO EL TRI" u="1"/>
        <s v="IITA" u="1"/>
        <s v="BRIOMODO .- TORRE MURGUIA" u="1"/>
        <s v="+ HEFFELI HECTOR ROBERTO MOD 1X3" u="1"/>
        <s v="DUEÑO VENDE Dpto. Córdoba  Centr" u="1"/>
        <s v="EMP DEL MEDIO SELEC. AUX. CONTAB" u="1"/>
        <s v="O.F.G. GRACIAS SAGRADO CORAZON D" u="1"/>
        <s v="BOTICA - anuario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YUJUJ  - DALE LA VUELTA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MUNICIPALIDAD DE PALPALÁ  1° DE " u="1"/>
        <s v="PEDRO TEJERINA SANCHEZ....    //" u="1"/>
        <s v="BALBI DISTRIBUIDORA" u="1"/>
        <s v="GREDI INDUMENTARIA  Malvinas" u="1"/>
        <s v="GOBIERNO XUMA ...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EKEKO --d.d.www.FERIA ALACITA - " u="1"/>
        <s v="EMPRESA NECESITA  TECNICO ELECTR" u="1"/>
        <s v="FARMACIA DEL BARRIO - fin de año" u="1"/>
        <s v="GOBIERNO  EXODO JUJEÑO ....110 A" u="1"/>
        <s v="MERCEDES ACCELO (AVISO PUBLICADO" u="1"/>
        <s v="SE BUSCA ANALISTA  PROGRAMADOR U" u="1"/>
        <s v="NECESITO PERSONAL. c/experiencia. rubro " u="1"/>
        <s v="va con fotos este aviso GUARDADAS EN CARPETA DIA 9 DE MARZO" u="1"/>
        <s v="NAVARRO HILARIA “LA COPLERITA DE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cusi  aviso armado" u="1"/>
        <s v="UPCN   EVA DUARTE ...." u="1"/>
        <s v="CAMARA PYME - DIA DE LA MUJER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TAVERNITI  ESP MUJER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GOBIERNO DE JUJUY ADHESION 90 AN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CONSORCIO DE RIEGO ESP COOP. DE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UTHGRA SALUDO FIN DE AÑO" u="1"/>
        <s v="AVANTI DEPORTES, DIA DEL PADRE" u="1"/>
        <s v="+ GUEVARA ORELLANA CARLOS q.e.p." u="1"/>
        <s v="JOSEFA DEL CARMEN RUIZ   /// AVI" u="1"/>
        <s v="LA COMISION REORGIZADORA DE LA C" u="1"/>
        <s v="NECESITO PERSONAL. c/experiencia" u="1"/>
        <s v="PROTOCOLO INICIO DE CLASES - GOB" u="1"/>
        <s v="ELECTROMAT ESP GYE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+ EVANGELISTA CUSSE Q.E.P.D. 22-" u="1"/>
        <s v="ATENCIÓN VENDO  *BOLSAS de 50 Kg" u="1"/>
        <s v="OPORTUNIDAD BANDA DE YALA  parce" u="1"/>
        <s v="VENDO CASA ESQUINA  EN SAN PEDRO" u="1"/>
        <s v="EDICTO SUCESORIO   -----EL JUZGADO DE PR" u="1"/>
        <s v="LLAMADO A LICITACIÓN" u="1"/>
        <s v="EDICTO DE CITACION   LA COORDINA" u="1"/>
        <s v="UNION CAÑEROS INDEPEND. ESP. GRA" u="1"/>
        <s v="FELISA OLIVERA  1X3" u="1"/>
        <s v="+ CESAR PEREZ 6/8/48. _ 2/2/22  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COMODIN DIA DEL EMPRESARIO JUJEÑ" u="1"/>
        <s v="SALTA CAPITAL     VENDO DPTO PRE" u="1"/>
        <s v="SCANIA113  MOD/96  Impecable-Lis" u="1"/>
        <s v="DISTRIBUIDORA E. C. RIVAROLA    " u="1"/>
        <s v="LA ASOCIACION COOPERADORA DR. HO" u="1"/>
        <s v="SERVI FIAT" u="1"/>
        <s v="ALBERTO MERCADO" u="1"/>
        <s v="ELECTROMAT DIA DEL TRABAJADOR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PAG IMPAR - SUTIAGA ESP MILITANC" u="1"/>
        <s v="HAFIP ESP SEG. VIAL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ODO GOMAS... ADHEISON 90º ANIV,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a color fondo amarrillo y letras negrita idem aviso 1494625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CAFE SERV. SELECC. EMPRESA DE SE" u="1"/>
        <s v="EDICTO  DR. JOSE ALEJANDRO LOPEZ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TRANSPORTE EVELIA EXPRESS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EDICTOS San Salvador de Jujuy, 2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LETRAS NEGRAS FONDO AMARILLO" u="1"/>
        <s v=" Ref. Expte. Nº C-155106/2020 ca" u="1"/>
        <s v="&quot;ASOCIACION CIVIL GENERACION QUE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ELECTROSTAR  ESP ANUARIO" u="1"/>
        <s v="     E    D    I    C    T    O " u="1"/>
        <s v="ASOCIACION CIVIL VIRGEN DE COPAC" u="1"/>
        <s v="FIAT SIENA FULL mod. 2015,  naft" u="1"/>
        <s v="GOBIERNO - LICITACIÓN LICITACIÓN" u="1"/>
        <s v="GOBIERNO pagina 3 DIA DE LA BAND" u="1"/>
        <s v="HUMAHUACA VENDO propiedad sobe c" u="1"/>
        <s v="YOLY POLLERIA SAN ISIDRO LABRADO" u="1"/>
        <s v="AGUA POTABLE LIC.PUB. 04-05/2021" u="1"/>
        <s v="Centro Vecinal Villa Santa Rosa " u="1"/>
        <s v="COLEGIO MODELO PALPALÁ  LANZAMIE" u="1"/>
        <s v="SUPERMAT (bonif  plan 3x1 de op 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ERNESTO GIRALDO Falleció el 14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COLEGIO DE INGENIEROS DE JUJUY 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a color aviso para renonar (3x5) IDEM AVISO 1491604 CON MODIF. SACAR EL NUMERO 388 4648931" u="1"/>
        <s v="COL. INGENIERO DÍA DE LA MUJER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DIA DEL TAXISTA **AVISO ARMADO**" u="1"/>
        <s v="PRODUGAS GNC  ANIV CAMARA TABACO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 D I C T O S --- DR. ENRIQUE MA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GARELY SACI ESP ANUARIO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ALVARO GONZALO FUNES QEPD 5/10/8" u="1"/>
        <s v="IMPORTANTE EMPRESA Solicita:  1-" u="1"/>
        <s v="MARTILLERA PÚBLICA JUDICIAL MAT." u="1"/>
        <s v="AG AGRO GALLEGO ESP SAN JOSE" u="1"/>
        <s v="+ LUIS ADRIAN VILLEGA  Q.E.P.D. " u="1"/>
        <s v="EDICTO Juzgado de lra. Instancia" u="1"/>
        <s v="OPORTUNIDAD VENDO Fiat Idea 2008" u="1"/>
        <s v="HECTOR JOSE RIVAINERA  1X3" u="1"/>
        <s v="VIRACOCHA  ESP GASTRONOMICOS" u="1"/>
        <s v=" ÁLVARO  GONZALO FUNES (q.e.p.d." u="1"/>
        <s v="ANA MARÍA MÉNDEZ DE NAVARRO Fall" u="1"/>
        <s v="REUNION PARA PRODUCTORES CAÑEROS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COMUNIDADES PIRQUITAS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D.F.D. REPUESTOS  ESP NAVIDAD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+ANGEL ROSENDO GONZALEZ 1X3" u="1"/>
        <s v=" CENTRO DE RESIDENTES DE CIENEGU" u="1"/>
        <s v="+ ISABEL VILLENA Q.E.P.D.   (195" u="1"/>
        <s v="MEXICANA PAGINA ESPECIAL" u="1"/>
        <s v="ASOCIACION COOPERADORA COLEGIO N" u="1"/>
        <s v="CENTRO VECINAL, CULTURAL Y DEPOR" u="1"/>
        <s v="COLEGIO DE ARQUITECTOS ESP SAN J" u="1"/>
        <s v="FARMACIA SAN CAYETANO   CELEBRAC" u="1"/>
        <s v="COLEGIO MEDICO" u="1"/>
        <s v=" Pagina web  + pagina salud COLE" u="1"/>
        <s v="COLEGIO DE BIOQUIMICOS ESP FISIO" u="1"/>
        <s v="CONSORCIO DE RIEGO DIA DEL TRABA" u="1"/>
        <s v="IMPAR - FARMACIA INTERNACIONAL E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GREDI INDUMENTARIA - ANUARIO" u="1"/>
        <s v="HOGAR ESCUELA N° 1 MONSEÑOR JOSE" u="1"/>
        <s v="LA TERMINAL (bonif plan 3x1 de o" u="1"/>
        <s v="SUETRA ESP TRABAJADOR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GARELY SACI  ANIV CAMARA TABACO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GOBIERNO TELAM I=I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OLCAR S.A. ..." u="1"/>
        <s v="BOMBERITO ESP EL MOJON" u="1"/>
        <s v="/// CON LOGO EN CARPETA ///" u="1"/>
        <s v="IMPAR  - TODO IKA ESP ANUARIO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dorado norte serv soc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CURSO DE VERANO 2023  DE FOLCLOR" u="1"/>
        <s v="LIGA DE VETERANOS EL CARMEN RESO" u="1"/>
        <s v="COMUNICADO PJ" u="1"/>
        <s v="JUJUY ES PRODUCCION - FM JUJUY" u="1"/>
        <s v="MUNIC. S.S. DE JUJUY - HORNITOS" u="1"/>
        <s v="///LOGO/// VENDE  LOS PERALES.  " u="1"/>
        <s v="PANADERIA SANTO ANTONIO - PASCUA" u="1"/>
        <s v="MARCA PAIS ARGENTINA" u="1"/>
        <s v=" EDICTO SUCESORIO   - - - - - - " u="1"/>
        <s v="TASAMOS VENDEMOS  ALQUILAMOS TU " u="1"/>
        <s v="aviso para repetir idem 1501444 a color" u="1"/>
        <s v="aviso para repetir idem 1506044 a color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DIOSA DE LOS AMARRES “DEYSY”   A" u="1"/>
        <s v="union caÑeros de jujuy y salta.." u="1"/>
        <s v="LUISIÑO - ANUARIO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VILLANUEVA - ANIVERSARIO GIMNASI" u="1"/>
        <s v="SOLICITADA" u="1"/>
        <s v="se modifica el logo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MPARSA LOS PICAFLORES  HUMAHUA" u="1"/>
        <s v="CONSTRUCCIONES DISEÑOS Y SERVICI" u="1"/>
        <s v="CRONOGRAMA ELECTORAL COMPARSA &quot;L" u="1"/>
        <s v="E D I C T O S U C E S O R I O- -" u="1"/>
        <s v="FRANCISCO EZEQUIEL DURAN 20/10/2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SEBASTIAN MENDOZ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COMPLEJO RETRO - PATIO VIP" u="1"/>
        <s v="+ LIQUIN REGINO  Q.E.P.D. Fallec" u="1"/>
        <s v="CAMARA DE EMPRESAS DE SALUD COMU" u="1"/>
        <s v="CARLOS PEDRO BLAQUIER  q.e.p.d. 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LOS INGENIEROS DECIMOS BASTA" u="1"/>
        <s v="SACAR:_x000d__x000a__x000d__x000a_EL PUNTO 2 DEL AVISO" u="1"/>
        <s v=" Ref. Expte. N° C-180399/2021 ca" u="1"/>
        <s v="FOTOCOPIADORA Facultad Ciencias 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HAFID - DIA DEL MECANICO" u="1"/>
        <s v="NGA PREMOLDEDOS  SRL ..." u="1"/>
        <s v="Buscamos ASESOR DE VENTAS con Ex" u="1"/>
        <s v="CENTRO VECINAL 20 DE JUNIO Calle" u="1"/>
        <s v="MARTILLERA LAURA BLANCO POR RAZO" u="1"/>
        <s v="IMPO EMPR DE SERV COBRADOR" u="1"/>
        <s v="+ ING. ZOOTECNISTA JULIO HORACIO" u="1"/>
        <s v="IMPORTANTE EMPRESA  COMERCIALIZA" u="1"/>
        <s v="ISJ  CIRCULAR Nº 013/2021 ..." u="1"/>
        <s v="GOBIERNO DIA DE LA INDUSTRIA..." u="1"/>
        <s v=" CREDIS.   SELECCIONARA: COBRADO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TRES GOBIERNO  CANNAVA" u="1"/>
        <s v="J.E.M.S.E. Llamado a Licitación " u="1"/>
        <s v="YOLY POLLERIA ESP. PATR. EL CARM" u="1"/>
        <s v="SOLO EL AVISO DEL PRIMERO PUNTO (NUMERO 1 )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XTREME NEUMATICOS  ANIV CAMARA T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D.F.D. REPUESTOS  ESP VIRGEN DE " u="1"/>
        <s v="FUND. PROJUJUY AGROP ESP UNION C" u="1"/>
        <s v="VINERIA VARIETALES  AVISO ARMADO" u="1"/>
        <s v="poner alguna imagen de parapsicologia por favor" u="1"/>
        <s v="SUTIAGA MILITANCIA PERONISTA" u="1"/>
        <s v="APACHETA CUTY Y ROBERTO CARABAJA" u="1"/>
        <s v="CONSULTORIO DE PODOLOGIA Uñas encarn" u="1"/>
        <s v="con foto en carpeta de la fecha y fondo cielo plis!!!!" u="1"/>
        <s v="REPITE AVISO" u="1"/>
        <s v="DRA ADERA   ARMAR AVISO" u="1"/>
        <s v="COLEGIO JEAN piaget - dia de los" u="1"/>
        <s v="LA COOPERATIVA DE TRABAJO MANOS " u="1"/>
        <s v="LICITACIÓN MINISTERIO DE HACIEND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JOSE MARHE JURE - UNION CAÑEROS" u="1"/>
        <s v="AGUILERA, Máximo Dionicio (q.e.p" u="1"/>
        <s v="CENTRO EMPLEADOS DE FARMACIA CON" u="1"/>
        <s v="Estamos en busqueda de Personal " u="1"/>
        <s v="GOBIERNO  LA DRA. TULIA SNOPEK D" u="1"/>
        <s v="IMPORTANTE EMPRESA METALÚRGICA S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Sucesores de Franzini y Fleming " u="1"/>
        <s v="CON LOGO NUEVO" u="1"/>
        <s v="3A PROPIEDADES VENDE casa Bº Hua" u="1"/>
        <s v="MARTILLERA LAURA BLANCO VENDO UN" u="1"/>
        <s v="UNJU - SALUDO NAVIDAD FIN DE AÑO" u="1"/>
        <s v="FIAMBRERIA EL GRINGUITO" u="1"/>
        <s v="ALQUILO RETRO PALA, PALACARGADOR" u="1"/>
        <s v="ASOCIACION DE PERSONAL LEGISLATI" u="1"/>
        <s v="CONVOCATORIA A ASAMBLEA ANUAL OR" u="1"/>
        <s v="VENDO LOTEO  “LA ARBOLADA”  A 7 " u="1"/>
        <s v="KOLOR CAHQUEÑO PALAVECINO" u="1"/>
        <s v="EL DIA 20 AGREGAR LEYENDA &quot;HOY&quot;" u="1"/>
        <s v="DELECTROMECANICA SANCHEZ   DÍA D" u="1"/>
        <s v="EDICTO DR. JUAN PABLO CALDERON -" u="1"/>
        <s v="ISJ  MAS BENEFICIOS PARA NUESTRO" u="1"/>
        <s v="LA COCHERIA - FIESTA PATRONAL DE" u="1"/>
        <s v="SE ALQUILAN OFICINAS AMOBLADA TE" u="1"/>
        <s v="repite" u="1"/>
        <s v="CESAR MARAZ" u="1"/>
        <s v="+ DURAN DE ASMUZI GUDELIA Q.E.P." u="1"/>
        <s v="ROMANO, Elionida Dora  AVISO ARM" u="1"/>
        <s v="ABANS RECURSOS HUMANOS" u="1"/>
        <s v="MUNIC. S.S. DE JUJUY - EXTRA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CEDEMS CONVOCATORIA ...." u="1"/>
        <s v="GRUAS SAN BLAS (Aviso armado)" u="1"/>
        <s v="DISTRIBUIDORA E. CRISTIAN RIVARO" u="1"/>
        <s v="VENDO GOL TREND 1.6, mod. 2016, " u="1"/>
        <s v="MULTAS Y SANCIONES" u="1"/>
        <s v="MARIO ENRIQUE CASTILLO" u="1"/>
        <s v="TERESA MATILDE CHAUQUE" u="1"/>
        <s v="IMPRENTA ALBERDI ESP SAN JOSE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carpeta dia 10 de marzo FOTO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7 LEYENDA HOY !!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TANGO LIBRERIA ESP SAN JOSE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RUBEN RIVAROLA - CANDELARIA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CEMEDE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Ref. Expte. Nº D-033421/2020 car" u="1"/>
        <s v="Ref. Expte. Nº D-034024/2020 car" u="1"/>
        <s v="+ GUSTAVO MANUEL ROJAS      Q.E." u="1"/>
        <s v="+ MURILLO, EDUARDO ANDRÉS &quot;BABY&quot;" u="1"/>
        <s v="CONSORCIO DE RIEGO ESP UNION CAÑ" u="1"/>
        <s v="INSTITUTO DE IDIOMAS  Reconocido" u="1"/>
        <s v="NUEVA MAGISTER  EN AUDITORÍA GUB" u="1"/>
        <s v="VENDO DPTO. EDIFICIO GALERIA IMP" u="1"/>
        <s v="AVISO CON RECUADRO FUSCIA" u="1"/>
        <s v="3/16 PAGO SOLICITADA PUBLICADA 1" u="1"/>
        <s v="===========================E  D 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a color idem aviso 1506921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+ FRANCISCO SOLANO RIVERO     (q" u="1"/>
        <s v="GOBIERNO COVID 19 ..." u="1"/>
        <s v="CABALLERO VENDE LOTE TUMBAYA" u="1"/>
        <s v="CLUB ATLETICO VILLA  BELGRANO  L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FM SOL - FUTBOL GIMNASIA" u="1"/>
        <s v="en las posibilidades pag. jujuy" u="1"/>
        <s v="COBPROBI CON LOGO  ///WORD EN CA" u="1"/>
        <s v="///LOGO/// VENTA * Terreno en Uq" u="1"/>
        <s v="EL CHAQUEÑO PALAVECINO. publicó " u="1"/>
        <s v="NUEVO PROFESIONAL  CPN Llanes, F" u="1"/>
        <s v="ASAMBLEA CENTRO VECINAL B° SAN C" u="1"/>
        <s v="ASAMBLEA ORDINARIA  CONVOCATORIA" u="1"/>
        <s v="DIQUE LA CIÉNAGA  V     E     N " u="1"/>
        <s v="GRACIAS SAN EXPEDITO por el favo" u="1"/>
        <s v="M &amp; M PRODUCTORES  SALUDO DE FIN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IMPORTANTE EMPRESA INCORPORA SEC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REUNIÓN INFORMATIVA DELEGACIÓN J" u="1"/>
        <s v="APACHETA CANTO DEL ALMA" u="1"/>
        <s v="SALUDO INICIO DE CLASES" u="1"/>
        <s v="aviso para repetir idem 1503952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viso para repetir idem 1502654 color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RUTA 9 ESP GYE" u="1"/>
        <s v="Cámara de Expendedores de Combus" u="1"/>
        <s v="E   D   I   C   T   O   S - - - " u="1"/>
        <s v="Los miembros de la junta elector" u="1"/>
        <s v="MARIA EMILIA PAEZ ESP MARTILLERO" u="1"/>
        <s v="Moto NOA" u="1"/>
        <s v="VENTA DE OLIVOS" u="1"/>
        <s v="BSD BUSCA SOLDADORES" u="1"/>
        <s v="BINGO HOSPITAL DE JUJUY" u="1"/>
        <s v="+ GRACIELA BEATRIZ WAYAR   Q.E.P" u="1"/>
        <s v="+ MIRTA GRICELDA MACHACA &quot;NENA&quot; " u="1"/>
        <s v="+ TELL, Rosa Angélica (q.e.p.d.)" u="1"/>
        <s v="CONCEJAL FABIAN RODRIGUEZ  ANIVE" u="1"/>
        <s v="PROYAJO S.A.  PATRONAL DE PERICO" u="1"/>
        <s v="COMPRO DPTO 2 dorm, compro casa en buen 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DOVIS DIESEL ESP COOP. DE TABAC." u="1"/>
        <s v="GRACIAS VIRGEN DE RIO BLANCO POR" u="1"/>
        <s v="UOCRA" u="1"/>
        <s v="ANTONIA DEL CARMEN ROMERO" u="1"/>
        <s v="PAG11 CAMBIA JUJUY  DOS.." u="1"/>
        <s v="                    ------------" u="1"/>
        <s v="LA UNION DEL NORTE SAICAF EX EL 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UNION CIVICA RADICAL COMITÉ PROV" u="1"/>
        <s v="HUMANIDADES" u="1"/>
        <s v="EDICTO El Juzgado de 1ra Instanc" u="1"/>
        <s v="G.G.G. GRACIAS VIRGEN DE GUADALU" u="1"/>
        <s v="impar - BONAFIDE-DIA DE LA MUJER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VOCTORIA A ELECCIONES DE COMI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LA CASA DEL RIEGO  ESP SAN JOSE" u="1"/>
        <s v="JUMI S.R.L. JEFE DE OBRA MAESTRO" u="1"/>
        <s v="OBRA SOCIAL NACIONAL  IOSFA Inco" u="1"/>
        <s v="UNION INDUSTRIAL DE JUJUY - PAPE" u="1"/>
        <s v="ZORBA - LA MANSION ESP. EL CARME" u="1"/>
        <s v="VENID A LOZANO CUANDO QUIERAS" u="1"/>
        <s v="                       EDICTO SU" u="1"/>
        <s v="(pag deportes) - DERGAM(publica " u="1"/>
        <s v="ALLIANCE ONE  ANIV CAMARA TABACO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ENTRETENIMIENTO EL TRIBUNO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PAGO ANUAL ANTICIPADO 2023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MUNICADO AL PUEBLO DE JUJUY (P" u="1"/>
        <s v="El CONSEJO COMUNITARIO de la COM" u="1"/>
        <s v="GAUCHITO GIL Gracias por los fav" u="1"/>
        <s v="CON FOTO EN CARPETA DE LA FECHA 6 DE AGOSTO MARIA ALICIA CAYO" u="1"/>
        <s v="GOBIERNO..." u="1"/>
        <s v="FRIGORIFICO VILLABA" u="1"/>
        <s v="EDICTO EN EL EXPTE Nº A - 021733" u="1"/>
        <s v="color amarrillos letras negrita nuevo texto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GRO EL CARMEN ESP COOP. DE TABA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MARTILLERA LAURA BLANCO VENTA TE" u="1"/>
        <s v="OPORTUNIDAD LLAVE DE NEGOCIO rub" u="1"/>
        <s v="EMPRESA A NIVEL NACIONAL" u="1"/>
        <s v="VALERZA - CONSULTORIOS BRISA" u="1"/>
        <s v="AGATA VETERINARIA DIA DEL ANIMAL" u="1"/>
        <s v="GIUPPONI Leopoldo   (Q.E.P.D.) F" u="1"/>
        <s v="LA RURAL VIÑEDOS Y BODEGAS S.A L" u="1"/>
        <s v="RULI PAN  (publica aqui y no en " u="1"/>
        <s v="ANUARIO EL TRIBUNO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PROSPERO MORALES....  WERCHOW" u="1"/>
        <s v="JARDIN LA VACA LOLA ...ACTO DE C" u="1"/>
        <s v="Ref. Expte. N° C-181935/2021 car" u="1"/>
        <s v="Ref. Expte. Nº C-178264/2021 car" u="1"/>
        <s v="Ref. Expte. Nº C-185897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LUISIÑO" u="1"/>
        <s v="carestino - especial + web" u="1"/>
        <s v="DON ANSELMO  (AVISO ARMADO)" u="1"/>
        <s v="+ MORALES BERNABÉ GREGORIO      " u="1"/>
        <s v="+ PABLO ELOY GALIAN q.e.p.d. Te " u="1"/>
        <s v="CAMARA MINERA - 40 años de malvi" u="1"/>
        <s v="DUEÑA VENDE  DEPATAMENTO Guemes " u="1"/>
        <s v="CRISTALES JUJUY" u="1"/>
        <s v="CINE  ZAPLA ...." u="1"/>
        <s v="CLUB  ATLETICO  VILLA  BELGRANO " u="1"/>
        <s v="CONVOCATORIA (Fe de Erratas)  El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EDICTO DE NOTIFICACION DRA. MARI" u="1"/>
        <s v="GOBIERNO DE JUJUY ANIVERSARIO TE" u="1"/>
        <s v="La SECRETARIA DE BIODIVERSIDAD Y" u="1"/>
        <s v="LOS TILIANES - DIA DEL OBRERO MINERO" u="1"/>
        <s v="GREGORIA BASPINEIRO" u="1"/>
        <s v="+ VICTOR JOSÉ NAVARRO “Pepe” (Q.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CARUSO SEGUROS ESP SAN SALVADOR" u="1"/>
        <s v=" EN MEMORIA DE Rosa Tolaba 09/09" u="1"/>
        <s v="CONSORCIO OBRERO PRO VIVIENDA RU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AVISO ARMADO POR GERMAN AMADOR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 letras negrita fondo claro verde o rosa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+ SEBASTIAN SILISQUE Falleció el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NUMANCIA - DIA DEL PADRE" u="1"/>
        <s v="CON LOGO CARP. 27-06" u="1"/>
        <s v="BENJAMIN FELIZ ALVARADO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Restaurante y Parrillada  Las Yu" u="1"/>
        <s v="PIRQUITAS" u="1"/>
        <s v="COOPERATIVA DE TRABAJO PLINIO ZA" u="1"/>
        <s v="INFOMERCIAL UCSE - JURISPRUDENCI" u="1"/>
        <s v="BLIMOP" u="1"/>
        <s v="CAMBIA DIR. Y TEL" u="1"/>
        <s v="DISEÑADOR GRAFICO..." u="1"/>
        <s v=" (logo)COUNTRY LAS DELICIAS   - " u="1"/>
        <s v="CARNICERIA LIZARRAGA  INMACULADA" u="1"/>
        <s v="CONVOCATORIA SIND. DE LA ALIMENT" u="1"/>
        <s v="EDICTO Por la presente y según l" u="1"/>
        <s v="TUCUMÁN  CAPITAL  VENDO  DEPTO. " u="1"/>
        <s v="CORRESPOSAN CUBRE LA NOTA Y ACTO el 17 de Marzo (cornacion con Sr Claudio)" u="1"/>
        <s v="EJESA  CORTE ...." u="1"/>
        <s v="FINCA EL INFANTE ALCONOR - UNION" u="1"/>
        <s v="CONCEJO DELIBERANTE - pachamama" u="1"/>
        <s v="NAPAY SUNQU  DIA DEL MEDICO ..." u="1"/>
        <s v="+ CATALINO PAREDES             (" u="1"/>
        <s v="BUSCO PREVENTISTA  con mobilidad" u="1"/>
        <s v="FUND. PROJUJUY AGROP. DIA DE LA " u="1"/>
        <s v="HUMAHUACA Vecinas y vecinos del " u="1"/>
        <s v="IMPORTANTE EMPRESA SOLICITA  “SO" u="1"/>
        <s v="NOR TRADING S.R.L.  DIA DEL TRAB" u="1"/>
        <s v="SANATORIO LAVALLE PAGINA ESPECIA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GOBIERNO CLUB GIMNASIA Y ESGRIMA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LA FUNDACIÓN PARA LA CONSERVACIÓ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LIAL MAYORISTA ESP SAN JOSE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Comisión reorganizadora Centro V" u="1"/>
        <s v="MANUEL EMILIO FARFAN  AVISO ARMA" u="1"/>
        <s v="VENDO LOTE  EN LA ARBOLADA (los " u="1"/>
        <s v="PREVENAR - PFISER" u="1"/>
        <s v="JORGE ARTURO MONTIEL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EMPRESA DEL MEDIO PROMOTORAS" u="1"/>
        <s v="EDICTO DE CITACIÓN  LA DIRECCIÓN" u="1"/>
        <s v="Anuncio vinculado con: 1508098 3 .Anuncio vinculado con: 1508102 2 ." u="1"/>
        <s v="ELECTROMAT ANUARIO" u="1"/>
        <s v="FESTIVAL DE LA TRADICIÓN" u="1"/>
        <s v="          + CARLOS A LBERTO CAÑÁ" u="1"/>
        <s v="ELECTRICISTA MATRICULADO  CARLOS" u="1"/>
        <s v="SW4 3.0  automat. 4x4 mod. 2007 " u="1"/>
        <s v="SUBTE - ANUARIO" u="1"/>
        <s v="SINDICATO DE LUZ Y FUERZA" u="1"/>
        <s v="-EDICTO DE NOTIFICACION---------" u="1"/>
        <s v="FUNDACION JUJUY CAMINEMOS JUNTOS" u="1"/>
        <s v="TIEMPO DE COLORES - ANIV. GIMNAS" u="1"/>
        <s v="NISSAN - tasa 0" u="1"/>
        <s v="UATRE ESP TRABAJADOR" u="1"/>
        <s v="arriba con un ala de angel" u="1"/>
        <s v="LIAL MAYORISTA ESP AGRICULTOR" u="1"/>
        <s v="+ FRANCO EMANUEL TORRES  (Q.E.P.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DALE LA VUELTA A JUJUY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GOBIERNO   DE JUJUY DALE LA VUEL" u="1"/>
        <s v="GOBIERNO  de jujuy  DALE LA VUEL" u="1"/>
        <s v="INFORMACIÓN DE PRENSA MES DE MAR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DIA DE LA INDUSTRIA - LEDESMA" u="1"/>
        <s v="+ PAULINO VEDIA IRUPA          (" u="1"/>
        <s v="+ PORTUGUEZ ANTONIO JULIO   CARG" u="1"/>
        <s v="CORREDORES VIALES - HACEMOS BUEN" u="1"/>
        <s v="EL MUNDO DEL PLOMERO ESP ROSARIO" u="1"/>
        <s v="ANDREA GARZON" u="1"/>
        <s v="SENCO - GASTRONÓMICO" u="1"/>
        <s v="idem  anuncio 1496470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CENTRO GAUCHO SAN JOSÉ DE PERICO" u="1"/>
        <s v="GOBIERNO TURISMO -   HUANCAR  - " u="1"/>
        <s v="LA CASA DEL PEUGEOT  ESP REPUEST" u="1"/>
        <s v="EL MATUTINO" u="1"/>
        <s v="VACUNACION CARNAVAL" u="1"/>
        <s v="+ BERTA CAUSARANO  q.e.p.d. Fall" u="1"/>
        <s v="+ JOAQUÍN PEDRO UNCO       (q.e.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Ref. Expte. Nº C-027711/2014 car" u="1"/>
        <s v="YAMAHA VIRAGO 535C.C MOD/1993-MU" u="1"/>
        <s v="+ GLADYS DEL VALLE RODRÍGUEZ  q." u="1"/>
        <s v="I.V.U.J.  Instituto de Vivienda " u="1"/>
        <s v="impar - SHELL PERESSIN ESP MUJER" u="1"/>
        <s v="VENDO CASA  en Alto Comedero  Av" u="1"/>
        <s v="  CONVOCATORIA EL CONSEJO DE ADM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REGRESO SEGURO" u="1"/>
        <s v="MAURICIO QUISPE" u="1"/>
        <s v="APART HOTEL BELGRANO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2668/2022 car" u="1"/>
        <s v="Ref. Expte. Nº C-202974/2022 car" u="1"/>
        <s v="Ref. Expte. Nº C-202986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DRA ADERA  repite mismo aviso" u="1"/>
        <s v="CONVOCATORIA  La Comisión Reorga" u="1"/>
        <s v="leyenda mañana dia 15 y el dia 16 leyenda HOY !!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LA BANCARIA DIA DE LA MUJER" u="1"/>
        <s v="GOBIERNO  DIA DEL EJERCITO ...." u="1"/>
        <s v="JMS MAQUINAS AGROVIALES ESP ANUA" u="1"/>
        <s v="LA COCHERIA SRL ESP ANIV. MUT. D" u="1"/>
        <s v="SE SELECCIONARÁ:  VENDEDOR/A De " u="1"/>
        <s v="MUNI JUJUY" u="1"/>
        <s v="FONDO BLANCO LETRAS ROJAS" u="1"/>
        <s v="ANIVERSARIO GINMASIA ING. ULLOA" u="1"/>
        <s v="LATITUD SUR ESP COOP. DE TABAC.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LA RABIOLA - CHOCOLATTE DIA DE L" u="1"/>
        <s v="SANTERIA SAN EXPEDITO  ANIV. B° " u="1"/>
        <s v="BINGO LOBO ...." u="1"/>
        <s v="/// CLUB DE AMIGOS ///" u="1"/>
        <s v="EDICTO - - - La Dra. ALEJANDRA M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+ FLORES, RAMONA q.e.p.d. Fallec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ASAMBLEA GRAL ORDINARIA" u="1"/>
        <s v="WERCHOW PATRONAL DE PERICO" u="1"/>
        <s v="GOBIERNO ... FELIZ AÑO 2023 .  F" u="1"/>
        <s v="GOBIERNO ....  FELIZ  NAVIDAD .." u="1"/>
        <s v="MUNI JUJUY - PREMIOS SAN SALVADO" u="1"/>
        <s v="Prof. CAYO, Melina (q.e.p.d.) Fa" u="1"/>
        <s v="a color y negrita" u="1"/>
        <s v="CONVOCATORIA EL PROGRESO  //// C" u="1"/>
        <s v="PARTICULAR VENDE FORD FOCUS, Mod" u="1"/>
        <s v="PRECIOS JUSTOS  MINISTERIO DE EC" u="1"/>
        <s v="DIA 05 LEYENDA MAÑANA _x000d__x000a_DIA 06 LEYENDA HOY" u="1"/>
        <s v="CLINICA FATIMA ESP OBSTETRICIA" u="1"/>
        <s v="Bº GORRITI DUEÑO VENDE  casa 3 d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CRISTO DE LIMPIAS (Aviso armado)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EDICTO JUZGADO DE PRIMERA INSTAN" u="1"/>
        <s v="GOBIERNO TELAM  PRESERVATIVO....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GOBIERNO ESCUELA TECNICA...." u="1"/>
        <s v="PARRILLADA EL PARADOR  AVISO ARM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EL MATUTINO foto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FARMACIA SAN RAFAEL ESP SAN JOSE" u="1"/>
        <s v=" CHANGOMAS ...." u="1"/>
        <s v="AGRO EL CARMEN ESP SAN JOSE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FIESTA RETRO 80Y90" u="1"/>
        <s v="RELOGERIA GENARO  ANUARIO" u="1"/>
        <s v="+ Mita, Juan Waldo (q.e.p.d.) Fa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SINDICATO DOCENTES PRIVADOS 3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CONVOCATORIA  CENTRO VECINAL “EL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LA MANSION - ESP SAN JOSE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EJESA ANIVERSARIO...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VIOBAL ADHESION CLINICA DE FATIM" u="1"/>
        <s v="PUBILCA AQUI REAL VISION ..." u="1"/>
        <s v="+ CHILALI, Berta (q.e.p.d.) Fall" u="1"/>
        <s v="Grupo Ledesma S.R.L. Servicios d" u="1"/>
        <s v="Importante distribuidora  busca 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DM - Cortinas y Sistemas  15/9 b" u="1"/>
        <s v="EDICTO  --- El Tribunal Electora" u="1"/>
        <s v="EMPRESA CONSTRUCTORA Busca Maest" u="1"/>
        <s v="Anuncio vinculado con: 1503195 2 ." u="1"/>
        <s v="AGUAS ABIERTAS" u="1"/>
        <s v="TRAME dia de la mujer" u="1"/>
        <s v="GOBIERNO DISTANCIATE ..." u="1"/>
        <s v="COLEGIO MÉDICO - ODONTOLOGOS" u="1"/>
        <s v="+ RICARDO ALBERTO SITARSKI (avis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AGRO SIEMBRA ESP SAN JOSE" u="1"/>
        <s v="                              GU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NUEVA PROFESIONAL CPN María Ceci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TARJETA NOA - TRABAJADOR" u="1"/>
        <s v="EMP CONST SELECC COMPRADOR" u="1"/>
        <s v="COLEGIO DE KINESIOLOGOS ESP ING." u="1"/>
        <s v="JORGE RODRIGUES.... web dia -DIA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EDICTO --- El Tribunal Electoral" u="1"/>
        <s v="EMPRESA MINERA REQUIERE PERSONAL" u="1"/>
        <s v="jujuy florece  con nota  aviso a" u="1"/>
        <s v="ESTUDIO CONTABLE Monotributo - Ganan" u="1"/>
        <s v="GUSTAVO GASTON SOTO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CPN. JORGE ARTURO MONTIEL  q.e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SINDICATO DOCENTES PRIVADOS 2" u="1"/>
        <s v=" JUZGADO ADMINISTRATIVO DE MINAS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SJ GOBIERNO DE JUJUY" u="1"/>
        <s v="Inmoviliaria Isasmendi" u="1"/>
        <s v="GIGANTOGRAFIAS ESP ANUARIO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ITALIA NEUMATICOS ESP SAN JOSE" u="1"/>
        <s v="CAMARA MINERA - dia de la mujer" u="1"/>
        <s v="AGROQUIMICA SAN JOSE ESP TALLERE" u="1"/>
        <s v="MINISTERIO DE INFRASESTRUCTURA -" u="1"/>
        <s v="ATENCION EL DIA 03-12 QUE DIGA LA LEYENDA_x000d__x000a_ ******************HOY******************" u="1"/>
        <s v="(LOGO PACTAR ASESORIA INMOBILIAR" u="1"/>
        <s v="+ SULCA, Graciela (q.e.p.d.) Fal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LA CASA DEL RIEGO  ANIV CAMARA T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30 DE NOVIEMBRE 22    LEYENDA HOY !!!!" u="1"/>
        <s v="COMODIN mayorista" u="1"/>
        <s v="EXAR - DIA DE LA MUJER" u="1"/>
        <s v="COMPLEJO RETRO COMPADRE" u="1"/>
        <s v="Importante Empresa de Salud, se " u="1"/>
        <s v="GOBIERNO SOLICITADA..." u="1"/>
        <s v="BELARMINO GERMAN ARJONA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+ MARÍA ESTER BARRIOS “VICKY”  0" u="1"/>
        <s v="aviso para reno var idem 1493148" u="1"/>
        <s v="CARNAVAL DE ABLANDE Y TEKIS (bon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CORRALON EL AMIGO....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INFORMACIÓN DE PRENSA MES DE DIC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LLIANCE ONE  ESP COOP. DE TABAC" u="1"/>
        <s v="ARNEDO VENDE  - Duplex en Los Pe" u="1"/>
        <s v="UNION CAÑEROS INDEPEND. ESP SAN " u="1"/>
        <s v="AGRIMENSOR VILCA..." u="1"/>
        <s v="ATENCION PELUQUEROS VENDO LAVACA" u="1"/>
        <s v="FUND. PROJUJUY AGROP ESP COOP. D" u="1"/>
        <s v="PAG IMPAR - ACOSTA MUEBLES ANUAR" u="1"/>
        <s v="3A PROPIEDADES VENDE casa Alto C" u="1"/>
        <s v="ADMINISTRATIVO/A COMPRAS p/estud" u="1"/>
        <s v="Asociación de San Marinenses ESP" u="1"/>
        <s v="IVUJ  DIA DE LA CONSTRUCCCION .." u="1"/>
        <s v="SANATORIO Y CLINICA LAVALLE ESP." u="1"/>
        <s v="TRIBUNAL DE FAMILIA  SALA III  V" u="1"/>
        <s v="VENDO Dodge Journey año 2013/52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(TITULO FONDO NEGRO) El CENTRO I" u="1"/>
        <s v="EDICTOS  Ref. Expte. N° A-50225/" u="1"/>
        <s v="Vendo Pala cagardora Cat 930 En " u="1"/>
        <s v="MUNI JUJUY - DÍA DE LA MEMORIA" u="1"/>
        <s v="///LOGO//// GUTIERREZ CONSTRUCC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SINDICATO DOCENTES PRIVADOS 1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SE NECESITA SANDWICHERO Enviar C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MALE TOUR  CARRÉ" u="1"/>
        <s v="LOS NARANJOS DIA DEL PADRE" u="1"/>
        <s v="MUni jujuy dia del periodista" u="1"/>
        <s v="======EDICTO===== JUZGADO DE 1° " u="1"/>
        <s v="DIEZMADOS  SUP ESTILOS (PUBLICA " u="1"/>
        <s v="Empresa gastronómica ofrece empl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EDICTO  La Comisión Directiva de" u="1"/>
        <s v="a color idem aviso 1493876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CAMARA DE TABACO DIA MALVINAS" u="1"/>
        <s v="Asociación civil 1º de mayo Conv" u="1"/>
        <s v="CONCEJO DELIBERANTE  - DIA DE LO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CARNICERIA CONSTITUCION   DIA DE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nuevo ...imagen enviada por mail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EDICTO  El Juzgado de Garantías " u="1"/>
        <s v="INST. SECUNDARIO CANONIGO GORRIT" u="1"/>
        <s v="LA NONA PAGINA ESPECIAL (AVISO 5" u="1"/>
        <s v="LIGA DE FUTBOL FEMENINA “ SAN JO" u="1"/>
        <s v="MUNICIPALIDAD DE SAN PEDRO DIA D" u="1"/>
        <s v="A Y V SUP ESTILOS" u="1"/>
        <s v="                Convocatoria  LA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que haya una separacion por cada renglon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Kepianco NOTA EN CARPETA DE LA FECHA" u="1"/>
        <s v="JULIO CESAR MEDINA" u="1"/>
        <s v="similar anuncio 1491736" u="1"/>
        <s v=" ABANS RECURSOS HUMANOS S.R.L.  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JUAN JESUS AYALA" u="1"/>
        <s v="BUSCAR AVISO ANTERIOR" u="1"/>
        <s v="// LOGO/// Asociación de Terapis" u="1"/>
        <s v="AGUA POTABLE LLAMADO A LICITACIO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AVISO ARMADO BUSQUEDA JUJUY" u="1"/>
        <s v="+ HUANCO, Norma Beatriz .  (q.e." u="1"/>
        <s v="ANIVERSARIO CLINICA DEL NIÑO REC" u="1"/>
        <s v="ASOC. DE ENF,. CONVOCATORIA G. O" u="1"/>
        <s v="ASOC.COOP.CEA INTA ABRA PAMPA CO" u="1"/>
        <s v="MUNICIPALIDAD DE PALPALÁ  VIRGEN" u="1"/>
        <s v="+ JESUS DEL VALLE ROMANO “POROTA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FULL PARTY SHOP" u="1"/>
        <s v="RIVAROLA - ABOGADOS" u="1"/>
        <s v="ASOCIACION DE GUIAS DE TURISMO D" u="1"/>
        <s v="CONVOCATORIA La Comisión de Madr" u="1"/>
        <s v="No soy Profeta, Ni hijo de Profe" u="1"/>
        <s v="CLUB ATLETICO ARGENTINO La Comis" u="1"/>
        <s v="LOGO ( A COLOR) RENOVACIÓN" u="1"/>
        <s v="+  ALFARO, Miguel Ismael  Q.E.P." u="1"/>
        <s v="+ FABIO ANTONIO PANIAGUA Q.E.P.D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FM SOL MINUTO A MINUTO" u="1"/>
        <s v="UNION CAÑEROS INDEPEND. ANUARIO" u="1"/>
        <s v="BUSCO ALQUILAR  HERRAMIENTAS DE 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--------------------------EDICTO" u="1"/>
        <s v="COLECTIVO MERCEDES BENZ  OF 1722" u="1"/>
        <s v="FORD TRANSIT, EXC. ESTADO, 14 A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GOBIERNO DE JUJUY .... ADHESION 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CENTRO VECINAL BARRIO AEROPARQUE" u="1"/>
        <s v="CLUB SOCIAL Y CULTURAL ISLAS MAL" u="1"/>
        <s v="DIESEL JUJUY ESP GORRITI" u="1"/>
        <s v="+ DR.BLAQUIER CARLOS PEDRO  q.e." u="1"/>
        <s v="color con foto enviada por email" u="1"/>
        <s v="//logo/// LOS CERROS PROPIEDADES Adm" u="1"/>
        <s v="HONORIO FRIAS" u="1"/>
        <s v="ALIMENTOS ARGENTINA...." u="1"/>
        <s v="ESTAMOS BUSCANDO VENDEDOR DE SAL" u="1"/>
        <s v="MARTILLERA LAURA BLANCO  VENDE 3" u="1"/>
        <s v="/////////////////JESUS TAROT////////" u="1"/>
        <s v="aviso par renovar idem anuncio 1484387" u="1"/>
        <s v="con  foto" u="1"/>
        <s v="3A PROPIEDADES  LOTEOS" u="1"/>
        <s v="CAMARA JUJEÑA DE LA CONSTRUCCION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TAVERNITI  ESP ANUARIO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GOBIERNO INICIO DE CLASE...." u="1"/>
        <s v="aviso a color y  modelo1469013" u="1"/>
        <s v="           AGRUPACION GAUCHA “JU" u="1"/>
        <s v="FARMACIA BELGRANO DIA DE LA BAND" u="1"/>
        <s v="EL DÍA 21 AGREGAR LEYENDA _x000d__x000a__x000d__x000a_&quot;HOY&quot;" u="1"/>
        <s v="MUNI JUJUY - pirtra" u="1"/>
        <s v="GOBIERNO JUJUY HABITAT" u="1"/>
        <s v="MUNI JUJUY dia de la bandera" u="1"/>
        <s v="+CRISTINA ALTAMIRANO  q.e.p.d. F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+ MORALES de Tapia, Paulina (q.e" u="1"/>
        <s v="ASOCIAC. DE SANMARINENS ESP HUED" u="1"/>
        <s v="CARS CITY SERVISE" u="1"/>
        <s v="+ Escribano LACSI, Patricio (q.e" u="1"/>
        <s v="CENTRO VECINAL DEL B° PEROVIC CO" u="1"/>
        <s v="COLEGIO DE MAGISTRADOS EMP JUDIC" u="1"/>
        <s v="Gracias San Expedito por acompañ" u="1"/>
        <s v="SANANTORIO LOS LAPACHOS DIA DLE " u="1"/>
        <s v="MERCERIA NOTTARIS" u="1"/>
        <s v="+ FUNES, Alvaro Gonzalo  (q.e.p." u="1"/>
        <s v="MARIO “TITO” ALCÁZAR 10/03/1955 " u="1"/>
        <s v="OSCAR CRUZ Q.E.P.D. Falleció el " u="1"/>
        <s v="ELECTROMAT ESP CARENA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GOBIERNO -  DIA DEL AGUA  dDIA D" u="1"/>
        <s v="MUNICIPALIDAD DE SAN PEDRO - CAR" u="1"/>
        <s v="SMATA JUJUY ESP TRABAJADOR GRAFI" u="1"/>
        <s v="CABALLO PERUANO" u="1"/>
        <s v="ALBINA CALIZAYA   AVISO ARMADO" u="1"/>
        <s v="TAVERNITI  ESP COOP. DE TABAC.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CONVOCATORIA  A  ASAMBLEA GENERA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ALMANAQUE EL TRIBUNO" u="1"/>
        <s v="Ref. Expte. Nº C-089114/2017 car" u="1"/>
        <s v="aviso para renovar idem. anuncio 1500012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SABRINA PEREZ" u="1"/>
        <s v="+ AGUIRRE, ADELAIDA DEL CARMEN  " u="1"/>
        <s v="+ ALVAREZ, OSVALDO MARTIN       " u="1"/>
        <s v="BONILLO ORGANIZACION DE SEGUROS " u="1"/>
        <s v="DROGUERIA KUSICH  DIA DEL TRABAJ" u="1"/>
        <s v="Empresa del medio se encuentra e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Galia Constanza Zamboni (q.e.p.d" u="1"/>
        <s v="SAN EXPEDITO  TE PIDO POR LA SAL" u="1"/>
        <s v="SELECTIVO PROVINCIAL JUJUY (boni" u="1"/>
        <s v="AVISO SIN FOTO_x000d__x000a__x000d__x000a_CON FLORES DE COLORES EN EL MARCO DEL RECUADRO" u="1"/>
        <s v="+ ISABEL MARINA ZURRIABLE  q.e.p" u="1"/>
        <s v="- - - - - - - - - - - - - - - - " u="1"/>
        <s v="ACADEMIA PRE MILITAR (PROP EDUC)" u="1"/>
        <s v="HERMANO FRANCICO  TU AMOR - TE P" u="1"/>
        <s v="La Junta Electoral Partido Munic" u="1"/>
        <s v="MARIA REGINA GUERRERO MARTILLERA" u="1"/>
        <s v="Mirta Gricelda Machaca &quot;Nena&quot;  Q" u="1"/>
        <s v="SACASTE UN PRÉSTAMO y te embarga" u="1"/>
        <s v="VENDO TOYOTA HILUX 4X4 SRV Autom" u="1"/>
        <s v="CARMOTO ESP GYE" u="1"/>
        <s v="SIETE  GOBIERNO FNE ..." u="1"/>
        <s v="HUMAHUACA JUEVES DE COMADRES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CORRALON EL AMIGO ...." u="1"/>
        <s v="LA RABIOLA - CHOCOLATTE ANUARIO" u="1"/>
        <s v="BACHILLERATO PROVINCIAL N°6   2 " u="1"/>
        <s v="EDIFICIO HUASI 1  -  BELGRANO N°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CAJUTAC  ADHESION DIA DEL CAMION" u="1"/>
        <s v="E D I C T O     S U C E S O R I " u="1"/>
        <s v="EDTUDIO JURÍDICO DR. SEGOVIA Cas" u="1"/>
        <s v="MARÍA LUISA TOCONAS 31/12/1937  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SINDICATO DE CAMIONEROS .......E" u="1"/>
        <s v="GOBIERNO DIA DE LA MUJER" u="1"/>
        <s v="DOVIS DIESEL  ESP ANUARIO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+ CAYO SATURNINA  q.e.p.d. Falle" u="1"/>
        <s v="FRANQUICIA MULTINACIONAL       I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PRECIOS JUSTOS FEBRERO - TELAM." u="1"/>
        <s v="+ HUGO JULIÁN FARFÁN  Falleció e" u="1"/>
        <s v="ASOCIAC. DE SANMARINENS ESP AGRI" u="1"/>
        <s v="GOBIERNO ANIVERSARIO FUNDACION D" u="1"/>
        <s v="NORT CONSTRUCCIONES" u="1"/>
        <s v="OSPIDA DIA DEL MECANICO" u="1"/>
        <s v="+ ALARCON, Julia Enriqueta (q.e." u="1"/>
        <s v="CARLOS HUGO SOTO CORNEJO EXPTE N" u="1"/>
        <s v="aviso para repetir idem 1501445 a color autorizado por claudio aviso ubicado en pag. 1" u="1"/>
        <s v="aviso para repetir idem 1502881 a color autorizado por claudio aviso ubicado en pag. 1" u="1"/>
        <s v="aviso para repetir idem 1506042 a color autorizado por claudio aviso ubicado en pag. 1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Marta Emilia Montaño    QEPD  " u="1"/>
        <s v="AGROQUIMICA SAN JOSE  ESP. CAMAR" u="1"/>
        <s v="LA TERMINAL BAILABLE" u="1"/>
        <s v="MIGUEL ALBERTO CARLOS  2X3 ARMAD" u="1"/>
        <s v="Radio Club Perico LU1TP  Persone" u="1"/>
        <s v="SUETRA CONVOCATORIA A ELECCIONES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///LOGO/// COLEGIO DE TECNICOS J" u="1"/>
        <s v="YOELI CALZADOS  ANIV. B° 9 DE JU" u="1"/>
        <s v="GIGANTOGRAFIAS ESP SAN JOSE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DICIEMBRE  CONVENCIONAL" u="1"/>
        <s v="DYCAR  - NOVIEMBRE  CONVENCIONAL" u="1"/>
        <s v="SERVIGRUAS  CELEBRACIÓN A LA VIR" u="1"/>
        <s v="UNJU DIA DEL GRADUADO EN CS ECON" u="1"/>
        <s v="Anuncio vinculado con: 1491127 3 ." u="1"/>
        <s v="ACOSTA MUEBLES DIA DE LA MUJER" u="1"/>
        <s v="AGREGAR &quot;R&quot; DE MARCA REGISTRADA" u="1"/>
        <s v="+ EDUARDO SALAZAR “Lalo”  (Q.E.P" u="1"/>
        <s v="/// LOGO /// ASOCIACIÓN DE BASQU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SUTIAGA DOS ..." u="1"/>
        <s v="UNO EJESA CORTE..." u="1"/>
        <s v="GOBIERNO  IMPROJUY..." u="1"/>
        <s v="AGRADECIMIENTO AGRADECEMOS  a lo" u="1"/>
        <s v="DIA DEL GRADUADO EN  CIENCIAS EC" u="1"/>
        <s v="SOTO Mauricio  Falleció el 16 de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ENTRETENIMIENTOS EL TRIBUNO" u="1"/>
        <s v="+ JOSEFA JESÚS RAMOS &quot;PEPA&quot; Fall" u="1"/>
        <s v="ASOCIAC. DE SANMARINENS  ANIV CA" u="1"/>
        <s v="CABALLERO ALQUILA CASA CENTRICA " u="1"/>
        <s v="CARTELERA CINE ALTOS HORNOS ZAPL" u="1"/>
        <s v="COLEGIO DEL SALVADOR “TERCERA PR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                         “CENTRO" u="1"/>
        <s v="+ MARTINEZ, Eduvic  q.e.p.d. Fal" u="1"/>
        <s v="////LOGO/// LIGA JUJEÑA DE FUTBO" u="1"/>
        <s v="///con logo///   COLEGIO DE PROF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NION INDUSTRIAL DE JUJUY ADHESI" u="1"/>
        <s v="+ MARTINEZ, Hilda Q.E.P.D. Falle" u="1"/>
        <s v="+ RAMÓN ORLANDO APONTE 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ELECTROMAT ESP ANIV. CARRE" u="1"/>
        <s v="DULZURA REGALERIA  DIA DEL TRABA" u="1"/>
        <s v="PRODUCCIONES DEL NORTE  CARNAVAL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ELSA RIVERA GUERRERO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FABIO ELIAS SEGOVIA" u="1"/>
        <s v="4 PAGINAS SEPARATA TELAM....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CANAL 2 PERICO ESP SAN JOSE" u="1"/>
        <s v="PANIF. ALAMEDA ESP PANADERO" u="1"/>
        <s v="G.E. GRACIAS GAUCHITO POR LOS FA" u="1"/>
        <s v="G.E.MGRACIAS GAUCHITO POR LOS FA" u="1"/>
        <s v="CONVOCATORIA LOTES" u="1"/>
        <s v="aviso envian por mail" u="1"/>
        <s v="ORTOPEDIA PERICO ESP SAN JOSE" u="1"/>
        <s v="ELECTROMAT  ANIV CAMARA TABACO" u="1"/>
        <s v="LIC.PUB. 02/2021 MINI. DE INFRA." u="1"/>
        <s v="MARTILLERA LAURA BLANCO AVISO AL" u="1"/>
        <s v="AUDIFONOS ... JUDITH COLINA ..." u="1"/>
        <s v="AUTOFARO JUJUY- ESP REPUESTEROS" u="1"/>
        <s v="NUEVO PROFESIONAL EVANGELINA G. " u="1"/>
        <s v="LO MAS REMARCADO QUE SE PUEDA EL TITULO. POR FAVOR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EDICTO  La Dra. MARIA VALERIA ZA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GOBIERNO DIA DE LA ENERGIA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PENAL, CIVIL, COMERCIAL, LABORAL" u="1"/>
        <s v="VENDO F100 MODELO 94  CAJA DE 5T" u="1"/>
        <s v="TASACIONES CASAS- TERRENOS- FINCAS. Mart" u="1"/>
        <s v="COLEGIO MEDICO - kinesiologos" u="1"/>
        <s v="EL CAMPEON LIBRERIA ESP ANUARIO" u="1"/>
        <s v="+ TORRES HORACIO Q.E.P.D. Fallec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TOMBOSUERTE..." u="1"/>
        <s v="EJESA INFORMA ...." u="1"/>
        <s v="MARCO CELESTE Y BLANCO" u="1"/>
        <s v="RUBEN A. RIVAROLA - ZAFRA" u="1"/>
        <s v="SORTEO NAVIDAD EL TRIBUNO" u="1"/>
        <s v="     EDICTO SUCESORIO   - JUZGAD" u="1"/>
        <s v="AS.P.E.R. CONVOCATORIA  AS.P.E.R" u="1"/>
        <s v="FARMACIA YRIGOYEN DIA DEL TRABAJ" u="1"/>
        <s v="EGRESADOS COMERCIAL 1" u="1"/>
        <s v="///LOGO/// VENTA * Casa Ciudad d" u="1"/>
        <s v="MUNIC. S.S. DE JUJUY - CORSOS CA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CITRO CLAUDIA MARIELA EXPTE C178" u="1"/>
        <s v="IMP EMPRESA DE SERVICIOS BUSCA A" u="1"/>
        <s v="SE NECESITA OPTICO preferentemen" u="1"/>
        <s v="+ MORALES BERNABÉ GREGORIO Q.E.P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LIMSA  INFORMA  MODALIDAD DE TR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PORKMAN SAN JOSÉ PERICO" u="1"/>
        <s v="UNJU - DÍA MUNDIAL DEL AGUA" u="1"/>
        <s v="CAZON SERVICIOS OFTALMOLOGICO DI" u="1"/>
        <s v="BARBERIA PAG ESP" u="1"/>
        <s v="CONCEJO DELIBERANTE  - DÍA DE LA" u="1"/>
        <s v="FUND. PROJUJUY AGROP ESP SAN MAR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Anuncio vinculado con: 1502200 2 .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FONDO BLANCO LETRAS ROJA_x000d__x000a_VENDO TERRENO  Y CEL NUNERO FONDO BLANCO LETRAS NEGRITA _x000d__x000a_letras idem anuncio 1499180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TOLERANCIA CERO PAG 7" u="1"/>
        <s v="AVISO ENVIADO POR MARIO MEALLA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MUNIC. S.S. DE JUJUY -  OFRENDA " u="1"/>
        <s v="OPORTUNIDADA DE TRABAJO SE BUSCA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+ BRABO, Libero (q.e.p.d.) 05-07" u="1"/>
        <s v="ALQUILO DPTO SEMIPISO.  Apto con" u="1"/>
        <s v="LOS PERALESZona Escuela VENDO CA" u="1"/>
        <s v="FE DE ERRATA ASAMBLE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FONDO AMARILLO LETRAS NEGRITA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  EDICTO DE CITACION  ----------" u="1"/>
        <s v="C-080228/16 Caratulado: “Laboral" u="1"/>
        <s v="COMIENZA SIEMPRE ALGO MAS. FM JU" u="1"/>
        <s v="La Comisión del CENTRO VECINAL  " u="1"/>
        <s v="Expte. Nº C  051312/15, caratulado: Desp" u="1"/>
        <s v="+Ing. Alberto Constantino Albesa" u="1"/>
        <s v="FUNES,  ALVARO GONZALO q.e.p.d. " u="1"/>
        <s v="MARIACHI GUERRERO               " u="1"/>
        <s v="BACHILLERATO PROVINCIAL N°6 _x000d__x000a__x000d__x000a_2 DE ABRL MALVINAS _x000d__x000a__x000d__x000a_///AVISO ARMADO////" u="1"/>
        <s v="+ FLORINDA FILOMENA VALDIVIEZO (" u="1"/>
        <s v="CIRCULO DE RETIRADOS DE LAS FUER" u="1"/>
        <s v="SE  BUSCA MEDICO/A para cubrir turno" u="1"/>
        <s v="marco azul y fonde de titulo y celular pofa!" u="1"/>
        <s v="TODO GOMA ..." u="1"/>
        <s v="PAEZ SRL ESP SAN JOSE" u="1"/>
        <s v="ASOCIACION JUJEÑA DE CIRUGIA  CO" u="1"/>
        <s v="El Dr. Esteban Arias Cau Vocal P" u="1"/>
        <s v="MUNIC. S.S. DE JUJUY - premios s" u="1"/>
        <s v="Se busca MAESTRO MAYOR DE OBRA C" u="1"/>
        <s v="VENDO O PERMUTO por Camioneta, V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CENTRO VECINAL TACITA DE PLATA  " u="1"/>
        <s v="JMS MAQUINAS AGROVIALES ESP COOP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CONVOC. SINDICATO DE TRABAJ. DE " u="1"/>
        <s v="DIBUJANTE p/estudio arquitectura" u="1"/>
        <s v="MUNIC. S.S. DE JUJUY - AÑO NUEVO" u="1"/>
        <s v="VIDEOTEL S.R.L.   CELEBRACIÓN A " u="1"/>
        <s v="CON FOTO EN CARPETA DE LA FECHA 18-04-2020 FRIGORIFICO VILLALBA" u="1"/>
        <s v="letra negrita y agregar unas girnaldas o referente a las fiestas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JMS MAQUINAS AGROVIAL" u="1"/>
        <s v="CARNICERIA CONSTITUCION" u="1"/>
        <s v="E D I C T O EN EL EXPTE. N° C-17" u="1"/>
        <s v="EMPRESA GASTRONOMICA incorpora e" u="1"/>
        <s v="ESPECIAL CASA DEL JUBILADO -nota" u="1"/>
        <s v="SOCIEDAD RURAL DIA DEL TRABAJADO" u="1"/>
        <s v="TRAME S.R.L.  CELEBRACIÓN DE LA " u="1"/>
        <s v="UTHGRA ESP PANADEROS" u="1"/>
        <s v="+ DAVID AMADO MARTINEZ   MOD 2X5" u="1"/>
        <s v="+ DELIA ESTER BALCEDA TORO  (Q.E" u="1"/>
        <s v="AGRADECIMIENTO  + CRUZ VDA. DE N" u="1"/>
        <s v="FELIZ DIA DEL TRABAJADOR COOP. 1" u="1"/>
        <s v="NUMANCIA ESP MUJER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CRILLON ESP. EMPRESARIOS" u="1"/>
        <s v="+ ARQ. MANUEL MARCOS ARIAS Q.E.P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JUBILACIONES, PENSIONES, REAJUSTE DE" u="1"/>
        <s v="PORKMAN ANUARIO" u="1"/>
        <s v="AGUA TONICA SIN AZUCAR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WER  + ALVAREZ WALTER" u="1"/>
        <s v="+NESTOR RAMON HINOJOSA Q.E.P.D. " u="1"/>
        <s v="EDICTO La Sra. Juez del Tribunal" u="1"/>
        <s v="GOBIERNO SALUDO GOBERNADOR Y FAM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MARTINEZ de Miranda, Sara (q.e.p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TOLERANCIA CERO PAG 3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Centro Vecinal de Cochinoca Conv" u="1"/>
        <s v="EDICTO   - - - El Juzgado de 1ra" u="1"/>
        <s v="EDICTO SUCESORIO  Juzgado de 1ra" u="1"/>
        <s v="Melby Claros - INSTRUMENTACION Q" u="1"/>
        <s v="CON FOTO EN CARPETA DE LA FECHA_x000d__x000a_fondo cielo" u="1"/>
        <s v="BOTAN ALMANAQUE EL TRIBUNO" u="1"/>
        <s v="ASOCIACION JUDICIAL ESP EMP. JUD" u="1"/>
        <s v="GOBIERNO COMPLEJO MINISTERIAL .." u="1"/>
        <s v="VEXAR  INCORPORA PERSONAL DE INS" u="1"/>
        <s v="+ ARRUA, Edelma (q.e.p.d.) Falle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EMPRESA CON 35 AÑOS..." u="1"/>
        <s v="PROYAJO S.A. ESP TRABAJADOR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GENARO SALVATIERRA MOD 1X3" u="1"/>
        <s v="+ QUEVEDO, DANIEL OSCAR (Q.E.P.D" u="1"/>
        <s v="+MARIA PAULA RODRÍGUEZ  + PABLO 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COLEGIO DE PROFESIONALES EN  CRI" u="1"/>
        <s v="Municipalidad de Libertador Gene" u="1"/>
        <s v="NEXAR VENDE TERRENOS Almona 430 " u="1"/>
        <s v="RUBEN RIVAROLA - DÍA DE LA MEMOR" u="1"/>
        <s v="CORREGIR AVISO Y QUE NO SALGA LA ULTIMA PARTE QUE NO VA (LO QUE DICE ESTO DE ROJO)" u="1"/>
        <s v="HAFID ESP TAXISTA" u="1"/>
        <s v="PARRILLADA LAS YUNGAS" u="1"/>
        <s v="CANAL 2  PROGRAMACION ..." u="1"/>
        <s v="EL  CARMEN MINI ESTACION .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+ MARCELO RAUL ZERPA q.e.p.d.  F" u="1"/>
        <s v="EDICTO  Dr. JORGE DANIEL ALSINA," u="1"/>
        <s v="Llamado a concurso para Residenc" u="1"/>
        <s v="OPTICA EL GALLO - DIA DEL OPTICO" u="1"/>
        <s v="CON EL LOGO DE SIEMPRE EN AMARILL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° D-030613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+ KEVIN GONZALEZ AMERISE (Q.E.P." u="1"/>
        <s v="CRISTINA DEL VALLE SOSA q.e.p.d." u="1"/>
        <s v="GOBIERNO JUJUY RENTAS ASISTENTE " u="1"/>
        <s v="con foto en carpeta dia 4 de marzo, solo foto texto nuevo_x000d__x000a__x000d__x000a_fondo detexto color amarillo" u="1"/>
        <s v="CON FOTO COLOR CARP 17-03" u="1"/>
        <s v="AGOSTINI DES. INMOBILIARIA" u="1"/>
        <s v="+ NICACIO DIAZ  Q.E.P.D. Se durm" u="1"/>
        <s v="LIBRERIA SAN PABLO - DIA DE LA P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AVISO INSTITUTO NACIONAL DE SEMI" u="1"/>
        <s v="LÒPEZ INMOBILIARIA              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CARTELERA   CINE ALTOS HORNOS ZA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OPTICA ARENA ESP ANUARIO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GOBIERNO ISJ  UNA NUEVA FORMA D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a color letras negritas fondo amarrillo  numeros de cel. 388-4975634 / 388-4297991" u="1"/>
        <s v="CAMARA PYME - anuario" u="1"/>
        <s v="+ ELVA DEL VALLE MOYA (q.e.p.d.)" u="1"/>
        <s v="+ ELVA TEJERINA       (q.e.p.d.)" u="1"/>
        <s v="EDICTO SUCESORIO   - -El SR. JUE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EMPRESA EDITORIAL BUSCA DISEÑADO" u="1"/>
        <s v="MUNICIPALIDAD DE PALPALÁ  ANUARI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COSTA MUEBLES ESP SAN JOSE" u="1"/>
        <s v="Asociación de Vitivinicultores d" u="1"/>
        <s v="EJESA  ADHESION CLUB GIMNASIA Y " u="1"/>
        <s v="AGREGAR_x000d__x000a__x000d__x000a_ALQUILO PROPIEDAD J..GORRITI . IDEAL EMPRESAS ,INSTITUCIONES , EMPRENDIMIENTOS .PROXIMA A TERMINAR.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+ GLADYS DEL VALLE RODRÍGUEZ q.e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TERESA MORALES DE SAAVEDRA q.e" u="1"/>
        <s v="+ VILLAGRA Vda. DE López, Gabrie" u="1"/>
        <s v="CONVOCATORIA           El Centro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ESTUDIE PROFESORADO DE PORTUGUES" u="1"/>
        <s v="solicitada AL GOBERNADOR DE LA P" u="1"/>
        <s v="LLAMADO A ELECCIONES CEC" u="1"/>
        <s v="LA CASA DEL RIEGO ESP HUEDA" u="1"/>
        <s v="VENDO TERRENO Bº LOS PERALES" u="1"/>
        <s v="DM - Cortinas y Sistemas - DIA D" u="1"/>
        <s v="EDICTO SUCESORIO    - EN EL EXPE" u="1"/>
        <s v="FULGENCIO ARIAS 1X3" u="1"/>
        <s v="RUBEN RIVAROLA - EVITA" u="1"/>
        <s v="AVISO PAGINA4 : - ALTOS  PREMOLD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CONVOCATORIA   EL CONSEJO COMUNI" u="1"/>
        <s v="EXPTE. C -144588/19- “SUCESORIO " u="1"/>
        <s v="NICOLAS CARDOZO  ///AVISO ARMADO" u="1"/>
        <s v="UPCN ADHESION 1 DE MAYO" u="1"/>
        <s v="LUBRINOR- DIA DEL TAXIS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RECORDATORIO   + LAVAYÉN, Javier" u="1"/>
        <s v="JUSTO RENE VEGA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lamina mundial" u="1"/>
        <s v="NUMANCIA DIA DE LA MADRE" u="1"/>
        <s v="CAFE SERV. SELECC. EMPRESA GASTR" u="1"/>
        <s v="CORRALON EL PROGRESO I - II   SA" u="1"/>
        <s v="DYCAR  - POR TU SEGURIDAD CAMPAÑ" u="1"/>
        <s v="federacion gaucha jujeÑa convoca" u="1"/>
        <s v="MADERERA EL CEIBO" u="1"/>
        <s v="=  E D I C T O  S U C E S O R I 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SANTERIA SAN EXPEDITO  SALUDO DE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ESTRELLA EMMA  2X3 COLOR" u="1"/>
        <s v="AGATA VETERINARIA DIA VET" u="1"/>
        <s v="PABLO LESCANO X CANJE ENTRADAS" u="1"/>
        <s v="ASOCIACIÓN CIVIL DEL BARRIO NUEV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VENDO CASA FRENTE Dique La Ciéna" u="1"/>
        <s v="CAMARA DE TABACO ESP ING AGRON." u="1"/>
        <s v="Alquilo depto.calle Sarmiento Cultur" u="1"/>
        <s v="VALENTINA ESP GRAN MONARCA" u="1"/>
        <s v="CONSEJO  DE BIOQUIMICOS - ESP BI" u="1"/>
        <s v="E    D    I    C    T    O    S " u="1"/>
        <s v="MUNIC. S.S. DE JUJUY - LIC N ° 4" u="1"/>
        <s v="NUEVA PROFESIONAL Lic. en Cienci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+ Ramón Eliseo Dorado  + Máximo 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 Liga Jujeña de Maxibasquetbol Perso" u="1"/>
        <s v="NECESITO ALBAÑIL" u="1"/>
        <s v="KARINA NOELIA MARTINEZ" u="1"/>
        <s v="CRILLON DIA DE LA MUJER" u="1"/>
        <s v="E D I C T O ===El Juzgado de 1ra" u="1"/>
        <s v="EMPRESA DEL MEDIO REQUIERE ADMIN" u="1"/>
        <s v="GOBIERNO 25 DE MAYO ...." u="1"/>
        <s v="CAMARA DE TABACO ESP. MALVINAS" u="1"/>
        <s v="+ CALIXTO URZAGASTI (q.e.p.d.) F" u="1"/>
        <s v="25 ANIVERSARIO - BODAS DE PLATA " u="1"/>
        <s v="LA MANSION - ZORBA ESP RIO BLANC" u="1"/>
        <s v="FIXION" u="1"/>
        <s v="GRAN MONARCA  ESP MUJER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EJESA CORTE. TRES..." u="1"/>
        <s v="LETRA NEGRA FONDO AMARILLO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viso para renovar idem 1497886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TOMASA ALABAR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CEMDE PAMI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BUSQUEDA DE PERSONAL  RESPONSABL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+ MARIA ELENA GUTIERREZ 21-12-19" u="1"/>
        <s v="ISCSET Instituto superior de cie" u="1"/>
        <s v="PODER JUDICIAL CONCURSO 54 Y 61." u="1"/>
        <s v="CON IMAGEN EN CARPETA DE LA FECHA" u="1"/>
        <s v="EFECTIVO EN 1 MINUTO..." u="1"/>
        <s v="+ FERNANDEZ, Antonio “Galleguito" u="1"/>
        <s v="+ RAMIREZ, Mario Ricardo (q.e.p.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SE INFORMA QUE EL BINGO REALIZAD" u="1"/>
        <s v="MACEDONIO BAR" u="1"/>
        <s v="EJES CORTE ..." u="1"/>
        <s v="SPRINTER - ROLCAR" u="1"/>
        <s v="FARMACIA GRAL. BELGRANO ESP SAN " u="1"/>
        <s v="LA PREVIA- TODOS LOS SABADO A PA" u="1"/>
        <s v="PODER JUDICIAL CONCURSO 53, 57 6" u="1"/>
        <s v="UNION CAÑEROS INDEPEND ESP EXODO" u="1"/>
        <s v="AVISO ARMADO EN LA CARPETA DE MARIA BALZARINI DE LA FECHA 21/9/2016" u="1"/>
        <s v="Alvarez y Cia." u="1"/>
        <s v="GUADALUPE ISABEL MARTINEZ VDA. D" u="1"/>
        <s v="nueva foto" u="1"/>
        <s v="LAGAMI .... UNION CAÑEROS" u="1"/>
        <s v="+ PAULINO VEDIA IRUPA Se durmió " u="1"/>
        <s v="LA BARRA - PAGADO CON FACTURA 98" u="1"/>
        <s v="SINDICATO DE OBREROS PASTELEROS " u="1"/>
        <s v="CON IMAGEN DE FOTO 0KM. ENVIADO AL CORREO DE SONIA SE PODRIA RECORTAR UN POQUITO ABAJO LA PARTE DEL PISO SUGIERE LA CLIENTA" u="1"/>
        <s v="CARNICERIA LIZARRAGA  ANIV. B° B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ISSALCO Ropa Masculina" u="1"/>
        <s v="FUND. PROJUJUY AGROP. ESP ING. A" u="1"/>
        <s v="INDUSTRIA CONSTRUCTORA MINING  T" u="1"/>
        <s v="PALPALA  VENDO LOTE  Bº 9 de Jul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Anuncio vinculado con: 1455052 2 .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CRILLON ESP. GYE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RIO BLANCO VENDO casa prefabricada c/ te" u="1"/>
        <s v="BODEGA DURET VICENTE" u="1"/>
        <s v="HORACIO VICTOR FERNANDEZ" u="1"/>
        <s v="COLEGIO DE INGENIEROS DE JUJUY" u="1"/>
        <s v="COLEGIO DE PSICOLOGOS DE JUJUY" u="1"/>
        <s v="+ ARANCIBIA ROSITA (Q.E.P.D.) Se" u="1"/>
        <s v="+ ZAPANA, Adriana Mónica del Car" u="1"/>
        <s v="COLEGIO DE ABOGADOS ANIV  UCASAL" u="1"/>
        <s v="FE DE ERRATA: Se informa que el 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NUEVO PROFESIONAL GABRIEL ALEJAN" u="1"/>
        <s v="VENDO TERRENO 15x40, DIQUE La Ci" u="1"/>
        <s v=" CENTRO VECINAL BARRIO SAN MART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LA MANSION ESP ANIV. CAM. TAB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MAMANI, Gabriela (q.e.p.d.) Fall" u="1"/>
        <s v="OFERTA PUBLICA PARA VENTA DIRECT" u="1"/>
        <s v="VENDO DEPTO    PLANTA BAJA CON P" u="1"/>
        <s v="PAEZ S.R.L." u="1"/>
        <s v="JULIO IMPERDIBLE" u="1"/>
        <s v="PROYAJO S.A.  ESP AGRICULTOR" u="1"/>
        <s v="ANGEL LUBRICANTES ESP TRABAJADOR" u="1"/>
        <s v="CHACHO MENDEZ  ///AVISO ARMADO//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+ VACA, Juan Carlos (q.e.p.d.) F" u="1"/>
        <s v="GERARDO MORALES GOBERNADOR  CARL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PASCUAL RICARDO LLAMPA (Q.E.P.D.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ERIBERTO POSADAS 24/02/1948 - 20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DAVID TRUJILLO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PORKMAN ANIVERSARIO CAMARA DEL T" u="1"/>
        <s v="aviso previo armado" u="1"/>
        <s v="AMELIA AZUCENA GONZALEZ" u="1"/>
        <s v="ALUMAK S.R.L ESP SAN JOSE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CLUB AFICIONADOS BILLAR-AJEDREZ " u="1"/>
        <s v="EMPRESA JUJEÑA BUSCA Técnico en " u="1"/>
        <s v="MODUL ARTE   //REPITE AVISO//// " u="1"/>
        <s v="BINGO LOBO..." u="1"/>
        <s v="GRAN MARTINAZO BAILABLE" u="1"/>
        <s v="CURSO TERAPEUTA HOLISTICO" u="1"/>
        <s v="LA BRUJA TOLOZA Y LOS DEL NORTE" u="1"/>
        <s v="/// logo quenanias ////  El Dire" u="1"/>
        <s v="Juntas con Essen - publica estil" u="1"/>
        <s v="TEXTO ENVIADO A TRIBU PUBLICIDAD" u="1"/>
        <s v="JUJUY GLOBAL - BUSQUEDA LABORAL" u="1"/>
        <s v="SE BUSCA CONTADOR /LIC ADMINIST." u="1"/>
        <s v="MISMO MODULO CON IMAGEN !" u="1"/>
        <s v="BALDI FIAMBRERIA ESP. MUJER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GOBIERNO ...." u="1"/>
        <s v="OFICIAL TORNERO" u="1"/>
        <s v="+ CONDORI, Eliana  (q.e.p.d.) Fa" u="1"/>
        <s v="CONCEJAL DR. HUGO SOSA  DÍA DE T" u="1"/>
        <s v="KINEOS - LIC. ARIEL JARAMILLO  C" u="1"/>
        <s v="BINGO LIGA..." u="1"/>
        <s v="AVISO ARMADO EN CARPETA DE LA FE" u="1"/>
        <s v="COLEGIO PRIVADO NUEVA GENERACION" u="1"/>
        <s v="CONCEJO DELIBERANTE  - DIA DE LA" u="1"/>
        <s v="EDICTO  == El Juzgado de 1ra. In" u="1"/>
        <s v="EDICTO  ===El Juzgado de 1ra. In" u="1"/>
        <s v="PAG IMPAR - INSTITUTO DE RADIOLO" u="1"/>
        <s v="C.P.N CLAUDIA GARCIA M.P. 1433  MONO" u="1"/>
        <s v="AUTOSERVICIO EL ALMACEN" u="1"/>
        <s v="AZUL CLARO LETRAS BLANCAS" u="1"/>
        <s v="///AGREGAR LOGO DE WHASTAPP////" u="1"/>
        <s v="+ DOMINGUEZ, Juana (q.e.p.d.) Fa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GARDO CASIMIRO IVANDI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EXTINTORES Y SERV. EMSA  ESP NAV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+ FRIAS EDUARDO EMILIO “CHINGOLO" u="1"/>
        <s v="CLUB ATLETICO TALLERES CONVOCATO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OMEGA 96.3 ESP SAN JOSE" u="1"/>
        <s v="COLEGIO FARMACEUTICO DIA MUNDIAL" u="1"/>
        <s v="VENDO CACHORROS  Rotweiler, 40 d" u="1"/>
        <s v="Anuncio vinculado con: 1503446 2 .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GOBIERNO DE JUJUY - FICHAS DE QA" u="1"/>
        <s v="DUEÑO VENDE  CONSULTORIO MÉDICO" u="1"/>
        <s v="==EDICTO== ==El Dr. ALEJANDRO HU" u="1"/>
        <s v="con foto en carpeta de la fceha 16/01/21 lopez octavio 2x3 color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TOYOTA SW4 full,  mod/2016, 76.0" u="1"/>
        <s v="TURISMO HOTELEROS Y GASTRONOMICO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PATIO FIESTA RETRO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COCIO, Fabricio Germán (Q.E.P.D.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ASOCIAC. DE SANMARINENS  ESP AGR" u="1"/>
        <s v="Ledesma SAAI ADHESION 17  DE AGO" u="1"/>
        <s v="MUTUAL DE AGUA Y ENERGIA ESP MUJ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AMBIAR COLOR ROJO POR AZUL _x000d__x000a__x000d__x000a_Y MODIFICAR TEXTO" u="1"/>
        <s v="se modifica !!! al aviso rojo agregando _x000d__x000a_Escuchanos en Radio 103.5 y 105.1 a horas 23." u="1"/>
        <s v="CEMER" u="1"/>
        <s v="EDICTO  La Dra. Claudia Ibañez d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Anuncio vinculado con: 1491965 2 .Anuncio vinculado con: 1501055 2 ." u="1"/>
        <s v="DOMINGO RENE TORRES" u="1"/>
        <s v="MARTA ICASATE DE TABOADA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LO Q ESTA EN NEGRITA//// LETRA BLANCA FONDO NEGRO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QUE SEA LA IMAGEN A COLO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TRAME S.R.L.   ANIV. SAN CAYETAN" u="1"/>
        <s v="IMPORTANTE EMPRESA BUSCA vendedores 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LIS, Ana María (q.e.p.d.) Fa" u="1"/>
        <s v="GOBIERNO -...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+ MARIA CLELIA RAMIREZ 14 -05 - " u="1"/>
        <s v="CENTRO VECINAL DEL BARRIO SAN BE" u="1"/>
        <s v="EMPRESA SOLICITA URGENTE MAQUINI" u="1"/>
        <s v="EXPECTATIVA BLACK CHANGOMAS ...." u="1"/>
        <s v="nuevo" u="1"/>
        <s v="CONVOCATORIA SATSAID" u="1"/>
        <s v="ESTER DEL CAMREN MOYA" u="1"/>
        <s v="LICITACION PUBLICA N° 02/2022" u="1"/>
        <s v="+  TEJERINA, Lidia Beatriz  (Q.E" u="1"/>
        <s v="+ BERNARDO JAVIER PEREZ Q.E.P.D.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GRO RURAL ESP ANUARIO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 color aviso para renonar (3x5) idem 1500973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CLUB SAN JORGE S.A" u="1"/>
        <s v="LA BULONERA ESP SAN JOSE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CLUB SPORTIVO PALERMO La Comisió" u="1"/>
        <s v="GRACIAS SAN EXPEDITO  HOY Y SIEM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VINERIA VARIETALES  ANIVERSARIO " u="1"/>
        <s v="a color ( aviso para renovación )_x000d__x000a_Idem aviso 1462390" u="1"/>
        <s v="PJ JUJUY - RIVAROLA" u="1"/>
        <s v="GOBIERNO DIA DEL LOCUTOR..." u="1"/>
        <s v="GOBIERNO PIROTECNIA CERO.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AGRO RURAL ESP COOP. DE TABAC." u="1"/>
        <s v="+ AVELINO BAZAN  17-03-1930 PAPA" u="1"/>
        <s v="UNION CAÑEROS INDEPEND DIA DEL T" u="1"/>
        <s v="ZAPIRA S.A. ADHESION DIA DEL SAN" u="1"/>
        <s v="(PAGINA IMPAR) FIAMBRERIA IRENE " u="1"/>
        <s v="PROPIETARIO VENDE DUPLEX TIPO CH" u="1"/>
        <s v="FOTO GUARDAD EN LA CARPETA DE LA FECHA DE AT. AL CLIENTE_x000d__x000a__x000d__x000a_CON EL MARCO DEL RECUADRO A COLOR Y CON DETALLE DE FLORES EN EL BORDE" u="1"/>
        <s v="UCSE  PSICOPEDAGOGIA" u="1"/>
        <s v="CENTRO VECINAL B° SAN IGNACIO DE" u="1"/>
        <s v="DOVIS DIESEL  ANIV CAMARA TABACO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RMOTO FERRETERIA INDUSTRIAL..." u="1"/>
        <s v="EL SEOM TRISTE Y LLORA  Se fue J" u="1"/>
        <s v="MARTILLERA LAURA BLANCO ALQUILA " u="1"/>
        <s v="BERNABE ANTONIO ARAMAYO" u="1"/>
        <s v="UNION CAÑEROS - ANUARIO" u="1"/>
        <s v=" ....MUTUAL  ESP POLICIA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NESTOR LLANOS SEGOVIA 1X3" u="1"/>
        <s v="LA MUSA COVER BAND /bonif plan 3" u="1"/>
        <s v="=========================EDICTOS========" u="1"/>
        <s v="LA BULONERA" u="1"/>
        <s v="UNION DE EMPRESARIOS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A COLOR IDEM 1473174" u="1"/>
        <s v="CENTRO EMP. DE COMERCIO" u="1"/>
        <s v="+ PEREIRA MARIO ORLANDO q.e.p.d." u="1"/>
        <s v="CABEZAS, Luis Alberto (q.e.p.d.)" u="1"/>
        <s v="CENTRO VECINAL B° 9 DE JULIO - P" u="1"/>
        <s v="CONVOCATORIA A ASAMBLEA  GENERAL" u="1"/>
        <s v="GOBIERNO CONGRESO DE LA JUVENTUD" u="1"/>
        <s v="GOBIERNO DALE ..." u="1"/>
        <s v="UNJU - gral Arias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MERCEDES MEALLA q.e.p.d. Falle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L MARTINAZO  LA T Y LA M AVISO " u="1"/>
        <s v="ENTER SERVICE S.A. DIA DEL TRABA" u="1"/>
        <s v="FOTO GUARDAD EN LA CARPETA DE LA FECHA DE AT. AL CLIENTE_x000d__x000a__x000d__x000a_CON EL MARCO DEL RECUADRO A COLOR Y CON UN ALGUN DETALLE" u="1"/>
        <s v="JUJUY MODELS SUP NOCHE" u="1"/>
        <s v="AGRO RURAL ESP UNION CAÑEROS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PANIFICADORA SOLICITA PANADERO-p" u="1"/>
        <s v="+ SERAPIO PATAGUA   q.e.p.d. Fal" u="1"/>
        <s v="ALQUILO  Oficina comercial céntr" u="1"/>
        <s v="ASOCIACIÓN BOLIVIANA 6 DE AGOSTO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RENTAS PAGO ANUAL ANTICIPADO 202" u="1"/>
        <s v="SE NECESITA PERSONAL  FEMENINO J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FIGURITAS PANINI" u="1"/>
        <s v="FENIX MAYORISTA ESP SAN JOSE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VENDO HILUX SRX  A/T 2018, 2.8 D" u="1"/>
        <s v="AUTOCOR" u="1"/>
        <s v="ainstituto colbert" u="1"/>
        <s v="colegio de psicopegagogos" u="1"/>
        <s v="IMPAR - DENTAL RED ESP ANUARIO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UOCRA -  SECCIONAL PERICO ADHESI" u="1"/>
        <s v="ALQUILO AUTOELEVADOR" u="1"/>
        <s v="ASOC. DE SANMARINENS,." u="1"/>
        <s v="TAVERNITI PAGINA ESPECIAL" u="1"/>
        <s v="CONVOCATORIA La comisión ejecuti" u="1"/>
        <s v="EMPRESA CONSTRUCTORA  BUSCA MECA" u="1"/>
        <s v="GOBIERNO DALE LA VUELTA..." u="1"/>
        <s v="GRAN MONARCA - ALVEAR ESP FNE" u="1"/>
        <s v="JUJUY ES PRODUCCION  FM JUJUY" u="1"/>
        <s v="ROGAD A DIOS POR EL ALMA DE: ART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OPTICA SKOREPA  SALUDO FIN DE AÑ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ASAMBLEA GRAL EXTRAORDINARIA" u="1"/>
        <s v="DRA LUCIA ADERA _x000d__x000a__x000d__x000a_ARMAR AVISO" u="1"/>
        <s v="EMP DEL MEDIO SOLICITA VENDEDOR" u="1"/>
        <s v="-  - - - - - - - - - - - EDICTO " u="1"/>
        <s v="3A PROPIEDADES  VENDE TERRENO Al" u="1"/>
        <s v="AGRADECIMINETO + YURQUINA, María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MATAFUEGOS JUJUY ESP GYE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OPORTUNIDAD DUEÑO VENDE  ECOSPOR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Cooperadora Escuela N° 388 Juan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JUJUY MATERIALES ESP CONSTRUCCIO" u="1"/>
        <s v="TEL NET SRL" u="1"/>
        <s v="ELECCIONES PJ" u="1"/>
        <s v="FM JUJUY TODOS A BORDO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aviso para reno var idem 1497885  Observacion autorizado por claudio permanecia en pag. 1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MACINA ANTONIO Q.E.P.D Falleció " u="1"/>
        <s v="MRD INDUSTRIAL .... ADHESION 90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VENDO GOL COUNTRY/2011 RTV. NAFT" u="1"/>
        <s v="foto" u="1"/>
        <s v="+ IANINA LIHUE BALCEDA Q.E.P.D. " u="1"/>
        <s v="ACTA N° 4 MESA PROMOTORA / / / /" u="1"/>
        <s v="LA QUIACA + DR. JUAN DE DIOS CAM" u="1"/>
        <s v="VENDO EN TUCUMÁN,  CASA ESQUINA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CENTRO DE PROPIETARIOS DE FARMAC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CONVOCATORIA EJESA ..." u="1"/>
        <s v="GIGANTO GRAFICA  EXODO JUJEÑO" u="1"/>
        <s v="JUJUY MODELS (bonif plan 5x2)" u="1"/>
        <s v="Anuncio vinculado con: 1504430 2 .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YOELI CALZADOS  SALUDO DE FIN DE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RIVERA, José Ceferino (q.e.p.d.) Fal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 CENTRO VECINAL DE VOLCÁN CONVOC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SIND. DE LUZ Y FUERZA MILITANCIA" u="1"/>
        <s v="VENDO TERRENO  15x40, DIQUE La C" u="1"/>
        <s v="GOBIERNO  ANIVERSARIO RICARDO HU" u="1"/>
        <s v="FOTO EN CARPETA DE LA FECHA Y FOTO SN EXPEDITO LAS DOS" u="1"/>
        <s v="ARIES S.A. ESP SAN JOSE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AGRADECIMIENTO +WUALVER HECTOR Q" u="1"/>
        <s v="DUEÑO VENDE O PERMUTA  DUSTER 2." u="1"/>
        <s v="UNION CAÑEROS  ANIV CAMARA TABAC" u="1"/>
        <s v="VENDEDOR/A DE SALON S.S. DE JUJU" u="1"/>
        <s v="BANCO MACRO  PEDIDO 4500127200 H" u="1"/>
        <s v="LA MANSION NECESITA AYUDANTE COC" u="1"/>
        <s v="OPORTUNIDAD DUEÑO  ALQUILA GALPO" u="1"/>
        <s v="COBRADOR Y PROM TILCARA" u="1"/>
        <s v="AVISO DE LILIANA MADRID_x000d__x000a_EL AVISO REPITE MISMO DISEÑO 1499888 SOLO CAMBIA TEXTO ," u="1"/>
        <s v="TITULO CON MAYUSCULA Y NEGRITA (INCLUIDO EL Nº PERSONERIA _x000d__x000a__x000d__x000a_si seria posible en pag. jujuy" u="1"/>
        <s v="PEDRO CELESTINO URZAGASTE" u="1"/>
        <s v="   CENTRO VECINAL B° ALTO PALPAL" u="1"/>
        <s v="CENTRO VECINAL DEL BARRIO HIGUER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IAC COMODIN mayorista" u="1"/>
        <s v="COLEGIO DE PSICOLOGOS ..." u="1"/>
        <s v="+ BONIFACIO SILVESTRE CHUNGARA M" u="1"/>
        <s v="B° LAS MARIAS  VENDO CASA  (10x4" u="1"/>
        <s v="CENTRO VECINAL Y DE FOMENTO CENT" u="1"/>
        <s v="CONSORCIO DE RIEGO SAN ISIDRO LA" u="1"/>
        <s v="TARJETA NOA - ANIVERSARIO CAIDOS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+ CESAR RUBÉN CASTAÑEDA   (Q.E.P" u="1"/>
        <s v="EDICTO  - DRA. ELBA RITA CABEZAS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COMISIÓN DE MADRES DEL B° EL CHI" u="1"/>
        <s v="PARTICULAR Y ÚNICA dueña vende F" u="1"/>
        <s v="ADN PRO ......" u="1"/>
        <s v="RUBEN RIVAROLA - FIN DE AÑO" u="1"/>
        <s v="SUTIAGA ESP SIND PASTELEROS" u="1"/>
        <s v="ALQUILO MAQUINAS RETROPALA Todo 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MANÍ, MARCELINA Falleció el " u="1"/>
        <s v="+ MARTÍNEZ ROSENDO  Falleció el " u="1"/>
        <s v="GOBIERNO DIS   TAN    CIA    TE " u="1"/>
        <s v="NUEVA FARMACIA SAGRADA FAMILIA  " u="1"/>
        <s v="CASA LIMPIA" u="1"/>
        <s v="BUSQUEDA TECNICO" u="1"/>
        <s v="ROBLES NELIDA  QR WERCHOW" u="1"/>
        <s v="----------EDICTOS SUCESORIOS----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werchow   + luis ismael lopez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carpa de las comadres   aviso ar" u="1"/>
        <s v="ZUCARDI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LOGROS MARZO- TELAM" u="1"/>
        <s v=" Habiendo quedado firme la RESOL" u="1"/>
        <s v="IMPORTANTE EMP METAL. REQUIERE T" u="1"/>
        <s v="PRECIOS JUSTOS MINISTERIO DE ECO" u="1"/>
        <s v="EXAR - PACHAMAMA" u="1"/>
        <s v="SE AGREGO UNA PAGINA :)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SUPERMERCADO DIA DIA DE LA MADRE" u="1"/>
        <s v="MAS NOTA CEL. 388155728447_x000d__x000a_TEXTO EN WORD Y MODELO PARA DISEÑAR AL CORREO DE SONIA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MUNICADO  = = =: El Consejo Di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+ LUIS ROQUE CORONEL  “LUCHO”  F" u="1"/>
        <s v="EDICTO SUCESORIO. Juzgado de 1ª " u="1"/>
        <s v="MELLI AUTOMOTORES / lubricentro " u="1"/>
        <s v="a color los dias de color ( renovación) JAIRO NUEVO NUMERO DE CEL 0388154648931" u="1"/>
        <s v="JOSE MARIA JURE ... ZAFRA" u="1"/>
        <s v="CONVOCATORIA CENTRO VECINAL HUAI" u="1"/>
        <s v="GARNICA GISELA NOEMI EXP 617316/" u="1"/>
        <s v="PROYAJO S.A. ESP COOP. DE TABAC." u="1"/>
        <s v="I.M.D." u="1"/>
        <s v="ADELANTO EN EFECTIVO...." u="1"/>
        <s v="BINGO LOBO  .... CLUB GIMNASIA ." u="1"/>
        <s v="FARMACIA GUEMES UNO  ANIV. SAN C" u="1"/>
        <s v="INSTITUTO DE DATACION Y ARQUEOME" u="1"/>
        <s v="JMS MAQUINAS AGROVIALES DIA DEL " u="1"/>
        <s v="NATALIA C. PEREZLINDO  //// LOGO" u="1"/>
        <s v="VENDO VW GOL 3 ptas, Mod 97, pap" u="1"/>
        <s v="SAN LUCAS S.A  AHESION ..." u="1"/>
        <s v="Farmacia del Norte Ledesma  USAR" u="1"/>
        <s v="logo aguado capeta dia 21 atencion" u="1"/>
        <s v="HAYDEE DEL VALLE VELAZQUEZ" u="1"/>
        <s v="Carniceria C A B R O N  busca ca" u="1"/>
        <s v="En el firmamento Norte se levant" u="1"/>
        <s v="ALFREDO RODO" u="1"/>
        <s v="AUTOSERVICIO TINKU" u="1"/>
        <s v="+ ANGELA PAULA GARCIA  1X3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ASOCIAC. DE SANMARINENS  ESP ANU" u="1"/>
        <s v="CONSEJO DE LA MUJER GOBIERNO NUE" u="1"/>
        <s v="CON IMAGEN DE SAN EXPEDTIO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a color idem aviso 1502830" u="1"/>
        <s v="ASOCIACION CIVIL DE PROMOCION DE" u="1"/>
        <s v="FICHAS GRUPOS MUNDIALISTAS- MUNI" u="1"/>
        <s v="SE SELECCIONARA TECNICO INFORMAT" u="1"/>
        <s v="Anuncio vinculado con: 1487086 2 ." u="1"/>
        <s v="VINERIA SAN JUAN ESP. MONARCA" u="1"/>
        <s v="ANGEL LUBRICANTES ESP SAN JOSE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LAURA SEBON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DUEÑO VENDE CASA en Los Perales," u="1"/>
        <s v="E  D  I  C  T  O ---- DR. JUAN P" u="1"/>
        <s v="EDICTO SUCESORIO  -----JUZGADO M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LA CASA DE JEREMIAS PUBLICA AQUI" u="1"/>
        <s v="SE NECESITA LAVACOPAS.  José de 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se modifico el texto para que salga mañana 27/12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EDICTOS JUZGADO DE PRIEMRA INSTA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LFREDO FERNANDO CADENA" u="1"/>
        <s v="                           Feder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E D I C T O - - - - - - - - - - " u="1"/>
        <s v="LOGO EN CARPETA 28 DE MARZO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ONVOCATORIA (FE DE ERRATAS) El 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CLINICA DE FATIMA" u="1"/>
        <s v="SUSANA MARINO * ADH MARTILLEROS" u="1"/>
        <s v="ESPECIAL PARRILLA" u="1"/>
        <s v="BINGO HOSPITAL ...." u="1"/>
        <s v="DFD REPUESTOS ESP MECANICOS" u="1"/>
        <s v="+ MENTESANA, ROSA              +" u="1"/>
        <s v="FERIA COMUNITARIA &quot;EL MILAGRO&quot; C" u="1"/>
        <s v="GUERRERO INMOBILIARIA - DIA DEL " u="1"/>
        <s v="ITALIA NEUMATICOS PATRONAL PERIC" u="1"/>
        <s v="LA PEÑA DE COROICO  FINCA LA HER" u="1"/>
        <s v="PAG IMPAR - SANATORIO NUESTRA SR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GABRIEL CARTAÑA" u="1"/>
        <s v="UNJU - DIA DE LA MEMORIA" u="1"/>
        <s v="*NECESITO*  OFICIALES  y 1/2 OFI" u="1"/>
        <s v="+ JOSE LUIS GARNICA  (Q.E.P.D)  " u="1"/>
        <s v="HOTEL EN TILCARA necesita person" u="1"/>
        <s v="¿Te preocupa la forma de beber de un ser" u="1"/>
        <s v="a color aviso para renonar idem 1468432  (3x5)" u="1"/>
        <s v="RUBEN SEBASTIAN CABRERA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PUBLICA AQUI - DERGAM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a color aviso para renonar (3x5) idem 1505353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PARA EL VIERNES 13 /8 CON LEYENDA _x000d__x000a_//////HOY//////" u="1"/>
        <s v="GMG LUBRICENTRO ESP GYE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EDICTOS  El Dr. HORACIO JOSÉ MAC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GRIDO FNE" u="1"/>
        <s v="BINGO HOSPITAL" u="1"/>
        <s v="+ CHILALI, Mario (q.e.p.d) Falle" u="1"/>
        <s v="+ OCHOA, Leonardo Q.E.P.D.  Fall" u="1"/>
        <s v="///LOGO/// C O N V O C A T O R I" u="1"/>
        <s v="LA MAGALI S.R.L.  CELEBRACIÓN A " u="1"/>
        <s v="Anuncio vinculado con: 1492518 3 ." u="1"/>
        <s v="GOBIERNO  DISTANCIATE ..." u="1"/>
        <s v="  LA JUNTA ELECTORAL/COMISIÓN DI" u="1"/>
        <s v="CON FOTO EN CARPETA 22 de junio de 2017 - atencion al cliente + martin alvarado aviso 3 - 3x4 color_x000d__x000a__x000d__x000a_usar estilo de aviso 1202917." u="1"/>
        <s v="ADRIAN - EL TEMA DEL MUNDIAL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OBITUARIO CON FOTO DISEÑO ENVIADO AL CORREO DE OBITURIO (3x3) color" u="1"/>
        <s v="TRAME - DIA DEL MECANICO" u="1"/>
        <s v="CARLOS DIAZ Héroe de Malvinas Se" u="1"/>
        <s v="GUSTAVO MANUEL ROJAS     (q.e.p." u="1"/>
        <s v="OFICIO N° 1444/2021.           S" u="1"/>
        <s v="LOS DEL NORTE" u="1"/>
        <s v="INAUGURACION BINDA" u="1"/>
        <s v="CON IMAGEN CARP. 31-03" u="1"/>
        <s v="TOPADO ESP. VIEJA VIOLETA" u="1"/>
        <s v="CARNICERIA LA FAMILIA  “Les dese" u="1"/>
        <s v="LEGISLATURA DE JUJUY LLAMADO A C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EL ZAGUÁN COCHERA CENTRICA  SALU" u="1"/>
        <s v="LA CASA DEL RIEGO ESP TALLERES D" u="1"/>
        <s v="ELECTROMAT ESP INGENIERO" u="1"/>
        <s v="///con logo en carpeta ///" u="1"/>
        <s v="+ HORACIO VICTOR ALVAREZ GARCIA " u="1"/>
        <s v="FLUENCE LUXE 2013 GNC 5ta. Techo" u="1"/>
        <s v="PUBLICÓ EL 28/06 KICKBOXING DOS 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SATSAID - SALUDA EN EL DÍA DE LA" u="1"/>
        <s v="¿TE GUSTARIA GANAR $50.000 EXTRA" u="1"/>
        <s v="EDICTO  -   -   -  JUZGADO DE PRIMERA IN" u="1"/>
        <s v="                        EDICTO D" u="1"/>
        <s v="- - - E D I C T O   - - -   --- " u="1"/>
        <s v="= =  =  =  =  =  =  =  EDICTOS S" u="1"/>
        <s v="CONSEJO DE MEDICOS  ADHESION DIA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TECNO EXPRES SRL Informa a sus a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GERRADO MORALES PRESIDENTE  CARL" u="1"/>
        <s v="INAUGURACION PINTURERIA EXODO  A" u="1"/>
        <s v="INSTITUTO DELTA PREPARAMOS TU IN" u="1"/>
        <s v="UPCN  ADHESION DIA DEL EMPLEADO " u="1"/>
        <s v="DUEÑO VENDE TERRENO" u="1"/>
        <s v="WERCHOW ESP SAN JOSE" u="1"/>
        <s v="VALERZA PAGINA ESPECIAL + web" u="1"/>
        <s v="+ JOSE MARHE JURE  q.e.p.d. Fall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a color fondo amarrillo y letras negrita idem aviso 1506674" u="1"/>
        <s v="SE AGREGO NUMERO DE TELEFONO" u="1"/>
        <s v="+ APARICIO SANTIAGO ANGEL  Q.E.P" u="1"/>
        <s v="FAMILIA BONOMI AGRADECE AL PERSO" u="1"/>
        <s v="QATAR QR" u="1"/>
        <s v="PARTICULAR VENDE" u="1"/>
        <s v="+ MIRIAM RAQUEL LUNA  1X3" u="1"/>
        <s v="CAMBIAR CELULAR A 3884 77-7230" u="1"/>
        <s v="consejo prof. de agrimensores  C" u="1"/>
        <s v="PONELE UN COLORCITO DICE EL CLIENTE !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46 AVISOS (675 MODULOS) TARJETA 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CONVOCATORIA A POSTULANTES PARA 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GOBIERNO DE JUJUY  DIA DE LA SOB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NVOCATORIAS  EJESA EJDSESA...." u="1"/>
        <s v="COOPERATIVA DE TABACALEROS ESP S" u="1"/>
        <s v="PERICO - PERICO  VENDO IMPORTANT" u="1"/>
        <s v="“se cita, llama y emplaza a todo" u="1"/>
        <s v="CORREGIR_x000d__x000a__x000d__x000a_ARQUITECTO / A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a color" u="1"/>
        <s v=" CONVOCATORIA     La Comisión Di" u="1"/>
        <s v="+ JEREZ, EUSTAQUIO CESAR  Q.E.P." u="1"/>
        <s v="//// con logo - word en carpeta " u="1"/>
        <s v="=========================EDICTO=" u="1"/>
        <s v="CENTRO VECINAL PUNTA DIAMANTE CO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DOVIS DIESEL ESP SAN JOSE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TEXTO NUEVO MISMO FORMATO _x000d__x000a_MISMO COLOR AMARILLO Y NEGRO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AGUA POTABLE LICITACION 14 / 202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GLORIA FLORES  Falleció el día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GARELY SACI ESP COOP. DE TABAC.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SUPERMERCADO DIA" u="1"/>
        <s v="COOP. DE TABACALEROS  LISTA DE C" u="1"/>
        <s v="MUNIC. S.S. DE JUJUY - RANA VALE" u="1"/>
        <s v="Dueño Alquila Sin Comisión  Amplias Ofic" u="1"/>
        <s v="SIND. DE LUZ Y FUERZA...." u="1"/>
        <s v="        + EFRAÍN JUAN ANTONIO SU" u="1"/>
        <s v="CLUB ATLETICO CUYAYA CONVOCATORI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+ HECTOR OMAR RUFINO  Q.E.P.D. F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+ FELIX AGUSTIN ZAMBRANO        " u="1"/>
        <s v="CLUB ATLETICO  CIUDAD DE NIEVA C" u="1"/>
        <s v="SUPLEMENTO ELECCION REINA   PANA" u="1"/>
        <s v="URGENTE NECESITO ALQUILAR CAMARA" u="1"/>
        <s v="CARLOS ALBERTO ORTEG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DM - Cortinas y Sistemas" u="1"/>
        <s v="SUETRA ESP. LEALTAD PERONISTA" u="1"/>
        <s v="+ CECILIA VERONICA GUERRA Fallec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 ANUARIO ..." u="1"/>
        <s v="GOBIERNOPACHAMAMA..." u="1"/>
        <s v="CONSEJO PROFESIONAL DE LA AGRIME" u="1"/>
        <s v="CONSORCIO DE RIEGO ESP TRABAJADO" u="1"/>
        <s v="EDICTOS Ref. EXPTE Nº D-035387/2" u="1"/>
        <s v="NGA - OFERTAS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BANCO DE LA NACION ARGENTINA ..." u="1"/>
        <s v="CPN Ricardo López (Q.E.P.D.) Fal" u="1"/>
        <s v="EDICTO: ---La Sala I del Tribuna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ASOCIACIÓN MUTUAL ORG. REG. DE J" u="1"/>
        <s v="HELADERIA EL PINGUINO ANIVERSARI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La Comisión del centro Vecinal d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R. BLAQUIER CARLOS PEDRO  (Q.E.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IMPORTANTE EMPRESA MULTINACIONAL" u="1"/>
        <s v="MARTILLERA LAURA BLANCO VENDO GA" u="1"/>
        <s v="AVISO NUEVO EN CARPETA DE NOTABLES" u="1"/>
        <s v="vendo lotes (fondo negro) y celular (fondo negro) gracias" u="1"/>
        <s v="(pag deportes) - DERGAM" u="1"/>
        <s v="ASOCIACIÓN CIVIL CENTRO VECINAL " u="1"/>
        <s v="URGENTE VENDO  TERRENO 50x50 En " u="1"/>
        <s v="Duty Center" u="1"/>
        <s v="BSD Ingenieria y Servicios  INCO" u="1"/>
        <s v="EDGARDO RENE CATORCENO MARTILLER" u="1"/>
        <s v="gimnasio juan aguirre - COLONIA " u="1"/>
        <s v="MUNICIPALIDAD DE PALPALÁ  ANIV. " u="1"/>
        <s v="Anuncio vinculado con: 1485673 2 ." u="1"/>
        <s v="LAZZARO CENA BLANCA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BINGO LIGA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EL DIA 8 LEYENDA &quot;MAÑANA&quot;_x000d__x000a_EL DIA 9 LEYENDA &quot;HOY&quot;" u="1"/>
        <s v="COLSA CAJERO" u="1"/>
        <s v="M. ELECTRICIDAD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NCEJO DELIBERANTE   -  SAN MAR" u="1"/>
        <s v="pagado color celeste" u="1"/>
        <s v="PAGO ANTICIPADO POR PAGINAS ESP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MUNIC. S.S. DE JUJUY - RENTAS" u="1"/>
        <s v="+ ESTANISLAO ALBERTO LIQUITAY  q" u="1"/>
        <s v="+ PEDRO ARTURO TABOADA (Q.E.P.D.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EDICTOS  Tribunal de Familia - S" u="1"/>
        <s v="ORTIZ MADERAS  INCORPORATE A NTR" u="1"/>
        <s v="Farmacia Carrizo - Arrieta" u="1"/>
        <s v="PRODUGAS EQUIPOS COMPLETOS" u="1"/>
        <s v="+ GUSTAVO OLIVERA RODRIGUEZ Q.E." u="1"/>
        <s v="+ JOSEFA ABARZA  (Q.E.P.D.)  Se 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ROSA LARRIEU - ANIVERSARIO CARRÉ" u="1"/>
        <s v="wer  + ortiz nestor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UIDEMOS LA ENERGIA - TELAM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CANDIDA AURORA ARASTORZA (q.e.p." u="1"/>
        <s v="CARGAR CUENTA DE WERCHOW MOD 1X3" u="1"/>
        <s v="CON FOTO CARP. 17-10_x000d__x000a_SRA. MARIA ELENA VALDEZ" u="1"/>
        <s v="LAGAMI S.A." u="1"/>
        <s v="jerez aviso armado" u="1"/>
        <s v="COLSA BUSQUEDA CAJERO" u="1"/>
        <s v="+ TEJERINA, Florentino (q.e.p.d." u="1"/>
        <s v="+ ZELAYA HORACIO ANTONIO        " u="1"/>
        <s v="CHOFERES DE CAMIONES: Importante" u="1"/>
        <s v="MUNICIPALIDAD DE PALPALA - Dia d" u="1"/>
        <s v="SELECTIVO PROVINCIAL JUJUY   AVI" u="1"/>
        <s v="TRANSPORTE ALIANZA ESP TRANSAMER" u="1"/>
        <s v="CON FOTO A COLOR GUARDAD EN LA CARPETA DE LA FECHA DE AT. AL CLIENTE_x000d__x000a__x000d__x000a_CON FLORES DE COLORES EL MARCO" u="1"/>
        <s v="LATITUD SUR ESP AGRICULTOR" u="1"/>
        <s v="A COLOR CELESTE LETRAS NEGRAS" u="1"/>
        <s v="DRA LUCIA ADERA _x000d__x000a__x000d__x000a_REPITE AVISO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CONSULTORIO DE PODOLOGIA Uñas en" u="1"/>
        <s v="ENTER SERVICE S.A.  ESP EXODO JU" u="1"/>
        <s v="LIC.PUB. Nº 01/20210 DECRETO ..." u="1"/>
        <s v="“San Isidro Labrador Bendice el " u="1"/>
        <s v="con foto en carpeta de la fecha 1 de junio" u="1"/>
        <s v="MAJO" u="1"/>
        <s v="GOMEZ ROCO..." u="1"/>
        <s v="LOGO GOBIERNO FNE ..." u="1"/>
        <s v="dia vierne leyenda &quot;hoy&quot;" u="1"/>
        <s v="+ NELIDA CECILIA VALDIVIEZO Q.E." u="1"/>
        <s v="EL CAMPEON LIBRERIA ESP ANIV. CA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BONAFIDE ESP CARRE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MPRESA SOLICITA CONTADOR JUNIOR" u="1"/>
        <s v="GOBIERNO DE JUJUY  al norte a segui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CON IMAGEN A COLOR DE SAN EXPEDITO" u="1"/>
        <s v="AVISO CELESTE CLARO CON EL BORDE DE LAS LETRAS NEGRAS !!" u="1"/>
        <s v="TRADING" u="1"/>
        <s v="EJESA FE DE ERRATAS" u="1"/>
        <s v="FERRETERIA CARVAJAL" u="1"/>
        <s v="CORRALON AVENIDA ESP ANUARIO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GOBIERNO PAG 3" u="1"/>
        <s v="CONVOCATORIA     &quot;La Liga Region" u="1"/>
        <s v="FARMACIA SAN MARTIN ESP CAMARA T" u="1"/>
        <s v="CON FOTO CARP. 14-08_x000d__x000a_*******PAG. N°8********" u="1"/>
        <s v="UNJU - INGENIEROS" u="1"/>
        <s v="GRAN INAGURACION ROTISERIA Locro" u="1"/>
        <s v="URGENTE VENDO PARCELA 15X50 $ 3." u="1"/>
        <s v="JOSE MARHE JURE" u="1"/>
        <s v="CONTRA TAPA OLAROZ" u="1"/>
        <s v="PRODUCTORES ASESORES DE SEG." u="1"/>
        <s v="+ VILMA MARIELA MAMANI  q.e.p.d." u="1"/>
        <s v="-APODERADOS DE AGENTE DE TRANSPO" u="1"/>
        <s v="ACUERDO ESCOLAR - COVID LAVADO D" u="1"/>
        <s v="Contratista electrico. PROSELAB " u="1"/>
        <s v="EFECTIVO CON TARJETA DE CREDITO " u="1"/>
        <s v="SE SOLICITA ASESORES COMERCIALES" u="1"/>
        <s v="SONIA FLORES MARTILLERA ALQUILA " u="1"/>
        <s v="VENDO CAMA ORTOPÉDICA, 1 año de " u="1"/>
        <s v="VALVERDI PROPIEDADES  VENTA - ALQUIL" u="1"/>
        <s v="INDECAR" u="1"/>
        <s v="con foto!" u="1"/>
        <s v="+ EDISON LEONARDO FARFAN Q.E.P.D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+ GLADI MARI ZELAYA DE CAMPOS  q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EDICTO DE CITACION      LA COORD" u="1"/>
        <s v="MUNIC. S.S. DE JUJUY - SUPLEMENT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OPTICA SANTA LUCIA" u="1"/>
        <s v="EDICTOS Ref. Expte Nº D-035486/2" u="1"/>
        <s v="AUTOJUJUY  2" u="1"/>
        <s v="AYLLU - busqueda" u="1"/>
        <s v="GOBIERNO TURISMO" u="1"/>
        <s v="GOBIERNO CUERDO ESCOLAR" u="1"/>
        <s v="MASKOTAS ESP PATRONAL DE PERICO" u="1"/>
        <s v="DUEÑO ALQUILA Dpto. 3er piso, 3 " u="1"/>
        <s v="MANUEL CORONEL" u="1"/>
        <s v="RQ VENTA DE TERRENOS" u="1"/>
        <s v="LA MANSION - CENA NAVIDEÑA" u="1"/>
        <s v="FIAMBRERIA GRAN MONARCA ..." u="1"/>
        <s v="HORACIO GUZMÁN Y EL FEDERALISMO " u="1"/>
        <s v="Queremos compartir...La alegía ." u="1"/>
        <s v="////CAMBIAR DIRECCION///_x000d__x000a__x000d__x000a_OTERO N° 464, 1er Piso, Consultorio 9_x000d__x000a_Cel 388-154096585" u="1"/>
        <s v="SIND DE LUZ Y FUERZA ESP MALVINA" u="1"/>
        <s v="UNJU - DIA DE LOS COMBATIENTES Y" u="1"/>
        <s v="FONDO AMARILLO FUERTE" u="1"/>
        <s v="TABAC - FARMACIA SAN MARTIN ESP 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1216289.5900000001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2">
        <s v="JEDICT"/>
        <s v="JASAMB"/>
        <s v="JAGRUP"/>
        <s v="SUDC"/>
        <s v="SU"/>
        <s v="SER"/>
        <s v="PAG7"/>
        <s v="OBI"/>
        <s v="IDC"/>
        <s v="IAC"/>
        <s v="CTAPA"/>
        <s v="JGPSICO"/>
        <s v="JGPODOL"/>
        <s v="JGOTRPRO"/>
        <s v="JGKINES"/>
        <s v="JGESTET"/>
        <s v="JGCIRGR"/>
        <s v="JGABOGA"/>
        <s v="OBIMOD"/>
        <m u="1"/>
        <s v="JGARTRO" u="1"/>
        <s v="JARRIE" u="1"/>
        <s v="JVEN01" u="1"/>
        <s v="PAG19" u="1"/>
        <s v="JGECOGR" u="1"/>
        <s v="JREPYA" u="1"/>
        <s v="JVEN02" u="1"/>
        <s v="PAG9" u="1"/>
        <s v="JALP01" u="1"/>
        <s v="PES" u="1"/>
        <s v="JVEN03" u="1"/>
        <s v="JPDOME" u="1"/>
        <s v="PDC" u="1"/>
        <s v="JVEN04" u="1"/>
        <s v="LOC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PINTF" u="1"/>
        <s v="JVEN08" u="1"/>
        <s v="JALO05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PAC" u="1"/>
        <s v="JVETER" u="1"/>
        <s v="JCOM03" u="1"/>
        <s v="JAGRIC" u="1"/>
        <s v="JGODONT" u="1"/>
        <s v="JGCLIM" u="1"/>
        <s v="JMOTOS" u="1"/>
        <s v="JTALLG" u="1"/>
        <s v="JGDERMA" u="1"/>
        <s v="ESP" u="1"/>
        <s v="PAG3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JGPSICPE" u="1"/>
        <s v="JGCONT" u="1"/>
        <s v="JREMAT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5"/>
        <n v="20"/>
        <n v="19"/>
        <n v="31"/>
        <n v="7"/>
        <n v="21"/>
        <n v="3"/>
        <n v="13"/>
        <n v="32"/>
        <n v="9"/>
        <n v="8"/>
        <n v="4"/>
        <n v="57" u="1"/>
        <n v="34" u="1"/>
        <n v="59" u="1"/>
        <n v="36" u="1"/>
        <n v="61" u="1"/>
        <n v="38" u="1"/>
        <n v="5" u="1"/>
        <n v="14" u="1"/>
        <n v="63" u="1"/>
        <n v="40" u="1"/>
        <n v="42" u="1"/>
        <n v="15" u="1"/>
        <n v="44" u="1"/>
        <n v="2" u="1"/>
        <n v="46" u="1"/>
        <n v="6" u="1"/>
        <n v="16" u="1"/>
        <n v="48" u="1"/>
        <n v="17" u="1"/>
        <n v="50" u="1"/>
        <n v="18" u="1"/>
        <n v="52" u="1"/>
        <n v="54" u="1"/>
        <n v="56" u="1"/>
        <n v="33" u="1"/>
        <n v="58" u="1"/>
        <n v="35" u="1"/>
        <n v="22" u="1"/>
        <n v="60" u="1"/>
        <n v="37" u="1"/>
        <n v="1" u="1"/>
        <n v="23" u="1"/>
        <n v="62" u="1"/>
        <n v="39" u="1"/>
        <n v="24" u="1"/>
        <n v="64" u="1"/>
        <n v="41" u="1"/>
        <n v="43" u="1"/>
        <n v="26" u="1"/>
        <n v="45" u="1"/>
        <n v="27" u="1"/>
        <n v="10" u="1"/>
        <n v="47" u="1"/>
        <n v="28" u="1"/>
        <n v="49" u="1"/>
        <n v="29" u="1"/>
        <n v="11" u="1"/>
        <n v="51" u="1"/>
        <n v="30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2" maxValue="7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52">
        <s v="2x12"/>
        <s v="3x18"/>
        <s v="2x06"/>
        <s v="3x25"/>
        <s v="2x15"/>
        <s v="2x20"/>
        <s v="3x20"/>
        <s v="2x10"/>
        <s v="2x13"/>
        <s v="3x05"/>
        <s v="2x07"/>
        <s v="7x04"/>
        <s v="2x04"/>
        <s v="2x05"/>
        <s v="3x10"/>
        <s v="5x35"/>
        <s v="5x17"/>
        <s v="3x03"/>
        <s v="5x03"/>
        <s v="2x03"/>
        <s v="2x02"/>
        <s v="5x13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4x14" u="1"/>
        <s v="5x08" u="1"/>
        <s v="7x27" u="1"/>
        <s v="1x11" u="1"/>
        <s v="3x30" u="1"/>
        <s v="4x24" u="1"/>
        <s v="5x18" u="1"/>
        <s v="6x12" u="1"/>
        <s v="1x21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2x14" u="1"/>
        <s v="3x08" u="1"/>
        <s v="7x15" u="1"/>
        <s v="2x24" u="1"/>
        <s v="5x06" u="1"/>
        <s v="7x25" u="1"/>
        <s v="1x09" u="1"/>
        <s v="3x28" u="1"/>
        <s v="4x22" u="1"/>
        <s v="7x35" u="1"/>
        <s v="1x19" u="1"/>
        <s v="3x07" u="1"/>
        <s v="1x29" u="1"/>
        <s v="6x20" u="1"/>
        <s v="7x14" u="1"/>
        <s v="3x17" u="1"/>
        <s v="7x24" u="1"/>
        <s v="1x08" u="1"/>
        <s v="4x21" u="1"/>
        <s v="5x15" u="1"/>
        <s v="7x34" u="1"/>
        <s v="1x18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1x17" u="1"/>
        <s v="2x11" u="1"/>
        <s v="4x30" u="1"/>
        <s v="5x24" u="1"/>
        <s v="1x27" u="1"/>
        <s v="7x12" u="1"/>
        <s v="2x21" u="1"/>
        <s v="3x15" u="1"/>
        <s v="7x22" u="1"/>
        <s v="1x06" u="1"/>
        <s v="4x19" u="1"/>
        <s v="1x16" u="1"/>
        <s v="3x35" u="1"/>
        <s v="3x04" u="1"/>
        <s v="7x11" u="1"/>
        <s v="3x14" u="1"/>
        <s v="4x08" u="1"/>
        <s v="7x21" u="1"/>
        <s v="1x05" u="1"/>
        <s v="3x24" u="1"/>
        <s v="4x18" u="1"/>
        <s v="5x12" u="1"/>
        <s v="1x15" u="1"/>
        <s v="2x09" u="1"/>
        <s v="4x28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7x19" u="1"/>
        <s v="1x34" u="1"/>
        <s v="2x28" u="1"/>
        <s v="1x03" u="1"/>
        <s v="3x22" u="1"/>
        <s v="5x10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">
  <r>
    <x v="0"/>
    <x v="0"/>
    <s v="Yapura Marina Antonela"/>
    <x v="0"/>
    <s v="EDICTO &quot;La Dra , Lis Valdecantos Bernal Jueza del Juzgado de Lis Valdecantos Bernal -&quot; San Salvador de Jujuy Ma8  213991"/>
    <x v="0"/>
    <s v="Remates/Edictos Cm- Jujuy"/>
    <x v="0"/>
    <n v="442.62"/>
    <x v="0"/>
    <x v="0"/>
    <m/>
    <x v="0"/>
    <x v="0"/>
    <n v="2"/>
    <n v="11.999999999472221"/>
    <x v="0"/>
    <n v="12"/>
    <x v="0"/>
  </r>
  <r>
    <x v="0"/>
    <x v="1"/>
    <s v="Tolaba Natalia"/>
    <x v="0"/>
    <s v="PODER JUDICIAL DE LA PROVINCIA DE JUJUY TRIBUNAL DE FAMILIA  SECRETARIA¡±.-  Es copia, Secretar¨ªa¡ de Octubre 8  152482"/>
    <x v="1"/>
    <s v="Remates/Edictos Cm- Jujuy"/>
    <x v="0"/>
    <n v="995.89200000000017"/>
    <x v="0"/>
    <x v="0"/>
    <m/>
    <x v="0"/>
    <x v="0"/>
    <n v="3"/>
    <n v="18.000000000972221"/>
    <x v="0"/>
    <n v="18"/>
    <x v="1"/>
  </r>
  <r>
    <x v="0"/>
    <x v="2"/>
    <s v="Imposti  Raul"/>
    <x v="0"/>
    <s v="EDICTO INSCRIPCION DE MARTILLERO  RAUL  SANTIAGO IMPOSTI  D. en diez (10) días en el Boletín Oficial y un Diari8   25028"/>
    <x v="2"/>
    <s v="Remates/Edictos Cm- Jujuy"/>
    <x v="0"/>
    <n v="221.31000000000003"/>
    <x v="0"/>
    <x v="0"/>
    <m/>
    <x v="0"/>
    <x v="0"/>
    <n v="2"/>
    <n v="6.0000000015000001"/>
    <x v="0"/>
    <n v="6"/>
    <x v="2"/>
  </r>
  <r>
    <x v="0"/>
    <x v="3"/>
    <s v="Burgos  Miguel Angel"/>
    <x v="0"/>
    <s v="Expte. Nº C-197535/2022 caratulado: “CUIDADO PERSONAL DE HIJ---------------------------------------------------8  197535"/>
    <x v="3"/>
    <s v="Remates/Edictos Cm- Jujuy"/>
    <x v="0"/>
    <n v="1383.1833333333334"/>
    <x v="0"/>
    <x v="0"/>
    <m/>
    <x v="0"/>
    <x v="0"/>
    <n v="3"/>
    <n v="24.999999999194447"/>
    <x v="0"/>
    <n v="25"/>
    <x v="3"/>
  </r>
  <r>
    <x v="0"/>
    <x v="4"/>
    <s v="Reales Daniela"/>
    <x v="0"/>
    <s v="EDICTO DE CITACION EL DIRECTOR DE LA DIRECCION PROVINCIAL DER DE REGULARIZACION DOMINIAL. DR.JEREMIAS VISINTIN 805160327"/>
    <x v="4"/>
    <s v="Remates/Edictos Cm- Jujuy"/>
    <x v="0"/>
    <n v="553.27333333333331"/>
    <x v="0"/>
    <x v="0"/>
    <m/>
    <x v="0"/>
    <x v="0"/>
    <n v="2"/>
    <n v="15.000000000222226"/>
    <x v="0"/>
    <n v="15"/>
    <x v="4"/>
  </r>
  <r>
    <x v="0"/>
    <x v="5"/>
    <s v="Yurquina  Ruben Omar"/>
    <x v="0"/>
    <s v="-------------------------- E D I C T O----------------------NTE MI DRA. MILENA SOLANA ELGUERO- Prosecretaria de8  005332"/>
    <x v="5"/>
    <s v="Remates/Edictos Cm- Jujuy"/>
    <x v="0"/>
    <n v="737.69666666666672"/>
    <x v="0"/>
    <x v="0"/>
    <m/>
    <x v="0"/>
    <x v="0"/>
    <n v="2"/>
    <n v="20.000000001472223"/>
    <x v="0"/>
    <n v="20"/>
    <x v="5"/>
  </r>
  <r>
    <x v="0"/>
    <x v="6"/>
    <s v="Vidaurre  Sergio"/>
    <x v="0"/>
    <s v="EDICTO San Salvador de Jujuy, 06 de marzo de 2023 Ref. Expte TRÁMITE - ANTE MI, DRA. MARIA FLORENCIA RIVAS - SE8  163239"/>
    <x v="6"/>
    <s v="Remates/Edictos Cm- Jujuy"/>
    <x v="0"/>
    <n v="1106.5466666666666"/>
    <x v="0"/>
    <x v="0"/>
    <m/>
    <x v="0"/>
    <x v="0"/>
    <n v="3"/>
    <n v="20.000000001472223"/>
    <x v="0"/>
    <n v="20"/>
    <x v="6"/>
  </r>
  <r>
    <x v="0"/>
    <x v="7"/>
    <s v="Ana Gabiela Igarzabal"/>
    <x v="0"/>
    <s v="Ref. Expte. Nº B-248190/2011 caratulado: &quot;PREPARA VÍA EJECUTIAS.-   San Salvador de Jujuy, 28 de Marzo del 2.028  248190"/>
    <x v="7"/>
    <s v="Remates/Edictos Cm- Jujuy"/>
    <x v="0"/>
    <n v="553.27333333333331"/>
    <x v="0"/>
    <x v="0"/>
    <m/>
    <x v="0"/>
    <x v="0"/>
    <n v="2"/>
    <n v="15.000000000222226"/>
    <x v="0"/>
    <n v="15"/>
    <x v="4"/>
  </r>
  <r>
    <x v="0"/>
    <x v="8"/>
    <s v="Morales  Lautaro"/>
    <x v="0"/>
    <s v="EDICTO INSCRIPCION DE MARTILLERO  Lautaro Emanuel MORALES CA en diez (10) días en el Boletín Oficial y un Diari8  025028"/>
    <x v="2"/>
    <s v="Remates/Edictos Cm- Jujuy"/>
    <x v="0"/>
    <n v="221.31000000000003"/>
    <x v="0"/>
    <x v="0"/>
    <m/>
    <x v="0"/>
    <x v="0"/>
    <n v="2"/>
    <n v="6.0000000015000001"/>
    <x v="0"/>
    <n v="6"/>
    <x v="2"/>
  </r>
  <r>
    <x v="0"/>
    <x v="9"/>
    <s v="COPPROBI JUJUY"/>
    <x v="0"/>
    <s v="  CON LOGO  Colegio de Profesionales y Técnicos Superiores e Gustavo Estrada Secretaria: Lic. Clara Sofia Beatriz Franco"/>
    <x v="8"/>
    <s v="Asamblea Cm- Jujuy"/>
    <x v="0"/>
    <n v="1033.22"/>
    <x v="0"/>
    <x v="1"/>
    <m/>
    <x v="0"/>
    <x v="0"/>
    <n v="2"/>
    <n v="11.999999999472221"/>
    <x v="0"/>
    <n v="12"/>
    <x v="0"/>
  </r>
  <r>
    <x v="0"/>
    <x v="10"/>
    <s v="Club Social Y Deportivo Parapeti"/>
    <x v="0"/>
    <s v="ASAMBLEA ORDINARIA             El Club Deportivo y Social Pa                                                  P8  962022"/>
    <x v="9"/>
    <s v="Asamblea Cm- Jujuy"/>
    <x v="0"/>
    <n v="861.01666666666654"/>
    <x v="0"/>
    <x v="1"/>
    <m/>
    <x v="0"/>
    <x v="0"/>
    <n v="2"/>
    <n v="9.999999998972223"/>
    <x v="0"/>
    <n v="10"/>
    <x v="7"/>
  </r>
  <r>
    <x v="0"/>
    <x v="11"/>
    <s v="Lozano  Matias"/>
    <x v="0"/>
    <s v="CENTRO VECINAL B° SANTA BÁRBARA - PALPALÁ   CONVOCATORIA La 23  2024.  Comisión Directiva Centro Vecinal B° Sta8  962024"/>
    <x v="10"/>
    <s v="Asamblea Cm- Jujuy"/>
    <x v="0"/>
    <n v="774.91499999999996"/>
    <x v="0"/>
    <x v="1"/>
    <m/>
    <x v="0"/>
    <x v="0"/>
    <n v="2"/>
    <n v="11.999999999472221"/>
    <x v="0"/>
    <n v="12"/>
    <x v="0"/>
  </r>
  <r>
    <x v="0"/>
    <x v="12"/>
    <s v="Cultivar S.r.l."/>
    <x v="1"/>
    <s v="BUSQUEDA LABORAL  ARQUITECTO"/>
    <x v="11"/>
    <s v="Notables - Jujuy +1 Col"/>
    <x v="1"/>
    <n v="1564.6070000000002"/>
    <x v="1"/>
    <x v="2"/>
    <m/>
    <x v="0"/>
    <x v="0"/>
    <n v="2"/>
    <n v="12.999999999722222"/>
    <x v="0"/>
    <n v="13"/>
    <x v="8"/>
  </r>
  <r>
    <x v="0"/>
    <x v="13"/>
    <s v="Jairo Montes"/>
    <x v="0"/>
    <s v="COSEJERO y HECHICERO DEL AMOR JAIRO 388 4670393"/>
    <x v="12"/>
    <s v="Notables - Jujuy +1 Col"/>
    <x v="0"/>
    <n v="588.0146666666667"/>
    <x v="0"/>
    <x v="2"/>
    <m/>
    <x v="0"/>
    <x v="0"/>
    <n v="3"/>
    <n v="5.0000000012500001"/>
    <x v="0"/>
    <n v="5"/>
    <x v="9"/>
  </r>
  <r>
    <x v="0"/>
    <x v="14"/>
    <s v="Rodriguez  Atilio Dario Emanuel"/>
    <x v="0"/>
    <s v="PRESTAMOS POR EMPEÑO (AVISO ARMADO REPITE)"/>
    <x v="13"/>
    <s v="Notables - Jujuy +1 Col"/>
    <x v="0"/>
    <n v="1444.2526666666668"/>
    <x v="1"/>
    <x v="2"/>
    <m/>
    <x v="0"/>
    <x v="0"/>
    <n v="2"/>
    <n v="11.999999999472221"/>
    <x v="0"/>
    <n v="12"/>
    <x v="0"/>
  </r>
  <r>
    <x v="0"/>
    <x v="15"/>
    <s v="Miranda Andrea"/>
    <x v="0"/>
    <s v="ELENA - ESPIRITISTA"/>
    <x v="14"/>
    <s v="Notables - Jujuy +1 Col"/>
    <x v="0"/>
    <n v="560.01428571428573"/>
    <x v="0"/>
    <x v="2"/>
    <m/>
    <x v="0"/>
    <x v="0"/>
    <n v="2"/>
    <n v="7.0000000017499984"/>
    <x v="0"/>
    <n v="7"/>
    <x v="10"/>
  </r>
  <r>
    <x v="0"/>
    <x v="16"/>
    <s v="Rios  Patricia Bibiana"/>
    <x v="0"/>
    <s v="ESTUDIE ITALIANO ASOC. DANTE ALIGHIERI Cursos para adultos.  18:30 a 20:00 hs Avda. Fascio 1078- 2º Piso (Soc. 8    1078"/>
    <x v="15"/>
    <s v="Notables - Jujuy +1 Col"/>
    <x v="0"/>
    <n v="630.01499999999999"/>
    <x v="0"/>
    <x v="2"/>
    <m/>
    <x v="0"/>
    <x v="0"/>
    <n v="3"/>
    <n v="5.0000000012500001"/>
    <x v="0"/>
    <n v="5"/>
    <x v="9"/>
  </r>
  <r>
    <x v="0"/>
    <x v="17"/>
    <s v="S.a.e. S.r.l."/>
    <x v="0"/>
    <s v="SAE VENDE MASTER RENAULT 2008, techo alto largo, furgón, MASa MERCEDES BENZ 313, 2011, techo alto larga. Cel 388 5801528"/>
    <x v="16"/>
    <s v="Notables - Jujuy +1 Col"/>
    <x v="0"/>
    <n v="560.01428571428573"/>
    <x v="0"/>
    <x v="2"/>
    <m/>
    <x v="0"/>
    <x v="0"/>
    <n v="2"/>
    <n v="7.0000000017499984"/>
    <x v="0"/>
    <n v="7"/>
    <x v="10"/>
  </r>
  <r>
    <x v="0"/>
    <x v="18"/>
    <s v="EMILIO AUTOMOTORES"/>
    <x v="2"/>
    <s v="EMILIO AUTOMOTORES"/>
    <x v="17"/>
    <s v="Notables - Jujuy +1 Col"/>
    <x v="1"/>
    <n v="1310.5256666666667"/>
    <x v="0"/>
    <x v="2"/>
    <m/>
    <x v="0"/>
    <x v="0"/>
    <n v="7"/>
    <n v="4.0000000010000001"/>
    <x v="0"/>
    <n v="4"/>
    <x v="11"/>
  </r>
  <r>
    <x v="0"/>
    <x v="19"/>
    <s v="Vera Inés Del Carmen"/>
    <x v="3"/>
    <s v="CARMEN UNA VIDENTE"/>
    <x v="18"/>
    <s v="Notables - Jujuy +1 Col"/>
    <x v="1"/>
    <n v="313.608"/>
    <x v="0"/>
    <x v="2"/>
    <m/>
    <x v="0"/>
    <x v="0"/>
    <n v="2"/>
    <n v="4.0000000010000001"/>
    <x v="0"/>
    <n v="4"/>
    <x v="12"/>
  </r>
  <r>
    <x v="0"/>
    <x v="20"/>
    <s v="Luis  Cabrera"/>
    <x v="0"/>
    <s v="/////////////////JESUS TAROT//////// PARAPSICOLOGO   NUMERO 388 4613315"/>
    <x v="19"/>
    <s v="Notables - Jujuy +1 Col"/>
    <x v="0"/>
    <n v="588.0145"/>
    <x v="0"/>
    <x v="2"/>
    <m/>
    <x v="0"/>
    <x v="0"/>
    <n v="3"/>
    <n v="5.0000000012500001"/>
    <x v="0"/>
    <n v="5"/>
    <x v="9"/>
  </r>
  <r>
    <x v="0"/>
    <x v="21"/>
    <s v="Silva Veronica"/>
    <x v="0"/>
    <s v="DANIEL VIDENTE DE LO MÁS SORPRENDENTE Karma Familiar  Tarot ium  Solución a tus problemas en el acto.  Cel 388-155710262"/>
    <x v="20"/>
    <s v="Notables - Jujuy +1 Col"/>
    <x v="0"/>
    <n v="560.01428571428573"/>
    <x v="0"/>
    <x v="2"/>
    <m/>
    <x v="0"/>
    <x v="0"/>
    <n v="2"/>
    <n v="5.0000000012500001"/>
    <x v="0"/>
    <n v="5"/>
    <x v="13"/>
  </r>
  <r>
    <x v="1"/>
    <x v="22"/>
    <s v="Editora Sociedad Anonima"/>
    <x v="4"/>
    <s v="FM JUJUY UN DIA PERFECTO"/>
    <x v="21"/>
    <s v="Editorial Comercial - Jujuy"/>
    <x v="2"/>
    <n v="3279.5"/>
    <x v="1"/>
    <x v="3"/>
    <s v="SUDC"/>
    <x v="1"/>
    <x v="0"/>
    <n v="3"/>
    <n v="9.8777777777777782"/>
    <x v="0"/>
    <n v="10"/>
    <x v="14"/>
  </r>
  <r>
    <x v="1"/>
    <x v="23"/>
    <s v="VALERZA S.A."/>
    <x v="0"/>
    <s v="VALERZA PUBLICIDAD"/>
    <x v="22"/>
    <s v="Editorial Comercial - Jujuy"/>
    <x v="0"/>
    <n v="2186.33"/>
    <x v="1"/>
    <x v="3"/>
    <s v="SUDC"/>
    <x v="1"/>
    <x v="0"/>
    <n v="2"/>
    <n v="9.8777777777777782"/>
    <x v="0"/>
    <n v="10"/>
    <x v="7"/>
  </r>
  <r>
    <x v="1"/>
    <x v="24"/>
    <s v="VALERZA S.A."/>
    <x v="5"/>
    <s v="VALERZA PUBLICIDAD"/>
    <x v="22"/>
    <s v="Editorial Comercial - Jujuy"/>
    <x v="1"/>
    <n v="2186.33"/>
    <x v="1"/>
    <x v="3"/>
    <m/>
    <x v="0"/>
    <x v="0"/>
    <n v="2"/>
    <n v="9.8777777777777782"/>
    <x v="1"/>
    <n v="10"/>
    <x v="7"/>
  </r>
  <r>
    <x v="1"/>
    <x v="25"/>
    <s v="La Union del Norte SAICAF"/>
    <x v="0"/>
    <s v="EDICTO DE COMPROMISO PREVIO DE FUSION  Empresa Absorbente:  CUIT: 30-70364543-3 -SAN PATRICIO S.A. - CUIT: 30-70364390-2"/>
    <x v="23"/>
    <s v="Editorial Comercial - Jujuy"/>
    <x v="0"/>
    <n v="15843"/>
    <x v="0"/>
    <x v="3"/>
    <s v="SUDC"/>
    <x v="2"/>
    <x v="0"/>
    <n v="5"/>
    <n v="34.769777777777783"/>
    <x v="0"/>
    <n v="35"/>
    <x v="15"/>
  </r>
  <r>
    <x v="1"/>
    <x v="26"/>
    <s v="Direccion De Prensa Y Medios De Comunicacion"/>
    <x v="6"/>
    <s v="TOMBOLA... ABRIL 2023"/>
    <x v="24"/>
    <s v="Editorial Comercial - Jujuy cm OFICIAL"/>
    <x v="1"/>
    <n v="108538.46"/>
    <x v="1"/>
    <x v="3"/>
    <s v="SUDC"/>
    <x v="3"/>
    <x v="1"/>
    <n v="5"/>
    <n v="17.000000000722224"/>
    <x v="0"/>
    <n v="17"/>
    <x v="16"/>
  </r>
  <r>
    <x v="1"/>
    <x v="27"/>
    <s v="La Cocheria S.r.l."/>
    <x v="7"/>
    <s v="LA COCHERIA SRL"/>
    <x v="25"/>
    <s v="Editorial Comercial - Jujuy"/>
    <x v="1"/>
    <n v="824.31000000000006"/>
    <x v="1"/>
    <x v="4"/>
    <s v="SU"/>
    <x v="4"/>
    <x v="0"/>
    <n v="3"/>
    <n v="2.7657777777777777"/>
    <x v="0"/>
    <n v="3"/>
    <x v="17"/>
  </r>
  <r>
    <x v="1"/>
    <x v="28"/>
    <s v="WERCHOW MEDICINA PRIVADA S.A."/>
    <x v="8"/>
    <s v="WERCHOW OBITUARIO"/>
    <x v="26"/>
    <s v="Editorial Comercial - Jujuy"/>
    <x v="1"/>
    <n v="904.98"/>
    <x v="1"/>
    <x v="5"/>
    <s v="SER"/>
    <x v="4"/>
    <x v="0"/>
    <n v="5"/>
    <n v="2.7657777777777777"/>
    <x v="0"/>
    <n v="3"/>
    <x v="18"/>
  </r>
  <r>
    <x v="1"/>
    <x v="29"/>
    <s v="Farmacia Yrigoyen S C S"/>
    <x v="9"/>
    <s v="FARMACIA YRIGOYEN"/>
    <x v="27"/>
    <s v="Editorial Comercial - Jujuy"/>
    <x v="1"/>
    <n v="304.13"/>
    <x v="1"/>
    <x v="5"/>
    <m/>
    <x v="0"/>
    <x v="0"/>
    <n v="2"/>
    <n v="2.7657777777777777"/>
    <x v="0"/>
    <n v="3"/>
    <x v="19"/>
  </r>
  <r>
    <x v="1"/>
    <x v="30"/>
    <s v="Servicios Sociales Futuro S R L"/>
    <x v="10"/>
    <s v="SERIVICIO SOCIALES FUTURO..."/>
    <x v="28"/>
    <s v="Editorial Comercial - Jujuy"/>
    <x v="1"/>
    <n v="723.98"/>
    <x v="1"/>
    <x v="5"/>
    <s v="SER"/>
    <x v="4"/>
    <x v="0"/>
    <n v="5"/>
    <n v="2.7657777777777777"/>
    <x v="0"/>
    <n v="3"/>
    <x v="18"/>
  </r>
  <r>
    <x v="1"/>
    <x v="31"/>
    <s v="Direccion De Prensa Y Medios De Comunicacion"/>
    <x v="6"/>
    <s v="GOBIERNO DE JUJUY CONSULTA MEDIDA ISJ"/>
    <x v="29"/>
    <s v="Editorial Comercial - Jujuy cm OFICIAL"/>
    <x v="1"/>
    <n v="361794.86"/>
    <x v="1"/>
    <x v="6"/>
    <s v="PAG7"/>
    <x v="5"/>
    <x v="0"/>
    <n v="5"/>
    <n v="17.000000000722224"/>
    <x v="0"/>
    <n v="17"/>
    <x v="16"/>
  </r>
  <r>
    <x v="1"/>
    <x v="32"/>
    <s v="DEL NORTE SRL"/>
    <x v="11"/>
    <s v="NORTE SERVICIO SOCIALES ...."/>
    <x v="30"/>
    <s v="Editorial Comercial - Jujuy"/>
    <x v="1"/>
    <n v="887.96"/>
    <x v="1"/>
    <x v="7"/>
    <s v="OBI"/>
    <x v="4"/>
    <x v="0"/>
    <n v="3"/>
    <n v="2.7657777777777777"/>
    <x v="0"/>
    <n v="3"/>
    <x v="17"/>
  </r>
  <r>
    <x v="1"/>
    <x v="33"/>
    <s v="HORIZONTES ON LINE S.A."/>
    <x v="12"/>
    <s v="CARPAS 3H"/>
    <x v="31"/>
    <s v="Editorial Comercial - Jujuy"/>
    <x v="1"/>
    <n v="0"/>
    <x v="0"/>
    <x v="8"/>
    <s v="IDC"/>
    <x v="6"/>
    <x v="0"/>
    <n v="2"/>
    <n v="9.8777777777777782"/>
    <x v="0"/>
    <n v="10"/>
    <x v="7"/>
  </r>
  <r>
    <x v="1"/>
    <x v="34"/>
    <s v="Editora Sociedad Anonima"/>
    <x v="13"/>
    <s v="RUBEN RIVAROLA GOBERNADOR"/>
    <x v="32"/>
    <s v="Editorial Comercial - Jujuy"/>
    <x v="2"/>
    <n v="13719.5"/>
    <x v="1"/>
    <x v="9"/>
    <s v="IAC"/>
    <x v="7"/>
    <x v="0"/>
    <n v="5"/>
    <n v="16.989777777777778"/>
    <x v="0"/>
    <n v="17"/>
    <x v="16"/>
  </r>
  <r>
    <x v="1"/>
    <x v="35"/>
    <s v="UE-CISOR"/>
    <x v="0"/>
    <s v="La UNIDAD EJECUTORA EN CIENCIAS SOCIALES REGIONALES Y HUMANI0- San Salvador de Jujuy Argentina  Tel.+54 (0388) 154395727"/>
    <x v="33"/>
    <s v="Editorial Comercial - Jujuy"/>
    <x v="0"/>
    <n v="3387.04"/>
    <x v="0"/>
    <x v="9"/>
    <s v="IAC"/>
    <x v="8"/>
    <x v="1"/>
    <n v="2"/>
    <n v="13.433777777777777"/>
    <x v="0"/>
    <n v="13"/>
    <x v="8"/>
  </r>
  <r>
    <x v="1"/>
    <x v="36"/>
    <s v="Comite Provincial U.c.r."/>
    <x v="6"/>
    <s v="CARLOS SADIR EL CAMBIO A SEGUIR  GERRADO MORALES  LOS CORTESADOR   GM LISTA 502  GOBERNADOR  CARLOS SADIR  LISTA 502...."/>
    <x v="34"/>
    <s v="Editorial Comercial - Jujuy"/>
    <x v="1"/>
    <n v="145386.6"/>
    <x v="1"/>
    <x v="10"/>
    <s v="CTAPA"/>
    <x v="9"/>
    <x v="0"/>
    <n v="5"/>
    <n v="34.769777777777783"/>
    <x v="0"/>
    <n v="35"/>
    <x v="15"/>
  </r>
  <r>
    <x v="1"/>
    <x v="37"/>
    <s v="Alberdi Sociedad Anónima"/>
    <x v="14"/>
    <s v="COMODIN"/>
    <x v="35"/>
    <s v="Editorial Comercial - Jujuy"/>
    <x v="1"/>
    <n v="27149.32"/>
    <x v="1"/>
    <x v="10"/>
    <s v="CTAPA"/>
    <x v="10"/>
    <x v="0"/>
    <n v="5"/>
    <n v="34.769777777777783"/>
    <x v="1"/>
    <n v="35"/>
    <x v="15"/>
  </r>
  <r>
    <x v="2"/>
    <x v="38"/>
    <s v="Orellana  Adriana"/>
    <x v="0"/>
    <s v="LIC. ADRIANA PATRICIA ORELLANA  PSICOLOGA M.P. 126 PSICOTERAICIAS) BELGRANO 860  SEXTO PISO  SOLICITAR TURNOS 3885013996"/>
    <x v="36"/>
    <s v="Guia Prof 2 Col - Jujuy"/>
    <x v="0"/>
    <n v="59.62133333333334"/>
    <x v="0"/>
    <x v="11"/>
    <m/>
    <x v="0"/>
    <x v="0"/>
    <n v="2"/>
    <n v="2.0000000005"/>
    <x v="0"/>
    <n v="2"/>
    <x v="20"/>
  </r>
  <r>
    <x v="2"/>
    <x v="39"/>
    <s v="Calpanchay Adolfina"/>
    <x v="0"/>
    <s v="PODOLOGIA  Uñas encarnadas - Micosis (hongos) Pie diabético-. Juana Manuela Gorriti N° 16 y Alte Brown - Tel. 3884852247"/>
    <x v="37"/>
    <s v="Guia Prof 2 Col - Jujuy"/>
    <x v="0"/>
    <n v="149.05333333333331"/>
    <x v="1"/>
    <x v="12"/>
    <m/>
    <x v="0"/>
    <x v="0"/>
    <n v="2"/>
    <n v="5.0000000012500001"/>
    <x v="0"/>
    <n v="5"/>
    <x v="13"/>
  </r>
  <r>
    <x v="2"/>
    <x v="40"/>
    <s v="Poclava  Reinaldo"/>
    <x v="0"/>
    <s v="MARTILLERO PÚBLICO JUDICIAL Poclava, Reinaldo MP 205 Tasaciones - Remates - Ventas Cel 388-44286038 4428603"/>
    <x v="38"/>
    <s v="Guia Prof 2 Col - Jujuy"/>
    <x v="0"/>
    <n v="59.62133333333334"/>
    <x v="0"/>
    <x v="13"/>
    <m/>
    <x v="0"/>
    <x v="0"/>
    <n v="2"/>
    <n v="2.0000000005"/>
    <x v="0"/>
    <n v="2"/>
    <x v="20"/>
  </r>
  <r>
    <x v="2"/>
    <x v="41"/>
    <s v="Torres  Patricia"/>
    <x v="0"/>
    <s v="///LOGO//// CENTRO AUDIFONOS  PARA OIR MEJOR VARIEDAD DE AUD 20 hs. Solicite turno al 388-6868919 - Balcarce 578 6868919"/>
    <x v="39"/>
    <s v="Guia Prof 2 Col - Jujuy"/>
    <x v="0"/>
    <n v="119.24283333333334"/>
    <x v="0"/>
    <x v="13"/>
    <m/>
    <x v="0"/>
    <x v="0"/>
    <n v="2"/>
    <n v="4.0000000010000001"/>
    <x v="0"/>
    <n v="4"/>
    <x v="12"/>
  </r>
  <r>
    <x v="2"/>
    <x v="42"/>
    <s v="CRUZ DIEGO FERNANDO"/>
    <x v="0"/>
    <s v="LIC. DIEGO CRUZ QUIROPRAXIA  ////CAMBIAR DIRECCION///  OTERO N° 464, 1er Piso, Consultorio 15 Cel 388-154096585"/>
    <x v="40"/>
    <s v="Guia Prof 2 Col - Jujuy"/>
    <x v="0"/>
    <n v="59.62133333333334"/>
    <x v="0"/>
    <x v="14"/>
    <m/>
    <x v="0"/>
    <x v="0"/>
    <n v="2"/>
    <n v="2.0000000005"/>
    <x v="0"/>
    <n v="2"/>
    <x v="20"/>
  </r>
  <r>
    <x v="2"/>
    <x v="43"/>
    <s v="Palavecino Rodriguez Jose Miguel"/>
    <x v="0"/>
    <s v="PROBLEMAS DE COLUMNA Y EXTREMIDADES                 QUIROPRAM. Palavecino  M.P. 1899 Independencia 518 - Cel. 155090998."/>
    <x v="41"/>
    <s v="Guia Prof 2 Col - Jujuy"/>
    <x v="0"/>
    <n v="89.432000000000002"/>
    <x v="0"/>
    <x v="14"/>
    <m/>
    <x v="0"/>
    <x v="0"/>
    <n v="2"/>
    <n v="3.0000000007500001"/>
    <x v="0"/>
    <n v="3"/>
    <x v="19"/>
  </r>
  <r>
    <x v="2"/>
    <x v="44"/>
    <s v="Empresa La Piedad S.A."/>
    <x v="15"/>
    <s v="CEMER..."/>
    <x v="42"/>
    <s v="Guia Prof 2 Col - Jujuy"/>
    <x v="1"/>
    <n v="154.67466666666667"/>
    <x v="0"/>
    <x v="15"/>
    <m/>
    <x v="0"/>
    <x v="0"/>
    <n v="2"/>
    <n v="4.0000000010000001"/>
    <x v="0"/>
    <n v="4"/>
    <x v="12"/>
  </r>
  <r>
    <x v="2"/>
    <x v="45"/>
    <s v="Olmos Maria Cristina"/>
    <x v="0"/>
    <s v="    LIC.MARIA CRISTINA OLMOS           MUSICOTERAPEUTA      ras Sociales  con (C.U.D.) y Particulares TURNOS: 3888442291"/>
    <x v="43"/>
    <s v="Guia Prof 2 Col - Jujuy"/>
    <x v="0"/>
    <n v="59.62133333333334"/>
    <x v="0"/>
    <x v="16"/>
    <m/>
    <x v="0"/>
    <x v="0"/>
    <n v="2"/>
    <n v="2.0000000005"/>
    <x v="0"/>
    <n v="2"/>
    <x v="20"/>
  </r>
  <r>
    <x v="2"/>
    <x v="46"/>
    <s v="Michel  Natalia"/>
    <x v="0"/>
    <s v="MICHEL ESTUDIO JURIDICO AVISO ARMADO  SE MODIFICA IMAGEN"/>
    <x v="44"/>
    <s v="Guia Prof 2 Col - Jujuy"/>
    <x v="0"/>
    <n v="208.67466666666667"/>
    <x v="0"/>
    <x v="17"/>
    <m/>
    <x v="0"/>
    <x v="0"/>
    <n v="2"/>
    <n v="7.0000000017499984"/>
    <x v="0"/>
    <n v="7"/>
    <x v="10"/>
  </r>
  <r>
    <x v="2"/>
    <x v="47"/>
    <s v="Reyes  Arturo Rodrigo"/>
    <x v="0"/>
    <s v="PONE EN ORDEN LA DOCUMENTACION DE TUS TERRENOS              -  CENTRO JURIDICO NOA CEL.388 4759631"/>
    <x v="45"/>
    <s v="Guia Prof 2 Col - Jujuy"/>
    <x v="0"/>
    <n v="89.432000000000002"/>
    <x v="0"/>
    <x v="17"/>
    <m/>
    <x v="0"/>
    <x v="0"/>
    <n v="2"/>
    <n v="3.0000000007500001"/>
    <x v="0"/>
    <n v="3"/>
    <x v="19"/>
  </r>
  <r>
    <x v="2"/>
    <x v="48"/>
    <s v="Reyes  Arturo Rodrigo"/>
    <x v="0"/>
    <s v="JUBILACIONES, PENSIONES, REAJUSTE DE HABERES.- Dr. Reyes Rod5775043 Dr. Reyes Martin 3884868136 Hipólito Yrigoyen N° 680"/>
    <x v="46"/>
    <s v="Guia Prof 2 Col - Jujuy"/>
    <x v="0"/>
    <n v="89.432000000000002"/>
    <x v="0"/>
    <x v="17"/>
    <m/>
    <x v="0"/>
    <x v="0"/>
    <n v="2"/>
    <n v="3.0000000007500001"/>
    <x v="0"/>
    <n v="3"/>
    <x v="19"/>
  </r>
  <r>
    <x v="2"/>
    <x v="49"/>
    <s v="Armada  Ailen"/>
    <x v="0"/>
    <s v="-ALIMENTOS- SUCESIONES- -DIVORCIOS- RÉGIMEN DE COMUNICACIÓN udio jurídico calle Alvear 590 1° A  Tu consulta no molesta."/>
    <x v="47"/>
    <s v="Guia Prof 2 Col - Jujuy"/>
    <x v="0"/>
    <n v="119.24266666666668"/>
    <x v="0"/>
    <x v="17"/>
    <m/>
    <x v="0"/>
    <x v="0"/>
    <n v="2"/>
    <n v="4.0000000010000001"/>
    <x v="0"/>
    <n v="4"/>
    <x v="12"/>
  </r>
  <r>
    <x v="3"/>
    <x v="50"/>
    <s v="Argote Gabriela"/>
    <x v="0"/>
    <s v="+ ARGOTE, Juan Pastor (q.e.p.d.) Falleció el día 3 de abril  San Francisco para rogar por el eterno descanso de su alma."/>
    <x v="48"/>
    <s v="Obituario Modulo - Jujuy"/>
    <x v="0"/>
    <n v="2543.8399999999997"/>
    <x v="1"/>
    <x v="18"/>
    <m/>
    <x v="0"/>
    <x v="0"/>
    <n v="2"/>
    <n v="9.8777777777777782"/>
    <x v="0"/>
    <n v="10"/>
    <x v="7"/>
  </r>
  <r>
    <x v="4"/>
    <x v="51"/>
    <s v="Dergam Srl"/>
    <x v="16"/>
    <s v="DERGAM"/>
    <x v="49"/>
    <s v="Editorial Comercial - Jujuy"/>
    <x v="1"/>
    <n v="0"/>
    <x v="1"/>
    <x v="4"/>
    <s v="SU"/>
    <x v="5"/>
    <x v="0"/>
    <n v="3"/>
    <n v="9.8777777777777782"/>
    <x v="0"/>
    <n v="10"/>
    <x v="14"/>
  </r>
  <r>
    <x v="4"/>
    <x v="52"/>
    <s v="Club Atletico Gimnasia y Esgrima"/>
    <x v="17"/>
    <s v="BINGO LOBO"/>
    <x v="50"/>
    <s v="Editorial Comercial - Jujuy"/>
    <x v="1"/>
    <n v="41161.5"/>
    <x v="1"/>
    <x v="10"/>
    <s v="CTAPA"/>
    <x v="11"/>
    <x v="0"/>
    <n v="5"/>
    <n v="34.769777777777783"/>
    <x v="0"/>
    <n v="35"/>
    <x v="15"/>
  </r>
  <r>
    <x v="5"/>
    <x v="53"/>
    <s v="Cine Teatro Alfa S.R.L."/>
    <x v="18"/>
    <s v="CINE ALFA..."/>
    <x v="51"/>
    <s v="Editorial Comercial - Jujuy"/>
    <x v="2"/>
    <n v="5497.6"/>
    <x v="1"/>
    <x v="3"/>
    <s v="SUDC"/>
    <x v="12"/>
    <x v="0"/>
    <n v="5"/>
    <n v="13.433777777777777"/>
    <x v="0"/>
    <n v="13"/>
    <x v="21"/>
  </r>
  <r>
    <x v="5"/>
    <x v="54"/>
    <s v="Municipalidad De San Salvador De Jujuy"/>
    <x v="19"/>
    <s v="4 PÁGINAS ESPECIALES DE  SUPLEMENTO LA MUNI EN ACCIÓN"/>
    <x v="52"/>
    <s v="Editorial Comercial - Jujuy OFICIAL"/>
    <x v="1"/>
    <n v="1216289.5900000001"/>
    <x v="1"/>
    <x v="4"/>
    <m/>
    <x v="0"/>
    <x v="1"/>
    <n v="5"/>
    <n v="34.769777777777783"/>
    <x v="0"/>
    <n v="35"/>
    <x v="1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52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useAutoFormatting="1" rowGrandTotals="0" colGrandTotals="0" mergeItem="1" createdVersion="4" indent="0" compact="0" compactData="0" multipleFieldFilters="0" customListSort="0">
  <location ref="A1:L74" firstHeaderRow="1" firstDataRow="1" firstDataCol="11"/>
  <pivotFields count="19">
    <pivotField axis="axisRow" compact="0" outline="0" showAll="0" defaultSubtotal="0">
      <items count="16">
        <item m="1" x="14"/>
        <item m="1" x="7"/>
        <item m="1" x="6"/>
        <item m="1" x="13"/>
        <item m="1" x="12"/>
        <item m="1" x="10"/>
        <item m="1" x="8"/>
        <item x="5"/>
        <item m="1" x="15"/>
        <item x="4"/>
        <item m="1" x="9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7240"/>
        <item m="1" x="73"/>
        <item m="1" x="5688"/>
        <item m="1" x="5645"/>
        <item m="1" x="7916"/>
        <item m="1" x="3622"/>
        <item m="1" x="4348"/>
        <item m="1" x="7461"/>
        <item m="1" x="6784"/>
        <item m="1" x="3109"/>
        <item m="1" x="3561"/>
        <item m="1" x="5441"/>
        <item m="1" x="201"/>
        <item m="1" x="7958"/>
        <item m="1" x="1414"/>
        <item m="1" x="5255"/>
        <item m="1" x="4797"/>
        <item m="1" x="5087"/>
        <item m="1" x="1557"/>
        <item m="1" x="2996"/>
        <item m="1" x="6993"/>
        <item m="1" x="2691"/>
        <item m="1" x="7462"/>
        <item m="1" x="6630"/>
        <item m="1" x="2322"/>
        <item m="1" x="442"/>
        <item m="1" x="1195"/>
        <item m="1" x="2708"/>
        <item m="1" x="4798"/>
        <item m="1" x="2251"/>
        <item m="1" x="6000"/>
        <item m="1" x="7439"/>
        <item m="1" x="982"/>
        <item m="1" x="1724"/>
        <item m="1" x="4853"/>
        <item m="1" x="5385"/>
        <item m="1" x="5068"/>
        <item m="1" x="2484"/>
        <item m="1" x="4915"/>
        <item m="1" x="6709"/>
        <item m="1" x="2299"/>
        <item m="1" x="7483"/>
        <item m="1" x="2044"/>
        <item m="1" x="173"/>
        <item m="1" x="1304"/>
        <item m="1" x="6639"/>
        <item m="1" x="6008"/>
        <item m="1" x="961"/>
        <item m="1" x="1019"/>
        <item m="1" x="2019"/>
        <item m="1" x="3139"/>
        <item m="1" x="1697"/>
        <item m="1" x="2762"/>
        <item m="1" x="443"/>
        <item m="1" x="769"/>
        <item m="1" x="3171"/>
        <item m="1" x="1760"/>
        <item m="1" x="2787"/>
        <item m="1" x="6147"/>
        <item m="1" x="3208"/>
        <item m="1" x="1305"/>
        <item m="1" x="2763"/>
        <item m="1" x="1467"/>
        <item m="1" x="2405"/>
        <item m="1" x="2357"/>
        <item m="1" x="2068"/>
        <item m="1" x="6435"/>
        <item m="1" x="6109"/>
        <item m="1" x="3273"/>
        <item m="1" x="5829"/>
        <item m="1" x="6499"/>
        <item m="1" x="207"/>
        <item m="1" x="2815"/>
        <item m="1" x="4010"/>
        <item m="1" x="6546"/>
        <item m="1" x="7209"/>
        <item m="1" x="6195"/>
        <item m="1" x="3321"/>
        <item m="1" x="1835"/>
        <item m="1" x="4463"/>
        <item m="1" x="336"/>
        <item m="1" x="7736"/>
        <item m="1" x="4501"/>
        <item m="1" x="5206"/>
        <item m="1" x="5503"/>
        <item m="1" x="3731"/>
        <item m="1" x="4587"/>
        <item m="1" x="5861"/>
        <item m="1" x="3752"/>
        <item m="1" x="5568"/>
        <item m="1" x="3340"/>
        <item m="1" x="1500"/>
        <item m="1" x="5813"/>
        <item m="1" x="2528"/>
        <item m="1" x="6500"/>
        <item m="1" x="6476"/>
        <item m="1" x="3359"/>
        <item m="1" x="5331"/>
        <item m="1" x="2629"/>
        <item m="1" x="5904"/>
        <item m="1" x="5830"/>
        <item m="1" x="2197"/>
        <item m="1" x="6580"/>
        <item m="1" x="6196"/>
        <item m="1" x="7258"/>
        <item m="1" x="5504"/>
        <item m="1" x="7642"/>
        <item m="1" x="3360"/>
        <item m="1" x="6601"/>
        <item m="1" x="3421"/>
        <item m="1" x="4173"/>
        <item m="1" x="3815"/>
        <item m="1" x="7387"/>
        <item m="1" x="4543"/>
        <item m="1" x="4637"/>
        <item m="1" x="5207"/>
        <item m="1" x="6602"/>
        <item m="1" x="4636"/>
        <item m="1" x="5356"/>
        <item m="1" x="5952"/>
        <item m="1" x="3014"/>
        <item m="1" x="6740"/>
        <item m="1" x="6239"/>
        <item m="1" x="3478"/>
        <item m="1" x="5264"/>
        <item m="1" x="4109"/>
        <item m="1" x="2417"/>
        <item m="1" x="3152"/>
        <item m="1" x="371"/>
        <item m="1" x="7794"/>
        <item m="1" x="4542"/>
        <item m="1" x="5248"/>
        <item m="1" x="4880"/>
        <item m="1" x="6645"/>
        <item m="1" x="2630"/>
        <item m="1" x="3452"/>
        <item m="1" x="4703"/>
        <item m="1" x="5987"/>
        <item m="1" x="5905"/>
        <item m="1" x="7025"/>
        <item m="1" x="7412"/>
        <item m="1" x="4992"/>
        <item m="1" x="525"/>
        <item m="1" x="5848"/>
        <item m="1" x="7839"/>
        <item m="1" x="5988"/>
        <item m="1" x="168"/>
        <item m="1" x="2292"/>
        <item m="1" x="5288"/>
        <item m="1" x="3066"/>
        <item m="1" x="3479"/>
        <item m="1" x="4616"/>
        <item m="1" x="2317"/>
        <item m="1" x="4260"/>
        <item m="1" x="5316"/>
        <item m="1" x="7052"/>
        <item m="1" x="2651"/>
        <item m="1" x="681"/>
        <item m="1" x="7413"/>
        <item m="1" x="6009"/>
        <item m="1" x="6790"/>
        <item m="1" x="3118"/>
        <item m="1" x="2103"/>
        <item m="1" x="3502"/>
        <item m="1" x="1256"/>
        <item m="1" x="6240"/>
        <item m="1" x="2753"/>
        <item m="1" x="2009"/>
        <item m="1" x="6603"/>
        <item m="1" x="1062"/>
        <item m="1" x="2085"/>
        <item m="1" x="1274"/>
        <item m="1" x="5021"/>
        <item m="1" x="794"/>
        <item m="1" x="2444"/>
        <item m="1" x="5099"/>
        <item m="1" x="1566"/>
        <item m="1" x="7890"/>
        <item m="1" x="4755"/>
        <item m="1" x="6029"/>
        <item m="1" x="499"/>
        <item m="1" x="236"/>
        <item m="1" x="4172"/>
        <item m="1" x="3287"/>
        <item m="1" x="2060"/>
        <item m="1" x="403"/>
        <item m="1" x="795"/>
        <item m="1" x="6762"/>
        <item m="1" x="6079"/>
        <item m="1" x="780"/>
        <item m="1" x="6694"/>
        <item m="1" x="1775"/>
        <item m="1" x="6126"/>
        <item m="1" x="2086"/>
        <item m="1" x="540"/>
        <item m="1" x="828"/>
        <item m="1" x="1444"/>
        <item m="1" x="4540"/>
        <item m="1" x="2166"/>
        <item m="1" x="3770"/>
        <item m="1" x="4127"/>
        <item m="1" x="845"/>
        <item m="1" x="796"/>
        <item m="1" x="1424"/>
        <item m="1" x="5128"/>
        <item m="1" x="285"/>
        <item m="1" x="4285"/>
        <item m="1" x="3744"/>
        <item m="1" x="1181"/>
        <item m="1" x="885"/>
        <item m="1" x="2830"/>
        <item m="1" x="2915"/>
        <item m="1" x="846"/>
        <item m="1" x="3406"/>
        <item m="1" x="1490"/>
        <item m="1" x="1151"/>
        <item m="1" x="1956"/>
        <item m="1" x="1616"/>
        <item m="1" x="593"/>
        <item m="1" x="321"/>
        <item m="1" x="3407"/>
        <item m="1" x="2623"/>
        <item m="1" x="3973"/>
        <item m="1" x="4581"/>
        <item m="1" x="1672"/>
        <item m="1" x="2990"/>
        <item m="1" x="1625"/>
        <item m="1" x="4183"/>
        <item m="1" x="3562"/>
        <item m="1" x="7779"/>
        <item m="1" x="7395"/>
        <item m="1" x="2276"/>
        <item m="1" x="1240"/>
        <item m="1" x="7861"/>
        <item m="1" x="5632"/>
        <item m="1" x="2310"/>
        <item m="1" x="4955"/>
        <item m="1" x="4322"/>
        <item m="1" x="7084"/>
        <item m="1" x="1949"/>
        <item m="1" x="6352"/>
        <item m="1" x="1601"/>
        <item m="1" x="2677"/>
        <item m="1" x="5129"/>
        <item m="1" x="1257"/>
        <item m="1" x="4240"/>
        <item m="1" x="5958"/>
        <item m="1" x="6353"/>
        <item m="1" x="1923"/>
        <item m="1" x="3023"/>
        <item m="1" x="4933"/>
        <item m="1" x="7431"/>
        <item m="1" x="7226"/>
        <item m="1" x="5994"/>
        <item m="1" x="4377"/>
        <item m="1" x="1275"/>
        <item m="1" x="7831"/>
        <item m="1" x="7925"/>
        <item m="1" x="3885"/>
        <item m="1" x="6771"/>
        <item m="1" x="5036"/>
        <item m="1" x="4691"/>
        <item m="1" x="3606"/>
        <item m="1" x="4294"/>
        <item m="1" x="4426"/>
        <item m="1" x="4399"/>
        <item m="1" x="4378"/>
        <item m="1" x="2754"/>
        <item m="1" x="5728"/>
        <item m="1" x="6035"/>
        <item m="1" x="7085"/>
        <item m="1" x="3634"/>
        <item m="1" x="5658"/>
        <item m="1" x="6015"/>
        <item m="1" x="5100"/>
        <item m="1" x="5746"/>
        <item m="1" x="6846"/>
        <item m="1" x="1720"/>
        <item m="1" x="2808"/>
        <item m="1" x="2728"/>
        <item m="1" x="6331"/>
        <item m="1" x="4427"/>
        <item m="1" x="5428"/>
        <item m="1" x="6036"/>
        <item m="1" x="7113"/>
        <item m="1" x="5130"/>
        <item m="1" x="6058"/>
        <item m="1" x="6492"/>
        <item m="1" x="2147"/>
        <item m="1" x="5053"/>
        <item m="1" x="5786"/>
        <item m="1" x="5762"/>
        <item m="1" x="3650"/>
        <item m="1" x="7917"/>
        <item m="1" x="4479"/>
        <item m="1" x="7492"/>
        <item m="1" x="6401"/>
        <item m="1" x="6402"/>
        <item m="1" x="7451"/>
        <item m="1" x="6354"/>
        <item m="1" x="6743"/>
        <item m="1" x="4653"/>
        <item m="1" x="7278"/>
        <item m="1" x="2038"/>
        <item m="1" x="2831"/>
        <item m="1" x="5787"/>
        <item m="1" x="5076"/>
        <item m="1" x="441"/>
        <item m="1" x="3072"/>
        <item m="1" x="7295"/>
        <item m="1" x="162"/>
        <item m="1" x="7112"/>
        <item m="1" x="7780"/>
        <item m="1" x="5809"/>
        <item m="1" x="6427"/>
        <item m="1" x="7557"/>
        <item m="1" x="6539"/>
        <item m="1" x="7967"/>
        <item m="1" x="4048"/>
        <item m="1" x="6130"/>
        <item m="1" x="1425"/>
        <item m="1" x="7203"/>
        <item m="1" x="6900"/>
        <item m="1" x="4174"/>
        <item m="1" x="6929"/>
        <item m="1" x="85"/>
        <item m="1" x="2564"/>
        <item m="1" x="103"/>
        <item m="1" x="648"/>
        <item m="1" x="6125"/>
        <item m="1" x="1567"/>
        <item m="1" x="102"/>
        <item m="1" x="4142"/>
        <item m="1" x="1208"/>
        <item m="1" x="2293"/>
        <item m="1" x="6100"/>
        <item m="1" x="3385"/>
        <item m="1" x="3881"/>
        <item m="1" x="3130"/>
        <item m="1" x="1138"/>
        <item m="1" x="2343"/>
        <item m="1" x="1916"/>
        <item m="1" x="4970"/>
        <item m="1" x="3067"/>
        <item m="1" x="5845"/>
        <item m="1" x="720"/>
        <item m="1" x="1641"/>
        <item m="1" x="2608"/>
        <item m="1" x="4175"/>
        <item m="1" x="7705"/>
        <item m="1" x="3284"/>
        <item m="1" x="4070"/>
        <item m="1" x="5122"/>
        <item m="1" x="760"/>
        <item m="1" x="1684"/>
        <item m="1" x="86"/>
        <item m="1" x="636"/>
        <item m="1" x="682"/>
        <item m="1" x="539"/>
        <item m="1" x="248"/>
        <item m="1" x="284"/>
        <item m="1" x="144"/>
        <item m="1" x="7252"/>
        <item m="1" x="4286"/>
        <item m="1" x="862"/>
        <item m="1" x="1287"/>
        <item m="1" x="2319"/>
        <item m="1" x="1338"/>
        <item m="1" x="3088"/>
        <item m="1" x="2318"/>
        <item m="1" x="4314"/>
        <item m="1" x="7725"/>
        <item m="1" x="414"/>
        <item m="1" x="992"/>
        <item m="1" x="2652"/>
        <item m="1" x="703"/>
        <item m="1" x="3453"/>
        <item m="1" x="1585"/>
        <item m="1" x="940"/>
        <item m="1" x="6538"/>
        <item m="1" x="684"/>
        <item m="1" x="3198"/>
        <item m="1" x="182"/>
        <item m="1" x="971"/>
        <item m="1" x="5878"/>
        <item m="1" x="6991"/>
        <item m="1" x="6171"/>
        <item m="1" x="3535"/>
        <item m="1" x="1359"/>
        <item m="1" x="704"/>
        <item m="1" x="1288"/>
        <item m="1" x="3153"/>
        <item m="1" x="4341"/>
        <item m="1" x="7854"/>
        <item m="1" x="778"/>
        <item m="1" x="440"/>
        <item m="1" x="3939"/>
        <item m="1" x="685"/>
        <item m="1" x="6581"/>
        <item m="1" x="2028"/>
        <item m="1" x="5014"/>
        <item m="1" x="3257"/>
        <item m="1" x="7114"/>
        <item m="1" x="7086"/>
        <item m="1" x="232"/>
        <item m="1" x="477"/>
        <item m="1" x="3222"/>
        <item m="1" x="1961"/>
        <item m="1" x="2144"/>
        <item m="1" x="4421"/>
        <item m="1" x="2747"/>
        <item m="1" x="4394"/>
        <item m="1" x="7781"/>
        <item m="1" x="742"/>
        <item m="1" x="1391"/>
        <item m="1" x="7750"/>
        <item m="1" x="721"/>
        <item m="1" x="2179"/>
        <item m="1" x="183"/>
        <item m="1" x="3627"/>
        <item m="1" x="1010"/>
        <item m="1" x="111"/>
        <item m="1" x="761"/>
        <item m="1" x="2459"/>
        <item m="1" x="2222"/>
        <item m="1" x="2069"/>
        <item m="1" x="3925"/>
        <item m="1" x="3140"/>
        <item m="1" x="3451"/>
        <item m="1" x="6216"/>
        <item m="1" x="5862"/>
        <item m="1" x="5470"/>
        <item m="1" x="2327"/>
        <item m="1" x="7946"/>
        <item m="1" x="2803"/>
        <item m="1" x="4715"/>
        <item m="1" x="5395"/>
        <item m="1" x="5413"/>
        <item m="1" x="6022"/>
        <item m="1" x="4790"/>
        <item m="1" x="6111"/>
        <item m="1" x="6920"/>
        <item m="1" x="7855"/>
        <item m="1" x="3710"/>
        <item m="1" x="5527"/>
        <item m="1" x="1088"/>
        <item m="1" x="2383"/>
        <item m="1" x="1786"/>
        <item m="1" x="6257"/>
        <item m="1" x="3341"/>
        <item m="1" x="4502"/>
        <item m="1" x="5831"/>
        <item m="1" x="4522"/>
        <item m="1" x="4908"/>
        <item m="1" x="4060"/>
        <item m="1" x="7620"/>
        <item m="1" x="4810"/>
        <item m="1" x="6829"/>
        <item m="1" x="4110"/>
        <item m="1" x="6921"/>
        <item m="1" x="6176"/>
        <item m="1" x="3322"/>
        <item m="1" x="1119"/>
        <item m="1" x="2565"/>
        <item m="1" x="2951"/>
        <item m="1" x="4082"/>
        <item m="1" x="3386"/>
        <item m="1" x="5590"/>
        <item m="1" x="6563"/>
        <item m="1" x="6241"/>
        <item m="1" x="7315"/>
        <item m="1" x="4837"/>
        <item m="1" x="2432"/>
        <item m="1" x="473"/>
        <item m="1" x="4768"/>
        <item m="1" x="5437"/>
        <item m="1" x="5457"/>
        <item m="1" x="6068"/>
        <item m="1" x="5633"/>
        <item m="1" x="6942"/>
        <item m="1" x="3422"/>
        <item m="1" x="5289"/>
        <item m="1" x="5569"/>
        <item m="1" x="2922"/>
        <item m="1" x="5528"/>
        <item m="1" x="5545"/>
        <item m="1" x="6177"/>
        <item m="1" x="7598"/>
        <item m="1" x="1158"/>
        <item m="1" x="2198"/>
        <item m="1" x="3361"/>
        <item m="1" x="1917"/>
        <item m="1" x="6197"/>
        <item m="1" x="4231"/>
        <item m="1" x="7718"/>
        <item m="1" x="4544"/>
        <item m="1" x="5906"/>
        <item m="1" x="4944"/>
        <item m="1" x="3387"/>
        <item m="1" x="6886"/>
        <item m="1" x="5674"/>
        <item m="1" x="5570"/>
        <item m="1" x="2631"/>
        <item m="1" x="5930"/>
        <item m="1" x="5673"/>
        <item m="1" x="5015"/>
        <item m="1" x="7316"/>
        <item m="1" x="5317"/>
        <item m="1" x="6943"/>
        <item m="1" x="7599"/>
        <item m="1" x="4638"/>
        <item m="1" x="4143"/>
        <item m="1" x="6030"/>
        <item m="1" x="4261"/>
        <item m="1" x="7003"/>
        <item m="1" x="5571"/>
        <item m="1" x="5611"/>
        <item m="1" x="4287"/>
        <item m="1" x="6127"/>
        <item m="1" x="5073"/>
        <item m="1" x="6010"/>
        <item m="1" x="471"/>
        <item m="1" x="6289"/>
        <item m="1" x="3536"/>
        <item m="1" x="5488"/>
        <item m="1" x="6110"/>
        <item m="1" x="5709"/>
        <item m="1" x="4945"/>
        <item m="1" x="6347"/>
        <item m="1" x="4342"/>
        <item m="1" x="1648"/>
        <item m="1" x="7746"/>
        <item m="1" x="6288"/>
        <item m="1" x="2349"/>
        <item m="1" x="5653"/>
        <item m="1" x="2755"/>
        <item m="1" x="2061"/>
        <item m="1" x="7709"/>
        <item m="1" x="7418"/>
        <item m="1" x="5744"/>
        <item m="1" x="4199"/>
        <item m="1" x="5696"/>
        <item m="1" x="500"/>
        <item m="1" x="513"/>
        <item m="1" x="1627"/>
        <item m="1" x="1100"/>
        <item m="1" x="1733"/>
        <item m="1" x="811"/>
        <item m="1" x="5526"/>
        <item m="1" x="6158"/>
        <item m="1" x="1710"/>
        <item m="1" x="3163"/>
        <item m="1" x="1080"/>
        <item m="1" x="2106"/>
        <item m="1" x="1128"/>
        <item m="1" x="1776"/>
        <item m="1" x="7813"/>
        <item m="1" x="5780"/>
        <item m="1" x="1175"/>
        <item m="1" x="1825"/>
        <item m="1" x="2210"/>
        <item m="1" x="5726"/>
        <item m="1" x="1734"/>
        <item m="1" x="541"/>
        <item m="1" x="1794"/>
        <item m="1" x="1843"/>
        <item m="1" x="1224"/>
        <item m="1" x="514"/>
        <item m="1" x="1711"/>
        <item m="1" x="2445"/>
        <item m="1" x="3312"/>
        <item m="1" x="1033"/>
        <item m="1" x="3924"/>
        <item m="1" x="542"/>
        <item m="1" x="1957"/>
        <item m="1" x="2422"/>
        <item m="1" x="829"/>
        <item m="1" x="267"/>
        <item m="1" x="501"/>
        <item m="1" x="1795"/>
        <item m="1" x="3288"/>
        <item m="1" x="4025"/>
        <item m="1" x="2945"/>
        <item m="1" x="578"/>
        <item m="1" x="2497"/>
        <item m="1" x="1994"/>
        <item m="1" x="4075"/>
        <item m="1" x="1826"/>
        <item m="1" x="4102"/>
        <item m="1" x="2128"/>
        <item m="1" x="7862"/>
        <item m="1" x="5758"/>
        <item m="1" x="1885"/>
        <item m="1" x="528"/>
        <item m="1" x="634"/>
        <item m="1" x="3258"/>
        <item m="1" x="1099"/>
        <item m="1" x="1844"/>
        <item m="1" x="1536"/>
        <item m="1" x="2540"/>
        <item m="1" x="2186"/>
        <item m="1" x="3408"/>
        <item m="1" x="286"/>
        <item m="1" x="873"/>
        <item m="1" x="615"/>
        <item m="1" x="4255"/>
        <item m="1" x="556"/>
        <item m="1" x="323"/>
        <item m="1" x="699"/>
        <item m="1" x="1867"/>
        <item m="1" x="579"/>
        <item m="1" x="1129"/>
        <item m="1" x="923"/>
        <item m="1" x="700"/>
        <item m="1" x="4876"/>
        <item m="1" x="117"/>
        <item m="1" x="577"/>
        <item m="1" x="2541"/>
        <item m="1" x="1112"/>
        <item m="1" x="4129"/>
        <item m="1" x="4988"/>
        <item m="1" x="5821"/>
        <item m="1" x="1842"/>
        <item m="1" x="2187"/>
        <item m="1" x="4160"/>
        <item m="1" x="735"/>
        <item m="1" x="1777"/>
        <item m="1" x="2788"/>
        <item m="1" x="1113"/>
        <item m="1" x="759"/>
        <item m="1" x="645"/>
        <item m="1" x="1746"/>
        <item m="1" x="3409"/>
        <item m="1" x="4942"/>
        <item m="1" x="4256"/>
        <item m="1" x="1950"/>
        <item m="1" x="2658"/>
        <item m="1" x="1880"/>
        <item m="1" x="3037"/>
        <item m="1" x="5300"/>
        <item m="1" x="3410"/>
        <item m="1" x="4128"/>
        <item m="1" x="5481"/>
        <item m="1" x="7782"/>
        <item m="1" x="1910"/>
        <item m="1" x="7035"/>
        <item m="1" x="7359"/>
        <item m="1" x="6611"/>
        <item m="1" x="5974"/>
        <item m="1" x="6631"/>
        <item m="1" x="4323"/>
        <item m="1" x="4161"/>
        <item m="1" x="4159"/>
        <item m="1" x="6632"/>
        <item m="1" x="4379"/>
        <item m="1" x="1276"/>
        <item m="1" x="1966"/>
        <item m="1" x="5729"/>
        <item m="1" x="4295"/>
        <item m="1" x="1884"/>
        <item m="1" x="1958"/>
        <item m="1" x="3886"/>
        <item m="1" x="60"/>
        <item m="1" x="2575"/>
        <item m="1" x="6332"/>
        <item m="1" x="3511"/>
        <item m="1" x="3305"/>
        <item m="1" x="3048"/>
        <item m="1" x="6675"/>
        <item m="1" x="6085"/>
        <item m="1" x="6698"/>
        <item m="1" x="6469"/>
        <item m="1" x="3863"/>
        <item m="1" x="5077"/>
        <item m="1" x="3586"/>
        <item m="1" x="6819"/>
        <item m="1" x="1995"/>
        <item m="1" x="1176"/>
        <item m="1" x="4349"/>
        <item m="1" x="4226"/>
        <item m="1" x="4380"/>
        <item m="1" x="6355"/>
        <item m="1" x="844"/>
        <item m="1" x="5975"/>
        <item m="1" x="5101"/>
        <item m="1" x="5747"/>
        <item m="1" x="4428"/>
        <item m="1" x="5542"/>
        <item m="1" x="6428"/>
        <item m="1" x="7516"/>
        <item m="1" x="7180"/>
        <item m="1" x="1938"/>
        <item m="1" x="5429"/>
        <item m="1" x="5131"/>
        <item m="1" x="3635"/>
        <item m="1" x="7558"/>
        <item m="1" x="2050"/>
        <item m="1" x="97"/>
        <item m="1" x="2624"/>
        <item m="1" x="6381"/>
        <item m="1" x="7918"/>
        <item m="1" x="3913"/>
        <item m="1" x="6252"/>
        <item m="1" x="6847"/>
        <item m="1" x="7593"/>
        <item m="1" x="4806"/>
        <item m="1" x="6493"/>
        <item m="1" x="2852"/>
        <item m="1" x="1368"/>
        <item m="1" x="3668"/>
        <item m="1" x="7636"/>
        <item m="1" x="6519"/>
        <item m="1" x="2107"/>
        <item m="1" x="6101"/>
        <item m="1" x="7685"/>
        <item m="1" x="4049"/>
        <item m="1" x="7648"/>
        <item m="1" x="2098"/>
        <item m="1" x="4710"/>
        <item m="1" x="2049"/>
        <item m="1" x="5763"/>
        <item m="1" x="6772"/>
        <item m="1" x="2129"/>
        <item m="1" x="7517"/>
        <item m="1" x="6152"/>
        <item m="1" x="6877"/>
        <item m="1" x="7939"/>
        <item m="1" x="7574"/>
        <item m="1" x="1772"/>
        <item m="1" x="6820"/>
        <item m="1" x="4781"/>
        <item m="1" x="5466"/>
        <item m="1" x="4277"/>
        <item m="1" x="4480"/>
        <item m="1" x="7737"/>
        <item m="1" x="1546"/>
        <item m="1" x="5628"/>
        <item m="1" x="1874"/>
        <item m="1" x="850"/>
        <item m="1" x="1183"/>
        <item m="1" x="773"/>
        <item m="1" x="7649"/>
        <item m="1" x="2214"/>
        <item m="1" x="6973"/>
        <item m="1" x="5022"/>
        <item m="1" x="3068"/>
        <item m="1" x="309"/>
        <item m="1" x="7627"/>
        <item m="1" x="2983"/>
        <item m="1" x="2632"/>
        <item m="1" x="1426"/>
        <item m="1" x="6562"/>
        <item m="1" x="350"/>
        <item m="1" x="367"/>
        <item m="1" x="7675"/>
        <item m="1" x="4337"/>
        <item m="1" x="4902"/>
        <item m="1" x="121"/>
        <item m="1" x="2748"/>
        <item m="1" x="4515"/>
        <item m="1" x="198"/>
        <item m="1" x="705"/>
        <item m="1" x="322"/>
        <item m="1" x="3858"/>
        <item m="1" x="7726"/>
        <item m="1" x="7674"/>
        <item m="1" x="3154"/>
        <item m="1" x="233"/>
        <item m="1" x="430"/>
        <item m="1" x="3119"/>
        <item m="1" x="262"/>
        <item m="1" x="216"/>
        <item m="1" x="2000"/>
        <item m="1" x="6468"/>
        <item m="1" x="448"/>
        <item m="1" x="199"/>
        <item m="1" x="993"/>
        <item m="1" x="743"/>
        <item m="1" x="3966"/>
        <item m="1" x="302"/>
        <item m="1" x="463"/>
        <item m="1" x="2078"/>
        <item m="1" x="3274"/>
        <item m="1" x="1039"/>
        <item m="1" x="1472"/>
        <item m="1" x="337"/>
        <item m="1" x="6112"/>
        <item m="1" x="6598"/>
        <item m="1" x="3912"/>
        <item m="1" x="6455"/>
        <item m="1" x="4838"/>
        <item m="1" x="6137"/>
        <item m="1" x="3223"/>
        <item m="1" x="3833"/>
        <item m="1" x="372"/>
        <item m="1" x="526"/>
        <item m="1" x="1568"/>
        <item m="1" x="3676"/>
        <item m="1" x="2789"/>
        <item m="1" x="2502"/>
        <item m="1" x="404"/>
        <item m="1" x="6564"/>
        <item m="1" x="6159"/>
        <item m="1" x="3656"/>
        <item m="1" x="3323"/>
        <item m="1" x="5162"/>
        <item m="1" x="3711"/>
        <item m="1" x="589"/>
        <item m="1" x="2473"/>
        <item m="1" x="6198"/>
        <item m="1" x="5546"/>
        <item m="1" x="6242"/>
        <item m="1" x="6199"/>
        <item m="1" x="614"/>
        <item m="1" x="6518"/>
        <item m="1" x="3712"/>
        <item m="1" x="654"/>
        <item m="1" x="6944"/>
        <item m="1" x="6290"/>
        <item m="1" x="6547"/>
        <item m="1" x="6243"/>
        <item m="1" x="1891"/>
        <item m="1" x="1516"/>
        <item m="1" x="6640"/>
        <item m="1" x="6327"/>
        <item m="1" x="5592"/>
        <item m="1" x="4232"/>
        <item m="1" x="5635"/>
        <item m="1" x="3480"/>
        <item m="1" x="3974"/>
        <item m="1" x="1603"/>
        <item m="1" x="6374"/>
        <item m="1" x="400"/>
        <item m="1" x="4523"/>
        <item m="1" x="4926"/>
        <item m="1" x="3215"/>
        <item m="1" x="6265"/>
        <item m="1" x="7694"/>
        <item m="1" x="1750"/>
        <item m="1" x="1299"/>
        <item m="1" x="7369"/>
        <item m="1" x="1712"/>
        <item m="1" x="2423"/>
        <item m="1" x="7760"/>
        <item m="1" x="502"/>
        <item m="1" x="1735"/>
        <item m="1" x="2660"/>
        <item m="1" x="1319"/>
        <item m="1" x="5591"/>
        <item m="1" x="529"/>
        <item m="1" x="4903"/>
        <item m="1" x="2108"/>
        <item m="1" x="6465"/>
        <item m="1" x="1063"/>
        <item m="1" x="594"/>
        <item m="1" x="6561"/>
        <item m="1" x="219"/>
        <item m="1" x="7414"/>
        <item m="1" x="268"/>
        <item m="1" x="1397"/>
        <item m="1" x="781"/>
        <item m="1" x="2498"/>
        <item m="1" x="1751"/>
        <item m="1" x="7840"/>
        <item m="1" x="7966"/>
        <item m="1" x="6688"/>
        <item m="1" x="304"/>
        <item m="1" x="1473"/>
        <item m="1" x="7883"/>
        <item m="1" x="1642"/>
        <item m="1" x="7524"/>
        <item m="1" x="6754"/>
        <item m="1" x="3686"/>
        <item m="1" x="6781"/>
        <item m="1" x="7500"/>
        <item m="1" x="4771"/>
        <item m="1" x="439"/>
        <item m="1" x="7447"/>
        <item m="1" x="5634"/>
        <item m="1" x="1827"/>
        <item m="1" x="7849"/>
        <item m="1" x="7814"/>
        <item m="1" x="98"/>
        <item m="1" x="830"/>
        <item m="1" x="2231"/>
        <item m="1" x="3725"/>
        <item m="1" x="5852"/>
        <item m="1" x="1202"/>
        <item m="1" x="3826"/>
        <item m="1" x="5915"/>
        <item m="1" x="625"/>
        <item m="1" x="2311"/>
        <item m="1" x="1517"/>
        <item m="1" x="2211"/>
        <item m="1" x="3038"/>
        <item m="1" x="3529"/>
        <item m="1" x="6597"/>
        <item m="1" x="141"/>
        <item m="1" x="7440"/>
        <item m="1" x="3110"/>
        <item m="1" x="78"/>
        <item m="1" x="1996"/>
        <item m="1" x="2736"/>
        <item m="1" x="1098"/>
        <item m="1" x="5649"/>
        <item m="1" x="1607"/>
        <item m="1" x="2692"/>
        <item m="1" x="3247"/>
        <item m="1" x="6001"/>
        <item m="1" x="5562"/>
        <item m="1" x="7868"/>
        <item m="1" x="1268"/>
        <item m="1" x="3497"/>
        <item m="1" x="5629"/>
        <item m="1" x="7940"/>
        <item m="1" x="7673"/>
        <item m="1" x="7167"/>
        <item m="1" x="1685"/>
        <item m="1" x="5675"/>
        <item m="1" x="3307"/>
        <item m="1" x="5703"/>
        <item m="1" x="4227"/>
        <item m="1" x="7097"/>
        <item m="1" x="7067"/>
        <item m="1" x="6093"/>
        <item m="1" x="7047"/>
        <item m="1" x="2339"/>
        <item m="1" x="3530"/>
        <item m="1" x="7048"/>
        <item m="1" x="7099"/>
        <item m="1" x="4621"/>
        <item m="1" x="1331"/>
        <item m="1" x="5088"/>
        <item m="1" x="5771"/>
        <item m="1" x="7241"/>
        <item m="1" x="6758"/>
        <item m="1" x="7821"/>
        <item m="1" x="5478"/>
        <item m="1" x="6119"/>
        <item m="1" x="4469"/>
        <item m="1" x="6094"/>
        <item m="1" x="7844"/>
        <item m="1" x="5794"/>
        <item m="1" x="5461"/>
        <item m="1" x="7098"/>
        <item m="1" x="5170"/>
        <item m="1" x="6714"/>
        <item m="1" x="1415"/>
        <item m="1" x="5819"/>
        <item m="1" x="2904"/>
        <item m="1" x="2246"/>
        <item m="1" x="3329"/>
        <item m="1" x="5495"/>
        <item m="1" x="4825"/>
        <item m="1" x="5870"/>
        <item m="1" x="5772"/>
        <item m="1" x="5536"/>
        <item m="1" x="5917"/>
        <item m="1" x="6532"/>
        <item m="1" x="5853"/>
        <item m="1" x="487"/>
        <item m="1" x="5231"/>
        <item m="1" x="1436"/>
        <item m="1" x="5190"/>
        <item m="1" x="7901"/>
        <item m="1" x="4442"/>
        <item m="1" x="4026"/>
        <item m="1" x="6235"/>
        <item m="1" x="4190"/>
        <item m="1" x="6073"/>
        <item m="1" x="1593"/>
        <item m="1" x="4570"/>
        <item m="1" x="6050"/>
        <item m="1" x="2390"/>
        <item m="1" x="7820"/>
        <item m="1" x="7168"/>
        <item m="1" x="6554"/>
        <item m="1" x="6901"/>
        <item m="1" x="2960"/>
        <item m="1" x="676"/>
        <item m="1" x="6553"/>
        <item m="1" x="6533"/>
        <item m="1" x="5890"/>
        <item m="1" x="5320"/>
        <item m="1" x="132"/>
        <item m="1" x="5938"/>
        <item m="1" x="3024"/>
        <item m="1" x="2881"/>
        <item m="1" x="2727"/>
        <item m="1" x="74"/>
        <item m="1" x="630"/>
        <item m="1" x="3490"/>
        <item m="1" x="3080"/>
        <item m="1" x="5976"/>
        <item m="1" x="2764"/>
        <item m="1" x="1650"/>
        <item m="1" x="1378"/>
        <item m="1" x="948"/>
        <item m="1" x="4358"/>
        <item m="1" x="646"/>
        <item m="1" x="4507"/>
        <item m="1" x="6148"/>
        <item m="1" x="1953"/>
        <item m="1" x="5838"/>
        <item m="1" x="420"/>
        <item m="1" x="1306"/>
        <item m="1" x="1631"/>
        <item m="1" x="3073"/>
        <item m="1" x="1196"/>
        <item m="1" x="4305"/>
        <item m="1" x="2683"/>
        <item m="1" x="1594"/>
        <item m="1" x="2661"/>
        <item m="1" x="752"/>
        <item m="1" x="2358"/>
        <item m="1" x="5494"/>
        <item m="1" x="3547"/>
        <item m="1" x="3172"/>
        <item m="1" x="174"/>
        <item m="1" x="2433"/>
        <item m="1" x="2593"/>
        <item m="1" x="770"/>
        <item m="1" x="2684"/>
        <item m="1" x="962"/>
        <item m="1" x="2020"/>
        <item m="1" x="5007"/>
        <item m="1" x="1003"/>
        <item m="1" x="3131"/>
        <item m="1" x="1698"/>
        <item m="1" x="4359"/>
        <item m="1" x="3615"/>
        <item m="1" x="222"/>
        <item m="1" x="208"/>
        <item m="1" x="5064"/>
        <item m="1" x="1020"/>
        <item m="1" x="4412"/>
        <item m="1" x="4329"/>
        <item m="1" x="2269"/>
        <item m="1" x="6167"/>
        <item m="1" x="360"/>
        <item m="1" x="2485"/>
        <item m="1" x="4015"/>
        <item m="1" x="5114"/>
        <item m="1" x="5739"/>
        <item m="1" x="7968"/>
        <item m="1" x="3592"/>
        <item m="1" x="190"/>
        <item m="1" x="241"/>
        <item m="1" x="489"/>
        <item m="1" x="810"/>
        <item m="1" x="3199"/>
        <item m="1" x="4436"/>
        <item m="1" x="2455"/>
        <item m="1" x="7641"/>
        <item m="1" x="3657"/>
        <item m="1" x="5745"/>
        <item m="1" x="2837"/>
        <item m="1" x="4503"/>
        <item m="1" x="4411"/>
        <item m="1" x="4734"/>
        <item m="1" x="4551"/>
        <item m="1" x="6187"/>
        <item m="1" x="5869"/>
        <item m="1" x="5535"/>
        <item m="1" x="7550"/>
        <item m="1" x="3259"/>
        <item m="1" x="7652"/>
        <item m="1" x="4487"/>
        <item m="1" x="4021"/>
        <item m="1" x="5150"/>
        <item m="1" x="6557"/>
        <item m="1" x="2709"/>
        <item m="1" x="6905"/>
        <item m="1" x="5959"/>
        <item m="1" x="5258"/>
        <item m="1" x="5175"/>
        <item m="1" x="4545"/>
        <item m="1" x="5841"/>
        <item m="1" x="2547"/>
        <item m="1" x="2145"/>
        <item m="1" x="7551"/>
        <item m="1" x="7325"/>
        <item m="1" x="7681"/>
        <item m="1" x="2180"/>
        <item m="1" x="3251"/>
        <item m="1" x="5581"/>
        <item m="1" x="3052"/>
        <item m="1" x="2641"/>
        <item m="1" x="6574"/>
        <item m="1" x="7609"/>
        <item m="1" x="3331"/>
        <item m="1" x="1499"/>
        <item m="1" x="4171"/>
        <item m="1" x="3683"/>
        <item m="1" x="4496"/>
        <item m="1" x="2891"/>
        <item m="1" x="5538"/>
        <item m="1" x="3224"/>
        <item m="1" x="6324"/>
        <item m="1" x="2873"/>
        <item m="1" x="3684"/>
        <item m="1" x="3616"/>
        <item m="1" x="6906"/>
        <item m="1" x="4588"/>
        <item m="1" x="7632"/>
        <item m="1" x="5623"/>
        <item m="1" x="2997"/>
        <item m="1" x="6713"/>
        <item m="1" x="2581"/>
        <item m="1" x="7401"/>
        <item m="1" x="5854"/>
        <item m="1" x="5873"/>
        <item m="1" x="6258"/>
        <item m="1" x="5259"/>
        <item m="1" x="5522"/>
        <item m="1" x="5324"/>
        <item m="1" x="5272"/>
        <item m="1" x="4464"/>
        <item m="1" x="2633"/>
        <item m="1" x="4600"/>
        <item m="1" x="6230"/>
        <item m="1" x="5916"/>
        <item m="1" x="1572"/>
        <item m="1" x="5366"/>
        <item m="1" x="2672"/>
        <item m="1" x="5892"/>
        <item m="1" x="3373"/>
        <item m="1" x="5919"/>
        <item m="1" x="6976"/>
        <item m="1" x="785"/>
        <item m="1" x="5586"/>
        <item m="1" x="5730"/>
        <item m="1" x="5367"/>
        <item m="1" x="5396"/>
        <item m="1" x="6617"/>
        <item m="1" x="7682"/>
        <item m="1" x="7815"/>
        <item m="1" x="6233"/>
        <item m="1" x="5945"/>
        <item m="1" x="5275"/>
        <item m="1" x="3824"/>
        <item m="1" x="4960"/>
        <item m="1" x="4306"/>
        <item m="1" x="3844"/>
        <item m="1" x="195"/>
        <item m="1" x="4313"/>
        <item m="1" x="7042"/>
        <item m="1" x="660"/>
        <item m="1" x="4604"/>
        <item m="1" x="6042"/>
        <item m="1" x="7776"/>
        <item m="1" x="1332"/>
        <item m="1" x="7380"/>
        <item m="1" x="1595"/>
        <item m="1" x="4983"/>
        <item m="1" x="5471"/>
        <item m="1" x="6339"/>
        <item m="1" x="3053"/>
        <item m="1" x="7841"/>
        <item m="1" x="7129"/>
        <item m="1" x="5505"/>
        <item m="1" x="1704"/>
        <item m="1" x="1026"/>
        <item m="1" x="2074"/>
        <item m="1" x="7804"/>
        <item m="1" x="736"/>
        <item m="1" x="1997"/>
        <item m="1" x="1366"/>
        <item m="1" x="1043"/>
        <item m="1" x="788"/>
        <item m="1" x="3662"/>
        <item m="1" x="7826"/>
        <item m="1" x="1284"/>
        <item m="1" x="4644"/>
        <item m="1" x="6275"/>
        <item m="1" x="5960"/>
        <item m="1" x="2865"/>
        <item m="1" x="2884"/>
        <item m="1" x="1353"/>
        <item m="1" x="1437"/>
        <item m="1" x="900"/>
        <item m="1" x="789"/>
        <item m="1" x="1816"/>
        <item m="1" x="1767"/>
        <item m="1" x="295"/>
        <item m="1" x="280"/>
        <item m="1" x="7155"/>
        <item m="1" x="2552"/>
        <item m="1" x="4210"/>
        <item m="1" x="1385"/>
        <item m="1" x="6084"/>
        <item m="1" x="3025"/>
        <item m="1" x="2486"/>
        <item m="1" x="7154"/>
        <item m="1" x="2591"/>
        <item m="1" x="7287"/>
        <item m="1" x="2135"/>
        <item m="1" x="7326"/>
        <item m="1" x="4259"/>
        <item m="1" x="4490"/>
        <item m="1" x="2905"/>
        <item m="1" x="4269"/>
        <item m="1" x="1459"/>
        <item m="1" x="244"/>
        <item m="1" x="2154"/>
        <item m="1" x="548"/>
        <item m="1" x="822"/>
        <item m="1" x="2718"/>
        <item m="1" x="4324"/>
        <item m="1" x="333"/>
        <item m="1" x="586"/>
        <item m="1" x="352"/>
        <item m="1" x="856"/>
        <item m="1" x="3026"/>
        <item m="1" x="5588"/>
        <item m="1" x="1460"/>
        <item m="1" x="4162"/>
        <item m="1" x="1861"/>
        <item m="1" x="4429"/>
        <item m="1" x="7686"/>
        <item m="1" x="2769"/>
        <item m="1" x="4989"/>
        <item m="1" x="6325"/>
        <item m="1" x="6998"/>
        <item m="1" x="7068"/>
        <item m="1" x="3851"/>
        <item m="1" x="6610"/>
        <item m="1" x="7100"/>
        <item m="1" x="4481"/>
        <item m="1" x="5667"/>
        <item m="1" x="7846"/>
        <item m="1" x="7738"/>
        <item m="1" x="7124"/>
        <item m="1" x="2590"/>
        <item m="1" x="4516"/>
        <item m="1" x="2283"/>
        <item m="1" x="7768"/>
        <item m="1" x="7406"/>
        <item m="1" x="5346"/>
        <item m="1" x="5630"/>
        <item m="1" x="6002"/>
        <item m="1" x="3061"/>
        <item m="1" x="6367"/>
        <item m="1" x="4969"/>
        <item m="1" x="2533"/>
        <item m="1" x="4966"/>
        <item m="1" x="6074"/>
        <item m="1" x="6236"/>
        <item m="1" x="5925"/>
        <item m="1" x="5045"/>
        <item m="1" x="3679"/>
        <item m="1" x="5070"/>
        <item m="1" x="7739"/>
        <item m="1" x="7142"/>
        <item m="1" x="5326"/>
        <item m="1" x="6340"/>
        <item m="1" x="5668"/>
        <item m="1" x="7143"/>
        <item m="1" x="7242"/>
        <item m="1" x="2084"/>
        <item m="1" x="7845"/>
        <item m="1" x="5719"/>
        <item m="1" x="3062"/>
        <item m="1" x="6412"/>
        <item m="1" x="7286"/>
        <item m="1" x="3667"/>
        <item m="1" x="585"/>
        <item m="1" x="7169"/>
        <item m="1" x="7189"/>
        <item m="1" x="5069"/>
        <item m="1" x="1900"/>
        <item m="1" x="6368"/>
        <item m="1" x="6439"/>
        <item m="1" x="2075"/>
        <item m="1" x="7959"/>
        <item m="1" x="5773"/>
        <item m="1" x="6460"/>
        <item m="1" x="2796"/>
        <item m="1" x="5721"/>
        <item m="1" x="5982"/>
        <item m="1" x="5720"/>
        <item m="1" x="7902"/>
        <item m="1" x="1285"/>
        <item m="1" x="4721"/>
        <item m="1" x="5115"/>
        <item m="1" x="6366"/>
        <item m="1" x="3895"/>
        <item m="1" x="5795"/>
        <item m="1" x="5774"/>
        <item m="1" x="4417"/>
        <item m="1" x="520"/>
        <item m="1" x="7931"/>
        <item m="1" x="7932"/>
        <item m="1" x="627"/>
        <item m="1" x="7190"/>
        <item m="1" x="7505"/>
        <item m="1" x="2639"/>
        <item m="1" x="2569"/>
        <item m="1" x="7869"/>
        <item m="1" x="6051"/>
        <item m="1" x="3663"/>
        <item m="1" x="4390"/>
        <item m="1" x="1461"/>
        <item m="1" x="5172"/>
        <item m="1" x="7144"/>
        <item m="1" x="7215"/>
        <item m="1" x="7243"/>
        <item m="1" x="6120"/>
        <item m="1" x="5180"/>
        <item m="1" x="5871"/>
        <item m="1" x="6555"/>
        <item m="1" x="6534"/>
        <item m="1" x="6939"/>
        <item m="1" x="7614"/>
        <item m="1" x="5518"/>
        <item m="1" x="7360"/>
        <item m="1" x="4920"/>
        <item m="1" x="6914"/>
        <item m="1" x="863"/>
        <item m="1" x="3786"/>
        <item m="1" x="553"/>
        <item m="1" x="2045"/>
        <item m="1" x="7969"/>
        <item m="1" x="2618"/>
        <item m="1" x="753"/>
        <item m="1" x="2162"/>
        <item m="1" x="1264"/>
        <item m="1" x="573"/>
        <item m="1" x="2572"/>
        <item m="1" x="1951"/>
        <item m="1" x="1907"/>
        <item m="1" x="1144"/>
        <item m="1" x="6517"/>
        <item m="1" x="3141"/>
        <item m="1" x="652"/>
        <item m="1" x="1333"/>
        <item m="1" x="5820"/>
        <item m="1" x="4961"/>
        <item m="1" x="7637"/>
        <item m="1" x="5171"/>
        <item m="1" x="6411"/>
        <item m="1" x="3959"/>
        <item m="1" x="133"/>
        <item m="1" x="902"/>
        <item m="1" x="6491"/>
        <item m="1" x="691"/>
        <item m="1" x="2300"/>
        <item m="1" x="152"/>
        <item m="1" x="2678"/>
        <item m="1" x="1881"/>
        <item m="1" x="1570"/>
        <item m="1" x="1773"/>
        <item m="1" x="1972"/>
        <item m="1" x="2617"/>
        <item m="1" x="855"/>
        <item m="1" x="2619"/>
        <item m="1" x="613"/>
        <item m="1" x="3439"/>
        <item m="1" x="655"/>
        <item m="1" x="3438"/>
        <item m="1" x="1882"/>
        <item m="1" x="3845"/>
        <item m="1" x="1197"/>
        <item m="1" x="1985"/>
        <item m="1" x="4360"/>
        <item m="1" x="1932"/>
        <item m="1" x="2070"/>
        <item m="1" x="2737"/>
        <item m="1" x="191"/>
        <item m="1" x="2046"/>
        <item m="1" x="5008"/>
        <item m="1" x="7687"/>
        <item m="1" x="983"/>
        <item m="1" x="755"/>
        <item m="1" x="2765"/>
        <item m="1" x="209"/>
        <item m="1" x="4330"/>
        <item m="1" x="2071"/>
        <item m="1" x="223"/>
        <item m="1" x="3954"/>
        <item m="1" x="963"/>
        <item m="1" x="754"/>
        <item m="1" x="1279"/>
        <item m="1" x="5216"/>
        <item m="1" x="1307"/>
        <item m="1" x="5208"/>
        <item m="1" x="7125"/>
        <item m="1" x="6459"/>
        <item m="1" x="4016"/>
        <item m="1" x="1936"/>
        <item m="1" x="3210"/>
        <item m="1" x="7101"/>
        <item m="1" x="1021"/>
        <item m="1" x="2328"/>
        <item m="1" x="3520"/>
        <item m="1" x="1747"/>
        <item m="1" x="5759"/>
        <item m="1" x="2729"/>
        <item m="1" x="1608"/>
        <item m="1" x="1824"/>
        <item m="1" x="4413"/>
        <item m="1" x="2706"/>
        <item m="1" x="1409"/>
        <item m="1" x="3173"/>
        <item m="1" x="7769"/>
        <item m="1" x="2093"/>
        <item m="1" x="175"/>
        <item m="1" x="712"/>
        <item m="1" x="5163"/>
        <item m="1" x="7556"/>
        <item m="1" x="1988"/>
        <item m="1" x="2418"/>
        <item m="1" x="6764"/>
        <item m="1" x="3967"/>
        <item m="1" x="3628"/>
        <item m="1" x="7962"/>
        <item m="1" x="5095"/>
        <item m="1" x="7552"/>
        <item m="1" x="4071"/>
        <item m="1" x="5124"/>
        <item m="1" x="6487"/>
        <item m="1" x="2029"/>
        <item m="1" x="2490"/>
        <item m="1" x="4508"/>
        <item m="1" x="3041"/>
        <item m="1" x="1265"/>
        <item m="1" x="5123"/>
        <item m="1" x="5781"/>
        <item m="1" x="4939"/>
        <item m="1" x="4779"/>
        <item m="1" x="5539"/>
        <item m="1" x="4801"/>
        <item m="1" x="5343"/>
        <item m="1" x="1793"/>
        <item m="1" x="1096"/>
        <item m="1" x="5822"/>
        <item m="1" x="474"/>
        <item m="1" x="4509"/>
        <item m="1" x="7271"/>
        <item m="1" x="6874"/>
        <item m="1" x="7911"/>
        <item m="1" x="1059"/>
        <item m="1" x="6128"/>
        <item m="1" x="1077"/>
        <item m="1" x="4041"/>
        <item m="1" x="4042"/>
        <item m="1" x="3704"/>
        <item m="1" x="134"/>
        <item m="1" x="1933"/>
        <item m="1" x="6535"/>
        <item m="1" x="6814"/>
        <item m="1" x="6813"/>
        <item m="1" x="4534"/>
        <item m="1" x="4555"/>
        <item m="1" x="4535"/>
        <item m="1" x="4094"/>
        <item m="1" x="1244"/>
        <item m="1" x="5176"/>
        <item m="1" x="1172"/>
        <item m="1" x="6558"/>
        <item m="1" x="6189"/>
        <item m="1" x="3398"/>
        <item m="1" x="4554"/>
        <item m="1" x="3209"/>
        <item m="1" x="3742"/>
        <item m="1" x="2937"/>
        <item m="1" x="6791"/>
        <item m="1" x="3440"/>
        <item m="1" x="1220"/>
        <item m="1" x="4963"/>
        <item m="1" x="6618"/>
        <item m="1" x="5482"/>
        <item m="1" x="7653"/>
        <item m="1" x="5646"/>
        <item m="1" x="7761"/>
        <item m="1" x="4222"/>
        <item m="1" x="5920"/>
        <item m="1" x="5277"/>
        <item m="1" x="6873"/>
        <item m="1" x="4274"/>
        <item m="1" x="4873"/>
        <item m="1" x="7402"/>
        <item m="1" x="4605"/>
        <item m="1" x="5397"/>
        <item m="1" x="5999"/>
        <item m="1" x="7381"/>
        <item m="1" x="1908"/>
        <item m="1" x="7066"/>
        <item m="1" x="5803"/>
        <item m="1" x="6466"/>
        <item m="1" x="7044"/>
        <item m="1" x="5306"/>
        <item m="1" x="7762"/>
        <item m="1" x="5685"/>
        <item m="1" x="6393"/>
        <item m="1" x="1748"/>
        <item m="1" x="7732"/>
        <item m="1" x="7382"/>
        <item m="1" x="4223"/>
        <item m="1" x="5325"/>
        <item m="1" x="6619"/>
        <item m="1" x="3953"/>
        <item m="1" x="4273"/>
        <item m="1" x="1280"/>
        <item m="1" x="5219"/>
        <item m="1" x="2797"/>
        <item m="1" x="2713"/>
        <item m="1" x="3874"/>
        <item m="1" x="2936"/>
        <item m="1" x="3465"/>
        <item m="1" x="4648"/>
        <item m="1" x="7424"/>
        <item m="1" x="7788"/>
        <item m="1" x="6323"/>
        <item m="1" x="5606"/>
        <item m="1" x="7403"/>
        <item m="1" x="2023"/>
        <item m="1" x="4722"/>
        <item m="1" x="6907"/>
        <item m="1" x="823"/>
        <item m="1" x="7633"/>
        <item m="1" x="1044"/>
        <item m="1" x="7827"/>
        <item m="1" x="459"/>
        <item m="1" x="2051"/>
        <item m="1" x="2770"/>
        <item m="1" x="4921"/>
        <item m="1" x="228"/>
        <item m="1" x="804"/>
        <item m="1" x="1386"/>
        <item m="1" x="7842"/>
        <item m="1" x="7335"/>
        <item m="1" x="7220"/>
        <item m="1" x="1725"/>
        <item m="1" x="3928"/>
        <item m="1" x="1726"/>
        <item m="1" x="2798"/>
        <item m="1" x="3623"/>
        <item m="1" x="4723"/>
        <item m="1" x="1027"/>
        <item m="1" x="1438"/>
        <item m="1" x="245"/>
        <item m="1" x="7891"/>
        <item m="1" x="2929"/>
        <item m="1" x="6765"/>
        <item m="1" x="4962"/>
        <item m="1" x="4680"/>
        <item m="1" x="7456"/>
        <item m="1" x="7947"/>
        <item m="1" x="2121"/>
        <item m="1" x="6934"/>
        <item m="1" x="2532"/>
        <item m="1" x="6933"/>
        <item m="1" x="1727"/>
        <item m="1" x="549"/>
        <item m="1" x="7850"/>
        <item m="1" x="3216"/>
        <item m="1" x="1792"/>
        <item m="1" x="1056"/>
        <item m="1" x="6655"/>
        <item m="1" x="567"/>
        <item m="1" x="2413"/>
        <item m="1" x="1790"/>
        <item m="1" x="2136"/>
        <item m="1" x="2799"/>
        <item m="1" x="1327"/>
        <item m="1" x="5305"/>
        <item m="1" x="824"/>
        <item m="1" x="1482"/>
        <item m="1" x="6433"/>
        <item m="1" x="55"/>
        <item m="1" x="536"/>
        <item m="1" x="1091"/>
        <item m="1" x="2534"/>
        <item m="1" x="606"/>
        <item m="1" x="3519"/>
        <item m="1" x="4716"/>
        <item m="1" x="2156"/>
        <item m="1" x="2137"/>
        <item m="1" x="2155"/>
        <item m="1" x="4850"/>
        <item m="1" x="7532"/>
        <item m="1" x="6953"/>
        <item m="1" x="6840"/>
        <item m="1" x="7501"/>
        <item m="1" x="1190"/>
        <item m="1" x="3367"/>
        <item m="1" x="1106"/>
        <item m="1" x="5042"/>
        <item m="1" x="7553"/>
        <item m="1" x="2962"/>
        <item m="1" x="1901"/>
        <item m="1" x="7270"/>
        <item m="1" x="3394"/>
        <item m="1" x="568"/>
        <item m="1" x="2570"/>
        <item m="1" x="607"/>
        <item m="1" x="7889"/>
        <item m="1" x="2961"/>
        <item m="1" x="2991"/>
        <item m="1" x="1258"/>
        <item m="1" x="2218"/>
        <item m="1" x="7336"/>
        <item m="1" x="2010"/>
        <item m="1" x="3027"/>
        <item m="1" x="4769"/>
        <item m="1" x="7581"/>
        <item m="1" x="6003"/>
        <item m="1" x="5899"/>
        <item m="1" x="6977"/>
        <item m="1" x="1379"/>
        <item m="1" x="5983"/>
        <item m="1" x="6641"/>
        <item m="1" x="3569"/>
        <item m="1" x="4811"/>
        <item m="1" x="7407"/>
        <item m="1" x="2247"/>
        <item m="1" x="3004"/>
        <item m="1" x="6994"/>
        <item m="1" x="3074"/>
        <item m="1" x="4612"/>
        <item m="1" x="7426"/>
        <item m="1" x="5347"/>
        <item m="1" x="7308"/>
        <item m="1" x="2024"/>
        <item m="1" x="4772"/>
        <item m="1" x="1617"/>
        <item m="1" x="6741"/>
        <item m="1" x="989"/>
        <item m="1" x="5966"/>
        <item m="1" x="6642"/>
        <item m="1" x="2340"/>
        <item m="1" x="5276"/>
        <item m="1" x="3521"/>
        <item m="1" x="6636"/>
        <item m="1" x="3248"/>
        <item m="1" x="1505"/>
        <item m="1" x="4826"/>
        <item m="1" x="2885"/>
        <item m="1" x="4066"/>
        <item m="1" x="6875"/>
        <item m="1" x="628"/>
        <item m="1" x="1530"/>
        <item m="1" x="569"/>
        <item m="1" x="1837"/>
        <item m="1" x="93"/>
        <item m="1" x="1531"/>
        <item m="1" x="2600"/>
        <item m="1" x="5283"/>
        <item m="1" x="6582"/>
        <item m="1" x="4724"/>
        <item m="1" x="7331"/>
        <item m="1" x="2973"/>
        <item m="1" x="6341"/>
        <item m="1" x="5400"/>
        <item m="1" x="2693"/>
        <item m="1" x="1911"/>
        <item m="1" x="2668"/>
        <item m="1" x="1679"/>
        <item m="1" x="3552"/>
        <item m="1" x="7017"/>
        <item m="1" x="3147"/>
        <item m="1" x="7408"/>
        <item m="1" x="7126"/>
        <item m="1" x="4338"/>
        <item m="1" x="6689"/>
        <item m="1" x="5241"/>
        <item m="1" x="5370"/>
        <item m="1" x="4666"/>
        <item m="1" x="6759"/>
        <item m="1" x="5967"/>
        <item m="1" x="5948"/>
        <item m="1" x="5416"/>
        <item m="1" x="990"/>
        <item m="1" x="3852"/>
        <item m="1" x="4667"/>
        <item m="1" x="3828"/>
        <item m="1" x="4697"/>
        <item m="1" x="5348"/>
        <item m="1" x="3896"/>
        <item m="1" x="2312"/>
        <item m="1" x="7043"/>
        <item m="1" x="3827"/>
        <item m="1" x="7506"/>
        <item m="1" x="4365"/>
        <item m="1" x="1680"/>
        <item m="1" x="7441"/>
        <item m="1" x="7507"/>
        <item m="1" x="7344"/>
        <item m="1" x="5046"/>
        <item m="1" x="6659"/>
        <item m="1" x="5704"/>
        <item m="1" x="2487"/>
        <item m="1" x="6413"/>
        <item m="1" x="1028"/>
        <item m="1" x="7170"/>
        <item m="1" x="3875"/>
        <item m="1" x="3696"/>
        <item m="1" x="7548"/>
        <item m="1" x="5349"/>
        <item m="1" x="4391"/>
        <item m="1" x="7587"/>
        <item m="1" x="6485"/>
        <item m="1" x="3111"/>
        <item m="1" x="2414"/>
        <item m="1" x="7267"/>
        <item m="1" x="4444"/>
        <item m="1" x="6760"/>
        <item m="1" x="5144"/>
        <item m="1" x="3929"/>
        <item m="1" x="3647"/>
        <item m="1" x="7628"/>
        <item m="1" x="7485"/>
        <item m="1" x="6812"/>
        <item m="1" x="6803"/>
        <item m="1" x="2821"/>
        <item m="1" x="3988"/>
        <item m="1" x="6075"/>
        <item m="1" x="6811"/>
        <item m="1" x="5417"/>
        <item m="1" x="5558"/>
        <item m="1" x="7676"/>
        <item m="1" x="5754"/>
        <item m="1" x="6121"/>
        <item m="1" x="3876"/>
        <item m="1" x="3960"/>
        <item m="1" x="3932"/>
        <item m="1" x="7092"/>
        <item m="1" x="3985"/>
        <item m="1" x="7484"/>
        <item m="1" x="4443"/>
        <item m="1" x="1862"/>
        <item m="1" x="4510"/>
        <item m="1" x="3931"/>
        <item m="1" x="5089"/>
        <item m="1" x="2938"/>
        <item m="1" x="4036"/>
        <item m="1" x="95"/>
        <item m="1" x="2939"/>
        <item m="1" x="917"/>
        <item m="1" x="2223"/>
        <item m="1" x="3787"/>
        <item m="1" x="964"/>
        <item m="1" x="4089"/>
        <item m="1" x="3685"/>
        <item m="1" x="6856"/>
        <item m="1" x="2642"/>
        <item m="1" x="4623"/>
        <item m="1" x="318"/>
        <item m="1" x="6867"/>
        <item m="1" x="2685"/>
        <item m="1" x="2329"/>
        <item m="1" x="1245"/>
        <item m="1" x="3930"/>
        <item m="1" x="490"/>
        <item m="1" x="965"/>
        <item m="1" x="7140"/>
        <item m="1" x="4152"/>
        <item m="1" x="96"/>
        <item m="1" x="7528"/>
        <item m="1" x="677"/>
        <item m="1" x="1266"/>
        <item m="1" x="2301"/>
        <item m="1" x="1596"/>
        <item m="1" x="3054"/>
        <item m="1" x="7615"/>
        <item m="1" x="3987"/>
        <item m="1" x="5143"/>
        <item m="1" x="1699"/>
        <item m="1" x="4211"/>
        <item m="1" x="7659"/>
        <item m="1" x="4717"/>
        <item m="1" x="984"/>
        <item m="1" x="7714"/>
        <item m="1" x="4491"/>
        <item m="1" x="2359"/>
        <item m="1" x="6930"/>
        <item m="1" x="985"/>
        <item m="1" x="2047"/>
        <item m="1" x="1040"/>
        <item m="1" x="3986"/>
        <item m="1" x="1632"/>
        <item m="1" x="713"/>
        <item m="1" x="4017"/>
        <item m="1" x="2302"/>
        <item m="1" x="456"/>
        <item m="1" x="732"/>
        <item m="1" x="1761"/>
        <item m="1" x="3872"/>
        <item m="1" x="210"/>
        <item m="1" x="1651"/>
        <item m="1" x="509"/>
        <item m="1" x="1673"/>
        <item m="1" x="4037"/>
        <item m="1" x="5191"/>
        <item m="1" x="4527"/>
        <item m="1" x="2816"/>
        <item m="1" x="4791"/>
        <item m="1" x="1408"/>
        <item m="1" x="3240"/>
        <item m="1" x="2474"/>
        <item m="1" x="2866"/>
        <item m="1" x="4038"/>
        <item m="1" x="5140"/>
        <item m="1" x="6409"/>
        <item m="1" x="5489"/>
        <item m="1" x="6138"/>
        <item m="1" x="3762"/>
        <item m="1" x="7600"/>
        <item m="1" x="7338"/>
        <item m="1" x="3241"/>
        <item m="1" x="4465"/>
        <item m="1" x="5164"/>
        <item m="1" x="4061"/>
        <item m="1" x="1537"/>
        <item m="1" x="3834"/>
        <item m="1" x="1479"/>
        <item m="1" x="1030"/>
        <item m="1" x="538"/>
        <item m="1" x="1014"/>
        <item m="1" x="7843"/>
        <item m="1" x="2109"/>
        <item m="1" x="557"/>
        <item m="1" x="1152"/>
        <item m="1" x="2188"/>
        <item m="1" x="7157"/>
        <item m="1" x="3745"/>
        <item m="1" x="4195"/>
        <item m="1" x="6815"/>
        <item m="1" x="7370"/>
        <item m="1" x="4130"/>
        <item m="1" x="324"/>
        <item m="1" x="1157"/>
        <item m="1" x="7282"/>
        <item m="1" x="4524"/>
        <item m="1" x="4212"/>
        <item m="1" x="5141"/>
        <item m="1" x="4812"/>
        <item m="1" x="3503"/>
        <item m="1" x="1681"/>
        <item m="1" x="747"/>
        <item m="1" x="4617"/>
        <item m="1" x="7354"/>
        <item m="1" x="1562"/>
        <item m="1" x="2781"/>
        <item m="1" x="797"/>
        <item m="1" x="812"/>
        <item m="1" x="3687"/>
        <item m="1" x="1491"/>
        <item m="1" x="2232"/>
        <item m="1" x="4163"/>
        <item m="1" x="2171"/>
        <item m="1" x="2130"/>
        <item m="1" x="874"/>
        <item m="1" x="3472"/>
        <item m="1" x="4613"/>
        <item m="1" x="2314"/>
        <item m="1" x="61"/>
        <item m="1" x="4631"/>
        <item m="1" x="2284"/>
        <item m="1" x="2601"/>
        <item m="1" x="2503"/>
        <item m="1" x="6604"/>
        <item m="1" x="4560"/>
        <item m="1" x="4196"/>
        <item m="1" x="1768"/>
        <item m="1" x="2669"/>
        <item m="1" x="782"/>
        <item m="1" x="1563"/>
        <item m="1" x="5311"/>
        <item m="1" x="1492"/>
        <item m="1" x="1153"/>
        <item m="1" x="2189"/>
        <item m="1" x="378"/>
        <item m="1" x="2946"/>
        <item m="1" x="3771"/>
        <item m="1" x="1581"/>
        <item m="1" x="3498"/>
        <item m="1" x="3028"/>
        <item m="1" x="7415"/>
        <item m="1" x="3821"/>
        <item m="1" x="3839"/>
        <item m="1" x="7751"/>
        <item m="1" x="5659"/>
        <item m="1" x="2297"/>
        <item m="1" x="3075"/>
        <item m="1" x="1723"/>
        <item m="1" x="1817"/>
        <item m="1" x="2714"/>
        <item m="1" x="3955"/>
        <item m="1" x="5961"/>
        <item m="1" x="5054"/>
        <item m="1" x="3882"/>
        <item m="1" x="2323"/>
        <item m="1" x="5378"/>
        <item m="1" x="6699"/>
        <item m="1" x="7036"/>
        <item m="1" x="2771"/>
        <item m="1" x="7198"/>
        <item m="1" x="2679"/>
        <item m="1" x="3587"/>
        <item m="1" x="7752"/>
        <item m="1" x="2867"/>
        <item m="1" x="341"/>
        <item m="1" x="3887"/>
        <item m="1" x="2350"/>
        <item m="1" x="6356"/>
        <item m="1" x="7452"/>
        <item m="1" x="7115"/>
        <item m="1" x="6700"/>
        <item m="1" x="3607"/>
        <item m="1" x="2167"/>
        <item m="1" x="2011"/>
        <item m="1" x="1569"/>
        <item m="1" x="2730"/>
        <item m="1" x="6383"/>
        <item m="1" x="7135"/>
        <item m="1" x="4325"/>
        <item m="1" x="4450"/>
        <item m="1" x="1259"/>
        <item m="1" x="664"/>
        <item m="1" x="2374"/>
        <item m="1" x="7753"/>
        <item m="1" x="6722"/>
        <item m="1" x="5660"/>
        <item m="1" x="7279"/>
        <item m="1" x="6357"/>
        <item m="1" x="7493"/>
        <item m="1" x="6646"/>
        <item m="1" x="6276"/>
        <item m="1" x="5962"/>
        <item m="1" x="6382"/>
        <item m="1" x="7432"/>
        <item m="1" x="1342"/>
        <item m="1" x="2063"/>
        <item m="1" x="3200"/>
        <item m="1" x="5486"/>
        <item m="1" x="2853"/>
        <item m="1" x="1300"/>
        <item m="1" x="2424"/>
        <item m="1" x="2087"/>
        <item m="1" x="5078"/>
        <item m="1" x="4381"/>
        <item m="1" x="6059"/>
        <item m="1" x="6287"/>
        <item m="1" x="6403"/>
        <item m="1" x="5713"/>
        <item m="1" x="4639"/>
        <item m="1" x="4482"/>
        <item m="1" x="7158"/>
        <item m="1" x="5363"/>
        <item m="1" x="7227"/>
        <item m="1" x="3940"/>
        <item m="1" x="3651"/>
        <item m="1" x="5714"/>
        <item m="1" x="6450"/>
        <item m="1" x="1399"/>
        <item m="1" x="4541"/>
        <item m="1" x="6131"/>
        <item m="1" x="5826"/>
        <item m="1" x="6520"/>
        <item m="1" x="2464"/>
        <item m="1" x="6541"/>
        <item m="1" x="5609"/>
        <item m="1" x="7747"/>
        <item m="1" x="122"/>
        <item m="1" x="4673"/>
        <item m="1" x="1643"/>
        <item m="1" x="1962"/>
        <item m="1" x="7296"/>
        <item m="1" x="6848"/>
        <item m="1" x="2878"/>
        <item m="1" x="7559"/>
        <item m="1" x="2212"/>
        <item m="1" x="6494"/>
        <item m="1" x="1184"/>
        <item m="1" x="7253"/>
        <item m="1" x="5731"/>
        <item m="1" x="3669"/>
        <item m="1" x="4782"/>
        <item m="1" x="4400"/>
        <item m="1" x="2110"/>
        <item m="1" x="3260"/>
        <item m="1" x="6103"/>
        <item m="1" x="5202"/>
        <item m="1" x="3289"/>
        <item m="1" x="1341"/>
        <item m="1" x="3015"/>
        <item m="1" x="6102"/>
        <item m="1" x="4946"/>
        <item m="1" x="665"/>
        <item m="1" x="1586"/>
        <item m="1" x="1963"/>
        <item m="1" x="7037"/>
        <item m="1" x="6540"/>
        <item m="1" x="7607"/>
        <item m="1" x="3120"/>
        <item m="1" x="686"/>
        <item m="1" x="1977"/>
        <item m="1" x="1228"/>
        <item m="1" x="4704"/>
        <item m="1" x="3859"/>
        <item m="1" x="5390"/>
        <item m="1" x="762"/>
        <item m="1" x="1398"/>
        <item m="1" x="2653"/>
        <item m="1" x="706"/>
        <item m="1" x="6949"/>
        <item m="1" x="163"/>
        <item m="1" x="1622"/>
        <item m="1" x="3504"/>
        <item m="1" x="5564"/>
        <item m="1" x="6583"/>
        <item m="1" x="2294"/>
        <item m="1" x="104"/>
        <item m="1" x="1289"/>
        <item m="1" x="1445"/>
        <item m="1" x="649"/>
        <item m="1" x="2392"/>
        <item m="1" x="449"/>
        <item m="1" x="994"/>
        <item m="1" x="59"/>
        <item m="1" x="1623"/>
        <item m="1" x="2393"/>
        <item m="1" x="7754"/>
        <item m="1" x="478"/>
        <item m="1" x="1393"/>
        <item m="1" x="5748"/>
        <item m="1" x="4756"/>
        <item m="1" x="1686"/>
        <item m="1" x="123"/>
        <item m="1" x="928"/>
        <item m="1" x="3537"/>
        <item m="1" x="3904"/>
        <item m="1" x="7807"/>
        <item m="1" x="2264"/>
        <item m="1" x="6622"/>
        <item m="1" x="666"/>
        <item m="1" x="2439"/>
        <item m="1" x="3285"/>
        <item m="1" x="1687"/>
        <item m="1" x="5788"/>
        <item m="1" x="1706"/>
        <item m="1" x="3997"/>
        <item m="1" x="1493"/>
        <item m="1" x="184"/>
        <item m="1" x="4395"/>
        <item m="1" x="7808"/>
        <item m="1" x="1314"/>
        <item m="1" x="3477"/>
        <item m="1" x="6660"/>
        <item m="1" x="1360"/>
        <item m="1" x="4881"/>
        <item m="1" x="2146"/>
        <item m="1" x="2238"/>
        <item m="1" x="5547"/>
        <item m="1" x="7235"/>
        <item m="1" x="4224"/>
        <item m="1" x="5790"/>
        <item m="1" x="2062"/>
        <item m="1" x="4854"/>
        <item m="1" x="1809"/>
        <item m="1" x="2504"/>
        <item m="1" x="5430"/>
        <item m="1" x="7351"/>
        <item m="1" x="3252"/>
        <item m="1" x="2492"/>
        <item m="1" x="2817"/>
        <item m="1" x="4839"/>
        <item m="1" x="7259"/>
        <item m="1" x="4792"/>
        <item m="1" x="6113"/>
        <item m="1" x="6804"/>
        <item m="1" x="6548"/>
        <item m="1" x="7601"/>
        <item m="1" x="2513"/>
        <item m="1" x="1070"/>
        <item m="1" x="3328"/>
        <item m="1" x="6710"/>
        <item m="1" x="5849"/>
        <item m="1" x="3275"/>
        <item m="1" x="6178"/>
        <item m="1" x="4813"/>
        <item m="1" x="2566"/>
        <item m="1" x="5074"/>
        <item m="1" x="7087"/>
        <item m="1" x="164"/>
        <item m="1" x="707"/>
        <item m="1" x="7116"/>
        <item m="1" x="2030"/>
        <item m="1" x="246"/>
        <item m="1" x="3629"/>
        <item m="1" x="1420"/>
        <item m="1" x="2460"/>
        <item m="1" x="3253"/>
        <item m="1" x="4474"/>
        <item m="1" x="2127"/>
        <item m="1" x="2094"/>
        <item m="1" x="5472"/>
        <item m="1" x="1787"/>
        <item m="1" x="1339"/>
        <item m="1" x="870"/>
        <item m="1" x="5548"/>
        <item m="1" x="6139"/>
        <item m="1" x="4840"/>
        <item m="1" x="6980"/>
        <item m="1" x="2882"/>
        <item m="1" x="7539"/>
        <item m="1" x="6501"/>
        <item m="1" x="1732"/>
        <item m="1" x="1419"/>
        <item m="1" x="1810"/>
        <item m="1" x="3713"/>
        <item m="1" x="4062"/>
        <item m="1" x="7298"/>
        <item m="1" x="2313"/>
        <item m="1" x="6219"/>
        <item m="1" x="2491"/>
        <item m="1" x="3332"/>
        <item m="1" x="6830"/>
        <item m="1" x="1089"/>
        <item m="1" x="6114"/>
        <item m="1" x="4144"/>
        <item m="1" x="1538"/>
        <item m="1" x="7317"/>
        <item m="1" x="7662"/>
        <item m="1" x="6964"/>
        <item m="1" x="6887"/>
        <item m="1" x="4111"/>
        <item m="1" x="1139"/>
        <item m="1" x="5506"/>
        <item m="1" x="6307"/>
        <item m="1" x="2199"/>
        <item m="1" x="4863"/>
        <item m="1" x="7602"/>
        <item m="1" x="1159"/>
        <item m="1" x="7004"/>
        <item m="1" x="6308"/>
        <item m="1" x="2270"/>
        <item m="1" x="808"/>
        <item m="1" x="3363"/>
        <item m="1" x="2952"/>
        <item m="1" x="6348"/>
        <item m="1" x="5883"/>
        <item m="1" x="6945"/>
        <item m="1" x="4882"/>
        <item m="1" x="2696"/>
        <item m="1" x="6871"/>
        <item m="1" x="1468"/>
        <item m="1" x="5467"/>
        <item m="1" x="7355"/>
        <item m="1" x="7622"/>
        <item m="1" x="6981"/>
        <item m="1" x="3362"/>
        <item m="1" x="1392"/>
        <item m="1" x="4043"/>
        <item m="1" x="4200"/>
        <item m="1" x="2697"/>
        <item m="1" x="7643"/>
        <item m="1" x="4883"/>
        <item m="1" x="5031"/>
        <item m="1" x="5572"/>
        <item m="1" x="5199"/>
        <item m="1" x="1582"/>
        <item m="1" x="7621"/>
        <item m="1" x="5332"/>
        <item m="1" x="1941"/>
        <item m="1" x="6647"/>
        <item m="1" x="1229"/>
        <item m="1" x="4618"/>
        <item m="1" x="6309"/>
        <item m="1" x="1209"/>
        <item m="1" x="2365"/>
        <item m="1" x="508"/>
        <item m="1" x="3860"/>
        <item m="1" x="4993"/>
        <item m="1" x="7109"/>
        <item m="1" x="5636"/>
        <item m="1" x="7388"/>
        <item m="1" x="7130"/>
        <item m="1" x="4927"/>
        <item m="1" x="2537"/>
        <item m="1" x="3374"/>
        <item m="1" x="3424"/>
        <item m="1" x="6375"/>
        <item m="1" x="7663"/>
        <item m="1" x="4315"/>
        <item m="1" x="5357"/>
        <item m="1" x="2031"/>
        <item m="1" x="4112"/>
        <item m="1" x="396"/>
        <item m="1" x="2373"/>
        <item m="1" x="202"/>
        <item m="1" x="453"/>
        <item m="1" x="3164"/>
        <item m="1" x="3914"/>
        <item m="1" x="3231"/>
        <item m="1" x="436"/>
        <item m="1" x="4783"/>
        <item m="1" x="765"/>
        <item m="1" x="2039"/>
        <item m="1" x="1035"/>
        <item m="1" x="1034"/>
        <item m="1" x="1320"/>
        <item m="1" x="1628"/>
        <item m="1" x="237"/>
        <item m="1" x="5697"/>
        <item m="1" x="2079"/>
        <item m="1" x="186"/>
        <item m="1" x="7763"/>
        <item m="1" x="798"/>
        <item m="1" x="1565"/>
        <item m="1" x="7972"/>
        <item m="1" x="4076"/>
        <item m="1" x="7864"/>
        <item m="1" x="3423"/>
        <item m="1" x="2832"/>
        <item m="1" x="2215"/>
        <item m="1" x="2446"/>
        <item m="1" x="238"/>
        <item m="1" x="1845"/>
        <item m="1" x="2576"/>
        <item m="1" x="3335"/>
        <item m="1" x="1114"/>
        <item m="1" x="2233"/>
        <item m="1" x="3262"/>
        <item m="1" x="7789"/>
        <item m="1" x="558"/>
        <item m="1" x="6965"/>
        <item m="1" x="7005"/>
        <item m="1" x="6664"/>
        <item m="1" x="4514"/>
        <item m="1" x="1752"/>
        <item m="1" x="2239"/>
        <item m="1" x="2415"/>
        <item m="1" x="2573"/>
        <item m="1" x="3441"/>
        <item m="1" x="3376"/>
        <item m="1" x="2465"/>
        <item m="1" x="559"/>
        <item m="1" x="4050"/>
        <item m="1" x="4077"/>
        <item m="1" x="250"/>
        <item m="1" x="1051"/>
        <item m="1" x="1713"/>
        <item m="1" x="799"/>
        <item m="1" x="2542"/>
        <item m="1" x="99"/>
        <item m="1" x="1690"/>
        <item m="1" x="287"/>
        <item m="1" x="2520"/>
        <item m="1" x="595"/>
        <item m="1" x="1846"/>
        <item m="1" x="4831"/>
        <item m="1" x="616"/>
        <item m="1" x="543"/>
        <item m="1" x="306"/>
        <item m="1" x="4103"/>
        <item m="1" x="7816"/>
        <item m="1" x="5200"/>
        <item m="1" x="1796"/>
        <item m="1" x="4877"/>
        <item m="1" x="1797"/>
        <item m="1" x="596"/>
        <item m="1" x="3481"/>
        <item m="1" x="142"/>
        <item m="1" x="1006"/>
        <item m="1" x="871"/>
        <item m="1" x="2271"/>
        <item m="1" x="6625"/>
        <item m="1" x="5695"/>
        <item m="1" x="4197"/>
        <item m="1" x="1248"/>
        <item m="1" x="662"/>
        <item m="1" x="1912"/>
        <item m="1" x="3413"/>
        <item m="1" x="5094"/>
        <item m="1" x="269"/>
        <item m="1" x="4164"/>
        <item m="1" x="3354"/>
        <item m="1" x="1045"/>
        <item m="1" x="3063"/>
        <item m="1" x="1177"/>
        <item m="1" x="3182"/>
        <item m="1" x="2620"/>
        <item m="1" x="3491"/>
        <item m="1" x="831"/>
        <item m="1" x="777"/>
        <item m="1" x="1191"/>
        <item m="1" x="2602"/>
        <item m="1" x="2265"/>
        <item m="1" x="3512"/>
        <item m="1" x="635"/>
        <item m="1" x="832"/>
        <item m="1" x="7038"/>
        <item m="1" x="3085"/>
        <item m="1" x="4241"/>
        <item m="1" x="661"/>
        <item m="1" x="5301"/>
        <item m="1" x="6231"/>
        <item m="1" x="1902"/>
        <item m="1" x="3290"/>
        <item m="1" x="4270"/>
        <item m="1" x="6633"/>
        <item m="1" x="6314"/>
        <item m="1" x="7809"/>
        <item m="1" x="5995"/>
        <item m="1" x="701"/>
        <item m="1" x="6701"/>
        <item m="1" x="5132"/>
        <item m="1" x="5681"/>
        <item m="1" x="1924"/>
        <item m="1" x="7396"/>
        <item m="1" x="7088"/>
        <item m="1" x="6384"/>
        <item m="1" x="7361"/>
        <item m="1" x="737"/>
        <item m="1" x="6744"/>
        <item m="1" x="3538"/>
        <item m="1" x="1072"/>
        <item m="1" x="6651"/>
        <item m="1" x="5624"/>
        <item m="1" x="6677"/>
        <item m="1" x="4870"/>
        <item m="1" x="2320"/>
        <item m="1" x="3840"/>
        <item m="1" x="1986"/>
        <item m="1" x="774"/>
        <item m="1" x="6849"/>
        <item m="1" x="1107"/>
        <item m="1" x="7518"/>
        <item m="1" x="6385"/>
        <item m="1" x="5055"/>
        <item m="1" x="305"/>
        <item m="1" x="3412"/>
        <item m="1" x="805"/>
        <item m="1" x="6060"/>
        <item m="1" x="6315"/>
        <item m="1" x="6793"/>
        <item m="1" x="2040"/>
        <item m="1" x="5661"/>
        <item m="1" x="7470"/>
        <item m="1" x="6773"/>
        <item m="1" x="5996"/>
        <item m="1" x="2662"/>
        <item m="1" x="3548"/>
        <item m="1" x="5977"/>
        <item m="1" x="6676"/>
        <item m="1" x="7727"/>
        <item m="1" x="3029"/>
        <item m="1" x="3049"/>
        <item m="1" x="3544"/>
        <item m="1" x="5642"/>
        <item m="1" x="5364"/>
        <item m="1" x="6298"/>
        <item m="1" x="5699"/>
        <item m="1" x="6678"/>
        <item m="1" x="4401"/>
        <item m="1" x="2064"/>
        <item m="1" x="5133"/>
        <item m="1" x="875"/>
        <item m="1" x="4692"/>
        <item m="1" x="3888"/>
        <item m="1" x="2342"/>
        <item m="1" x="6959"/>
        <item m="1" x="6794"/>
        <item m="1" x="7519"/>
        <item m="1" x="876"/>
        <item m="1" x="1731"/>
        <item m="1" x="7117"/>
        <item m="1" x="3608"/>
        <item m="1" x="2012"/>
        <item m="1" x="7311"/>
        <item m="1" x="3915"/>
        <item m="1" x="79"/>
        <item m="1" x="5037"/>
        <item m="1" x="6104"/>
        <item m="1" x="6429"/>
        <item m="1" x="2782"/>
        <item m="1" x="7181"/>
        <item m="1" x="4430"/>
        <item m="1" x="2088"/>
        <item m="1" x="6850"/>
        <item m="1" x="6153"/>
        <item m="1" x="7863"/>
        <item m="1" x="7919"/>
        <item m="1" x="1446"/>
        <item m="1" x="2089"/>
        <item m="1" x="2111"/>
        <item m="1" x="3947"/>
        <item m="1" x="6851"/>
        <item m="1" x="3652"/>
        <item m="1" x="7560"/>
        <item m="1" x="4518"/>
        <item m="1" x="3578"/>
        <item m="1" x="5079"/>
        <item m="1" x="5859"/>
        <item m="1" x="4451"/>
        <item m="1" x="2370"/>
        <item m="1" x="7228"/>
        <item m="1" x="5427"/>
        <item m="1" x="7254"/>
        <item m="1" x="6262"/>
        <item m="1" x="547"/>
        <item m="1" x="342"/>
        <item m="1" x="3532"/>
        <item m="1" x="6868"/>
        <item m="1" x="503"/>
        <item m="1" x="905"/>
        <item m="1" x="5789"/>
        <item m="1" x="5102"/>
        <item m="1" x="7594"/>
        <item m="1" x="2200"/>
        <item m="1" x="5900"/>
        <item m="1" x="2710"/>
        <item m="1" x="2809"/>
        <item m="1" x="4517"/>
        <item m="1" x="5448"/>
        <item m="1" x="6086"/>
        <item m="1" x="4003"/>
        <item m="1" x="293"/>
        <item m="1" x="2984"/>
        <item m="1" x="5134"/>
        <item m="1" x="2634"/>
        <item m="1" x="906"/>
        <item m="1" x="3816"/>
        <item m="1" x="5827"/>
        <item m="1" x="331"/>
        <item m="1" x="7608"/>
        <item m="1" x="87"/>
        <item m="1" x="2609"/>
        <item m="1" x="2241"/>
        <item m="1" x="2240"/>
        <item m="1" x="2673"/>
        <item m="1" x="382"/>
        <item m="1" x="1140"/>
        <item m="1" x="929"/>
        <item m="1" x="3016"/>
        <item m="1" x="2719"/>
        <item m="1" x="3393"/>
        <item m="1" x="368"/>
        <item m="1" x="7926"/>
        <item m="1" x="667"/>
        <item m="1" x="3425"/>
        <item m="1" x="668"/>
        <item m="1" x="1964"/>
        <item m="1" x="972"/>
        <item m="1" x="5858"/>
        <item m="1" x="3069"/>
        <item m="1" x="7039"/>
        <item m="1" x="1250"/>
        <item m="1" x="145"/>
        <item m="1" x="3779"/>
        <item m="1" x="3630"/>
        <item m="1" x="125"/>
        <item m="1" x="1160"/>
        <item m="1" x="3089"/>
        <item m="1" x="6277"/>
        <item m="1" x="7494"/>
        <item m="1" x="687"/>
        <item m="1" x="2654"/>
        <item m="1" x="3454"/>
        <item m="1" x="1978"/>
        <item m="1" x="3042"/>
        <item m="1" x="3835"/>
        <item m="1" x="7650"/>
        <item m="1" x="66"/>
        <item m="1" x="621"/>
        <item m="1" x="383"/>
        <item m="1" x="1185"/>
        <item m="1" x="124"/>
        <item m="1" x="2655"/>
        <item m="1" x="369"/>
        <item m="1" x="7016"/>
        <item m="1" x="650"/>
        <item m="1" x="1942"/>
        <item m="1" x="1231"/>
        <item m="1" x="1161"/>
        <item m="1" x="105"/>
        <item m="1" x="3482"/>
        <item m="1" x="843"/>
        <item m="1" x="2720"/>
        <item m="1" x="1290"/>
        <item m="1" x="263"/>
        <item m="1" x="3261"/>
        <item m="1" x="2804"/>
        <item m="1" x="3968"/>
        <item m="1" x="602"/>
        <item m="1" x="909"/>
        <item m="1" x="1875"/>
        <item m="1" x="1230"/>
        <item m="1" x="2461"/>
        <item m="1" x="1251"/>
        <item m="1" x="2001"/>
        <item m="1" x="3155"/>
        <item m="1" x="3941"/>
        <item m="1" x="2698"/>
        <item m="1" x="1232"/>
        <item m="1" x="708"/>
        <item m="1" x="1661"/>
        <item m="1" x="2826"/>
        <item m="1" x="1394"/>
        <item m="1" x="744"/>
        <item m="1" x="3998"/>
        <item m="1" x="1291"/>
        <item m="1" x="1362"/>
        <item m="1" x="3603"/>
        <item m="1" x="2080"/>
        <item m="1" x="1104"/>
        <item m="1" x="4044"/>
        <item m="1" x="3926"/>
        <item m="1" x="1811"/>
        <item m="1" x="973"/>
        <item m="1" x="763"/>
        <item m="1" x="3905"/>
        <item m="1" x="6857"/>
        <item m="1" x="7540"/>
        <item m="1" x="3956"/>
        <item m="1" x="7948"/>
        <item m="1" x="6043"/>
        <item m="1" x="7479"/>
        <item m="1" x="5032"/>
        <item m="1" x="4814"/>
        <item m="1" x="6069"/>
        <item m="1" x="5438"/>
        <item m="1" x="4063"/>
        <item m="1" x="7728"/>
        <item m="1" x="4864"/>
        <item m="1" x="5473"/>
        <item m="1" x="6394"/>
        <item m="1" x="6089"/>
        <item m="1" x="6888"/>
        <item m="1" x="4437"/>
        <item m="1" x="4034"/>
        <item m="1" x="5768"/>
        <item m="1" x="4841"/>
        <item m="1" x="217"/>
        <item m="1" x="464"/>
        <item m="1" x="2582"/>
        <item m="1" x="3364"/>
        <item m="1" x="5507"/>
        <item m="1" x="7568"/>
        <item m="1" x="2911"/>
        <item m="1" x="1488"/>
        <item m="1" x="2056"/>
        <item m="1" x="5529"/>
        <item m="1" x="1271"/>
        <item m="1" x="5229"/>
        <item m="1" x="4815"/>
        <item m="1" x="7525"/>
        <item m="1" x="2635"/>
        <item m="1" x="6525"/>
        <item m="1" x="4865"/>
        <item m="1" x="6179"/>
        <item m="1" x="7949"/>
        <item m="1" x="6160"/>
        <item m="1" x="6858"/>
        <item m="1" x="6889"/>
        <item m="1" x="6831"/>
        <item m="1" x="5209"/>
        <item m="1" x="7210"/>
        <item m="1" x="3313"/>
        <item m="1" x="2847"/>
        <item m="1" x="5751"/>
        <item m="1" x="6244"/>
        <item m="1" x="6115"/>
        <item m="1" x="4113"/>
        <item m="1" x="6200"/>
        <item m="1" x="6922"/>
        <item m="1" x="3455"/>
        <item m="1" x="1621"/>
        <item m="1" x="2721"/>
        <item m="1" x="7623"/>
        <item m="1" x="3365"/>
        <item m="1" x="7644"/>
        <item m="1" x="4816"/>
        <item m="1" x="5490"/>
        <item m="1" x="5832"/>
        <item m="1" x="6201"/>
        <item m="1" x="6923"/>
        <item m="1" x="5549"/>
        <item m="1" x="7569"/>
        <item m="1" x="6220"/>
        <item m="1" x="6966"/>
        <item m="1" x="4202"/>
        <item m="1" x="5474"/>
        <item m="1" x="3032"/>
        <item m="1" x="1573"/>
        <item m="1" x="2699"/>
        <item m="1" x="6221"/>
        <item m="1" x="2777"/>
        <item m="1" x="1162"/>
        <item m="1" x="6890"/>
        <item m="1" x="5593"/>
        <item m="1" x="792"/>
        <item m="1" x="6716"/>
        <item m="1" x="6180"/>
        <item m="1" x="4971"/>
        <item m="1" x="1210"/>
        <item m="1" x="4083"/>
        <item m="1" x="4589"/>
        <item m="1" x="826"/>
        <item m="1" x="3426"/>
        <item m="1" x="4201"/>
        <item m="1" x="7283"/>
        <item m="1" x="6766"/>
        <item m="1" x="4884"/>
        <item m="1" x="2610"/>
        <item m="1" x="5863"/>
        <item m="1" x="1892"/>
        <item m="1" x="7053"/>
        <item m="1" x="3714"/>
        <item m="1" x="7695"/>
        <item m="1" x="1163"/>
        <item m="1" x="2923"/>
        <item m="1" x="4114"/>
        <item m="1" x="1876"/>
        <item m="1" x="2953"/>
        <item m="1" x="4263"/>
        <item m="1" x="4885"/>
        <item m="1" x="6421"/>
        <item m="1" x="4972"/>
        <item m="1" x="6222"/>
        <item m="1" x="4264"/>
        <item m="1" x="6291"/>
        <item m="1" x="4590"/>
        <item m="1" x="1315"/>
        <item m="1" x="4909"/>
        <item m="1" x="2827"/>
        <item m="1" x="1252"/>
        <item m="1" x="5290"/>
        <item m="1" x="5676"/>
        <item m="1" x="809"/>
        <item m="1" x="5612"/>
        <item m="1" x="6982"/>
        <item m="1" x="7006"/>
        <item m="1" x="5884"/>
        <item m="1" x="6266"/>
        <item m="1" x="7664"/>
        <item m="1" x="3353"/>
        <item m="1" x="2892"/>
        <item m="1" x="4994"/>
        <item m="1" x="5573"/>
        <item m="1" x="1918"/>
        <item m="1" x="5931"/>
        <item m="1" x="5637"/>
        <item m="1" x="6656"/>
        <item m="1" x="7696"/>
        <item m="1" x="1143"/>
        <item m="1" x="6267"/>
        <item m="1" x="454"/>
        <item m="1" x="1590"/>
        <item m="1" x="6684"/>
        <item m="1" x="3609"/>
        <item m="1" x="827"/>
        <item m="1" x="3916"/>
        <item m="1" x="1036"/>
        <item m="1" x="437"/>
        <item m="1" x="1321"/>
        <item m="1" x="4738"/>
        <item m="1" x="3948"/>
        <item m="1" x="740"/>
        <item m="1" x="2447"/>
        <item m="1" x="515"/>
        <item m="1" x="1714"/>
        <item m="1" x="1691"/>
        <item m="1" x="4262"/>
        <item m="1" x="1828"/>
        <item m="1" x="872"/>
        <item m="1" x="6730"/>
        <item m="1" x="4784"/>
        <item m="1" x="2466"/>
        <item m="1" x="7790"/>
        <item m="1" x="1798"/>
        <item m="1" x="3411"/>
        <item m="1" x="3232"/>
        <item m="1" x="1369"/>
        <item m="1" x="6328"/>
        <item m="1" x="1361"/>
        <item m="1" x="4947"/>
        <item m="1" x="220"/>
        <item m="1" x="481"/>
        <item m="1" x="1081"/>
        <item m="1" x="2810"/>
        <item m="1" x="1095"/>
        <item m="1" x="1753"/>
        <item m="1" x="3670"/>
        <item m="1" x="4051"/>
        <item m="1" x="864"/>
        <item m="1" x="3975"/>
        <item m="1" x="560"/>
        <item m="1" x="397"/>
        <item m="1" x="544"/>
        <item m="1" x="4288"/>
        <item m="1" x="504"/>
        <item m="1" x="4832"/>
        <item m="1" x="270"/>
        <item m="1" x="1799"/>
        <item m="1" x="4904"/>
        <item m="1" x="6833"/>
        <item m="1" x="7541"/>
        <item m="1" x="4316"/>
        <item m="1" x="431"/>
        <item m="1" x="530"/>
        <item m="1" x="1474"/>
        <item m="1" x="2577"/>
        <item m="1" x="6782"/>
        <item m="1" x="3499"/>
        <item m="1" x="3355"/>
        <item m="1" x="1082"/>
        <item m="1" x="6376"/>
        <item m="1" x="1421"/>
        <item m="1" x="3473"/>
        <item m="1" x="2940"/>
        <item m="1" x="1955"/>
        <item m="1" x="1418"/>
        <item m="1" x="1865"/>
        <item m="1" x="3665"/>
        <item m="1" x="3221"/>
        <item m="1" x="2126"/>
        <item m="1" x="561"/>
        <item m="1" x="1154"/>
        <item m="1" x="907"/>
        <item m="1" x="307"/>
        <item m="1" x="598"/>
        <item m="1" x="4690"/>
        <item m="1" x="4104"/>
        <item m="1" x="1998"/>
        <item m="1" x="4859"/>
        <item m="1" x="7892"/>
        <item m="1" x="580"/>
        <item m="1" x="4654"/>
        <item m="1" x="6999"/>
        <item m="1" x="3726"/>
        <item m="1" x="4967"/>
        <item m="1" x="6012"/>
        <item m="1" x="5631"/>
        <item m="1" x="7460"/>
        <item m="1" x="4278"/>
        <item m="1" x="6303"/>
        <item m="1" x="969"/>
        <item m="1" x="4725"/>
        <item m="1" x="5650"/>
        <item m="1" x="5669"/>
        <item m="1" x="239"/>
        <item m="1" x="4027"/>
        <item m="1" x="7018"/>
        <item m="1" x="7688"/>
        <item m="1" x="5651"/>
        <item m="1" x="7771"/>
        <item m="1" x="6434"/>
        <item m="1" x="1007"/>
        <item m="1" x="6866"/>
        <item m="1" x="5010"/>
        <item m="1" x="4773"/>
        <item m="1" x="7019"/>
        <item m="1" x="7582"/>
        <item m="1" x="4827"/>
        <item m="1" x="3933"/>
        <item m="1" x="7772"/>
        <item m="1" x="6832"/>
        <item m="1" x="3553"/>
        <item m="1" x="5401"/>
        <item m="1" x="5047"/>
        <item m="1" x="5796"/>
        <item m="1" x="3531"/>
        <item m="1" x="5689"/>
        <item m="1" x="4774"/>
        <item m="1" x="5705"/>
        <item m="1" x="5418"/>
        <item m="1" x="6414"/>
        <item m="1" x="7102"/>
        <item m="1" x="7796"/>
        <item m="1" x="7486"/>
        <item m="1" x="6422"/>
        <item m="1" x="7715"/>
        <item m="1" x="7508"/>
        <item m="1" x="2366"/>
        <item m="1" x="3554"/>
        <item m="1" x="7624"/>
        <item m="1" x="4871"/>
        <item m="1" x="6415"/>
        <item m="1" x="5479"/>
        <item m="1" x="7216"/>
        <item m="1" x="7848"/>
        <item m="1" x="6416"/>
        <item m="1" x="6342"/>
        <item m="1" x="5090"/>
        <item m="1" x="2391"/>
        <item m="1" x="6440"/>
        <item m="1" x="7903"/>
        <item m="1" x="3624"/>
        <item m="1" x="5797"/>
        <item m="1" x="4916"/>
        <item m="1" x="6417"/>
        <item m="1" x="6122"/>
        <item m="1" x="3751"/>
        <item m="1" x="7960"/>
        <item m="1" x="6902"/>
        <item m="1" x="249"/>
        <item m="1" x="6461"/>
        <item m="1" x="4956"/>
        <item m="1" x="5496"/>
        <item m="1" x="6149"/>
        <item m="1" x="7069"/>
        <item m="1" x="7740"/>
        <item m="1" x="7509"/>
        <item m="1" x="3680"/>
        <item m="1" x="4775"/>
        <item m="1" x="7933"/>
        <item m="1" x="7871"/>
        <item m="1" x="5145"/>
        <item m="1" x="4121"/>
        <item m="1" x="7234"/>
        <item m="1" x="3308"/>
        <item m="1" x="6903"/>
        <item m="1" x="2805"/>
        <item m="1" x="4184"/>
        <item m="1" x="5002"/>
        <item m="1" x="2594"/>
        <item m="1" x="1558"/>
        <item m="1" x="6891"/>
        <item m="1" x="3598"/>
        <item m="1" x="3055"/>
        <item m="1" x="4191"/>
        <item m="1" x="6467"/>
        <item m="1" x="4350"/>
        <item m="1" x="590"/>
        <item m="1" x="1145"/>
        <item m="1" x="3466"/>
        <item m="1" x="2105"/>
        <item m="1" x="2848"/>
        <item m="1" x="5192"/>
        <item m="1" x="7770"/>
        <item m="1" x="3574"/>
        <item m="1" x="7970"/>
        <item m="1" x="597"/>
        <item m="1" x="4984"/>
        <item m="1" x="2303"/>
        <item m="1" x="932"/>
        <item m="1" x="4452"/>
        <item m="1" x="1633"/>
        <item m="1" x="3492"/>
        <item m="1" x="3399"/>
        <item m="1" x="1883"/>
        <item m="1" x="949"/>
        <item m="1" x="405"/>
        <item m="1" x="5233"/>
        <item m="1" x="3174"/>
        <item m="1" x="1674"/>
        <item m="1" x="2330"/>
        <item m="1" x="3522"/>
        <item m="1" x="6449"/>
        <item m="1" x="3142"/>
        <item m="1" x="4307"/>
        <item m="1" x="7127"/>
        <item m="1" x="7795"/>
        <item m="1" x="7549"/>
        <item m="1" x="3467"/>
        <item m="1" x="5273"/>
        <item m="1" x="7914"/>
        <item m="1" x="1308"/>
        <item m="1" x="7034"/>
        <item m="1" x="6078"/>
        <item m="1" x="3550"/>
        <item m="1" x="3128"/>
        <item m="1" x="7330"/>
        <item m="1" x="5116"/>
        <item m="1" x="892"/>
        <item m="1" x="7665"/>
        <item m="1" x="5622"/>
        <item m="1" x="6946"/>
        <item m="1" x="3642"/>
        <item m="1" x="5043"/>
        <item m="1" x="5110"/>
        <item m="1" x="192"/>
        <item m="1" x="1652"/>
        <item m="1" x="4361"/>
        <item m="1" x="1989"/>
        <item m="1" x="4308"/>
        <item m="1" x="457"/>
        <item m="1" x="3276"/>
        <item m="1" x="6099"/>
        <item m="1" x="1762"/>
        <item m="1" x="2790"/>
        <item m="1" x="3594"/>
        <item m="1" x="2406"/>
        <item m="1" x="7822"/>
        <item m="1" x="7014"/>
        <item m="1" x="7719"/>
        <item m="1" x="3549"/>
        <item m="1" x="3294"/>
        <item m="1" x="3595"/>
        <item m="1" x="224"/>
        <item m="1" x="5111"/>
        <item m="1" x="510"/>
        <item m="1" x="1041"/>
        <item m="1" x="4362"/>
        <item m="1" x="3211"/>
        <item m="1" x="7171"/>
        <item m="1" x="7847"/>
        <item m="1" x="7588"/>
        <item m="1" x="3523"/>
        <item m="1" x="3156"/>
        <item m="1" x="2475"/>
        <item m="1" x="3618"/>
        <item m="1" x="2100"/>
        <item m="1" x="5456"/>
        <item m="1" x="5177"/>
        <item m="1" x="4343"/>
        <item m="1" x="7513"/>
        <item m="1" x="6423"/>
        <item m="1" x="3999"/>
        <item m="1" x="2588"/>
        <item m="1" x="2874"/>
        <item m="1" x="4396"/>
        <item m="1" x="2205"/>
        <item m="1" x="4802"/>
        <item m="1" x="181"/>
        <item m="1" x="6983"/>
        <item m="1" x="6514"/>
        <item m="1" x="6841"/>
        <item m="1" x="6488"/>
        <item m="1" x="5149"/>
        <item m="1" x="2252"/>
        <item m="1" x="2791"/>
        <item m="1" x="2081"/>
        <item m="1" x="2849"/>
        <item m="1" x="5804"/>
        <item m="1" x="7246"/>
        <item m="1" x="7870"/>
        <item m="1" x="7272"/>
        <item m="1" x="7610"/>
        <item m="1" x="5499"/>
        <item m="1" x="3593"/>
        <item m="1" x="3295"/>
        <item m="1" x="5782"/>
        <item m="1" x="4511"/>
        <item m="1" x="4072"/>
        <item m="1" x="6935"/>
        <item m="1" x="7288"/>
        <item m="1" x="2893"/>
        <item m="1" x="2912"/>
        <item m="1" x="5524"/>
        <item m="1" x="5842"/>
        <item m="1" x="3763"/>
        <item m="1" x="4497"/>
        <item m="1" x="7590"/>
        <item m="1" x="7963"/>
        <item m="1" x="7273"/>
        <item m="1" x="4095"/>
        <item m="1" x="2941"/>
        <item m="1" x="7654"/>
        <item m="1" x="3333"/>
        <item m="1" x="7629"/>
        <item m="1" x="3570"/>
        <item m="1" x="1489"/>
        <item m="1" x="2163"/>
        <item m="1" x="4475"/>
        <item m="1" x="3350"/>
        <item m="1" x="1512"/>
        <item m="1" x="4607"/>
        <item m="1" x="2206"/>
        <item m="1" x="6536"/>
        <item m="1" x="6936"/>
        <item m="1" x="7289"/>
        <item m="1" x="2181"/>
        <item m="1" x="7749"/>
        <item m="1" x="4608"/>
        <item m="1" x="5278"/>
        <item m="1" x="2999"/>
        <item m="1" x="6593"/>
        <item m="1" x="6657"/>
        <item m="1" x="7026"/>
        <item m="1" x="3764"/>
        <item m="1" x="4940"/>
        <item m="1" x="2875"/>
        <item m="1" x="6755"/>
        <item m="1" x="4192"/>
        <item m="1" x="4154"/>
        <item m="1" x="2969"/>
        <item m="1" x="3057"/>
        <item m="1" x="6908"/>
        <item m="1" x="2225"/>
        <item m="1" x="5235"/>
        <item m="1" x="4011"/>
        <item m="1" x="3176"/>
        <item m="1" x="2254"/>
        <item m="1" x="2333"/>
        <item m="1" x="3638"/>
        <item m="1" x="3400"/>
        <item m="1" x="4512"/>
        <item m="1" x="3098"/>
        <item m="1" x="5307"/>
        <item m="1" x="4609"/>
        <item m="1" x="3846"/>
        <item m="1" x="6859"/>
        <item m="1" x="2611"/>
        <item m="1" x="7828"/>
        <item m="1" x="4363"/>
        <item m="1" x="2331"/>
        <item m="1" x="4625"/>
        <item m="1" x="3617"/>
        <item m="1" x="1574"/>
        <item m="1" x="2253"/>
        <item m="1" x="825"/>
        <item m="1" x="6600"/>
        <item m="1" x="1682"/>
        <item m="1" x="4392"/>
        <item m="1" x="2122"/>
        <item m="1" x="7024"/>
        <item m="1" x="1647"/>
        <item m="1" x="2224"/>
        <item m="1" x="2076"/>
        <item m="1" x="460"/>
        <item m="1" x="3184"/>
        <item m="1" x="7076"/>
        <item m="1" x="738"/>
        <item m="1" x="7829"/>
        <item m="1" x="6967"/>
        <item m="1" x="491"/>
        <item m="1" x="7710"/>
        <item m="1" x="1354"/>
        <item m="1" x="2868"/>
        <item m="1" x="997"/>
        <item m="1" x="775"/>
        <item m="1" x="1046"/>
        <item m="1" x="4536"/>
        <item m="1" x="2123"/>
        <item m="1" x="2025"/>
        <item m="1" x="1387"/>
        <item m="1" x="2436"/>
        <item m="1" x="2886"/>
        <item m="1" x="1416"/>
        <item m="1" x="608"/>
        <item m="1" x="1925"/>
        <item m="1" x="2138"/>
        <item m="1" x="7176"/>
        <item m="1" x="3468"/>
        <item m="1" x="4090"/>
        <item m="1" x="7199"/>
        <item m="1" x="857"/>
        <item m="1" x="2841"/>
        <item m="1" x="3309"/>
        <item m="1" x="1439"/>
        <item m="1" x="281"/>
        <item m="1" x="257"/>
        <item m="1" x="3368"/>
        <item m="1" x="297"/>
        <item m="1" x="2535"/>
        <item m="1" x="1417"/>
        <item m="1" x="2219"/>
        <item m="1" x="806"/>
        <item m="1" x="1612"/>
        <item m="1" x="2304"/>
        <item m="1" x="4606"/>
        <item m="1" x="2963"/>
        <item m="1" x="229"/>
        <item m="1" x="7964"/>
        <item m="1" x="296"/>
        <item m="1" x="570"/>
        <item m="1" x="3012"/>
        <item m="1" x="776"/>
        <item m="1" x="550"/>
        <item m="1" x="1440"/>
        <item m="1" x="312"/>
        <item m="1" x="1108"/>
        <item m="1" x="2139"/>
        <item m="1" x="334"/>
        <item m="1" x="858"/>
        <item m="1" x="2332"/>
        <item m="1" x="1791"/>
        <item m="1" x="790"/>
        <item m="1" x="1532"/>
        <item m="1" x="3758"/>
        <item m="1" x="4571"/>
        <item m="1" x="4213"/>
        <item m="1" x="840"/>
        <item m="1" x="1483"/>
        <item m="1" x="2906"/>
        <item m="1" x="2553"/>
        <item m="1" x="2157"/>
        <item m="1" x="313"/>
        <item m="1" x="890"/>
        <item m="1" x="1591"/>
        <item m="1" x="2930"/>
        <item m="1" x="4577"/>
        <item m="1" x="7327"/>
        <item m="1" x="7221"/>
        <item m="1" x="1462"/>
        <item m="1" x="335"/>
        <item m="1" x="3435"/>
        <item m="1" x="3395"/>
        <item m="1" x="3780"/>
        <item m="1" x="659"/>
        <item m="1" x="56"/>
        <item m="1" x="1203"/>
        <item m="1" x="913"/>
        <item m="1" x="3794"/>
        <item m="1" x="3524"/>
        <item m="1" x="2974"/>
        <item m="1" x="2234"/>
        <item m="1" x="5589"/>
        <item m="1" x="3500"/>
        <item m="1" x="1954"/>
        <item m="1" x="4279"/>
        <item m="1" x="7716"/>
        <item m="1" x="2670"/>
        <item m="1" x="5327"/>
        <item m="1" x="7103"/>
        <item m="1" x="6304"/>
        <item m="1" x="889"/>
        <item m="1" x="1653"/>
        <item m="1" x="2360"/>
        <item m="1" x="7020"/>
        <item m="1" x="7442"/>
        <item m="1" x="2384"/>
        <item m="1" x="2715"/>
        <item m="1" x="5350"/>
        <item m="1" x="6785"/>
        <item m="1" x="5690"/>
        <item m="1" x="3086"/>
        <item m="1" x="5011"/>
        <item m="1" x="2285"/>
        <item m="1" x="5071"/>
        <item m="1" x="5371"/>
        <item m="1" x="3625"/>
        <item m="1" x="5798"/>
        <item m="1" x="6397"/>
        <item m="1" x="5706"/>
        <item m="1" x="912"/>
        <item m="1" x="6369"/>
        <item m="1" x="4624"/>
        <item m="1" x="2800"/>
        <item m="1" x="6418"/>
        <item m="1" x="7797"/>
        <item m="1" x="7443"/>
        <item m="1" x="3934"/>
        <item m="1" x="7145"/>
        <item m="1" x="7872"/>
        <item m="1" x="7104"/>
        <item m="1" x="3781"/>
        <item m="1" x="4698"/>
        <item m="1" x="2315"/>
        <item m="1" x="3897"/>
        <item m="1" x="5117"/>
        <item m="1" x="3571"/>
        <item m="1" x="4649"/>
        <item m="1" x="1334"/>
        <item m="1" x="7463"/>
        <item m="1" x="4726"/>
        <item m="1" x="5755"/>
        <item m="1" x="977"/>
        <item m="1" x="3864"/>
        <item m="1" x="4872"/>
        <item m="1" x="1700"/>
        <item m="1" x="2407"/>
        <item m="1" x="3989"/>
        <item m="1" x="4552"/>
        <item m="1" x="5442"/>
        <item m="1" x="5839"/>
        <item m="1" x="5741"/>
        <item m="1" x="7904"/>
        <item m="1" x="3185"/>
        <item m="1" x="4366"/>
        <item m="1" x="2077"/>
        <item m="1" x="3961"/>
        <item m="1" x="5072"/>
        <item m="1" x="2822"/>
        <item m="1" x="4747"/>
        <item m="1" x="5723"/>
        <item m="1" x="7934"/>
        <item m="1" x="2476"/>
        <item m="1" x="2931"/>
        <item m="1" x="5776"/>
        <item m="1" x="4492"/>
        <item m="1" x="741"/>
        <item m="1" x="4601"/>
        <item m="1" x="3249"/>
        <item m="1" x="6462"/>
        <item m="1" x="7306"/>
        <item m="1" x="5756"/>
        <item m="1" x="5217"/>
        <item m="1" x="5799"/>
        <item m="1" x="6463"/>
        <item m="1" x="7147"/>
        <item m="1" x="7444"/>
        <item m="1" x="4339"/>
        <item m="1" x="5891"/>
        <item m="1" x="3643"/>
        <item m="1" x="4677"/>
        <item m="1" x="3698"/>
        <item m="1" x="6661"/>
        <item m="1" x="7172"/>
        <item m="1" x="5091"/>
        <item m="1" x="6052"/>
        <item m="1" x="7191"/>
        <item m="1" x="7589"/>
        <item m="1" x="4917"/>
        <item m="1" x="5193"/>
        <item m="1" x="1506"/>
        <item m="1" x="6838"/>
        <item m="1" x="3697"/>
        <item m="1" x="1463"/>
        <item m="1" x="4663"/>
        <item m="1" x="5722"/>
        <item m="1" x="5740"/>
        <item m="1" x="7873"/>
        <item m="1" x="5775"/>
        <item m="1" x="1441"/>
        <item m="1" x="1513"/>
        <item m="1" x="2554"/>
        <item m="1" x="1198"/>
        <item m="1" x="574"/>
        <item m="1" x="75"/>
        <item m="1" x="631"/>
        <item m="1" x="2207"/>
        <item m="1" x="591"/>
        <item m="1" x="2943"/>
        <item m="1" x="6878"/>
        <item m="1" x="2226"/>
        <item m="1" x="4941"/>
        <item m="1" x="7941"/>
        <item m="1" x="2256"/>
        <item m="1" x="7616"/>
        <item m="1" x="1990"/>
        <item m="1" x="7146"/>
        <item m="1" x="3401"/>
        <item m="1" x="319"/>
        <item m="1" x="5840"/>
        <item m="1" x="1146"/>
        <item m="1" x="4985"/>
        <item m="1" x="1555"/>
        <item m="1" x="2306"/>
        <item m="1" x="135"/>
        <item m="1" x="2738"/>
        <item m="1" x="71"/>
        <item m="1" x="5256"/>
        <item m="1" x="154"/>
        <item m="1" x="1147"/>
        <item m="1" x="1281"/>
        <item m="1" x="3493"/>
        <item m="1" x="1991"/>
        <item m="1" x="5009"/>
        <item m="1" x="7148"/>
        <item m="1" x="58"/>
        <item m="1" x="373"/>
        <item m="1" x="4249"/>
        <item m="1" x="1973"/>
        <item m="1" x="3892"/>
        <item m="1" x="6978"/>
        <item m="1" x="7638"/>
        <item m="1" x="1634"/>
        <item m="1" x="3081"/>
        <item m="1" x="2663"/>
        <item m="1" x="444"/>
        <item m="1" x="2851"/>
        <item m="1" x="3814"/>
        <item m="1" x="247"/>
        <item m="1" x="4284"/>
        <item m="1" x="2268"/>
        <item m="1" x="3197"/>
        <item m="1" x="4331"/>
        <item m="1" x="1934"/>
        <item m="1" x="5339"/>
        <item m="1" x="6904"/>
        <item m="1" x="1199"/>
        <item m="1" x="215"/>
        <item m="1" x="3469"/>
        <item m="1" x="5978"/>
        <item m="1" x="1866"/>
        <item m="1" x="3494"/>
        <item m="1" x="2766"/>
        <item m="1" x="1173"/>
        <item m="1" x="388"/>
        <item m="1" x="966"/>
        <item m="1" x="113"/>
        <item m="1" x="3737"/>
        <item m="1" x="2095"/>
        <item m="1" x="4084"/>
        <item m="1" x="4694"/>
        <item m="1" x="5186"/>
        <item m="1" x="7105"/>
        <item m="1" x="5065"/>
        <item m="1" x="4414"/>
        <item m="1" x="112"/>
        <item m="1" x="656"/>
        <item m="1" x="2255"/>
        <item m="1" x="2409"/>
        <item m="1" x="1381"/>
        <item m="1" x="3596"/>
        <item m="1" x="772"/>
        <item m="1" x="4387"/>
        <item m="1" x="2096"/>
        <item m="1" x="2954"/>
        <item m="1" x="4203"/>
        <item m="1" x="242"/>
        <item m="1" x="1701"/>
        <item m="1" x="7851"/>
        <item m="1" x="1380"/>
        <item m="1" x="2150"/>
        <item m="1" x="5379"/>
        <item m="1" x="176"/>
        <item m="1" x="6056"/>
        <item m="1" x="5783"/>
        <item m="1" x="2806"/>
        <item m="1" x="2942"/>
        <item m="1" x="2133"/>
        <item m="1" x="6515"/>
        <item m="1" x="5151"/>
        <item m="1" x="4022"/>
        <item m="1" x="1749"/>
        <item m="1" x="1675"/>
        <item m="1" x="4415"/>
        <item m="1" x="1097"/>
        <item m="1" x="4855"/>
        <item m="1" x="6445"/>
        <item m="1" x="7222"/>
        <item m="1" x="6511"/>
        <item m="1" x="4874"/>
        <item m="1" x="6190"/>
        <item m="1" x="5178"/>
        <item m="1" x="1774"/>
        <item m="1" x="6105"/>
        <item m="1" x="6489"/>
        <item m="1" x="6559"/>
        <item m="1" x="3782"/>
        <item m="1" x="4743"/>
        <item m="1" x="7149"/>
        <item m="1" x="6151"/>
        <item m="1" x="5112"/>
        <item m="1" x="5446"/>
        <item m="1" x="7248"/>
        <item m="1" x="5525"/>
        <item m="1" x="6954"/>
        <item m="1" x="4155"/>
        <item m="1" x="153"/>
        <item m="1" x="694"/>
        <item m="1" x="2305"/>
        <item m="1" x="3957"/>
        <item m="1" x="1410"/>
        <item m="1" x="4476"/>
        <item m="1" x="7247"/>
        <item m="1" x="7937"/>
        <item m="1" x="4096"/>
        <item m="1" x="6560"/>
        <item m="1" x="7634"/>
        <item m="1" x="695"/>
        <item m="1" x="5843"/>
        <item m="1" x="7290"/>
        <item m="1" x="4964"/>
        <item m="1" x="5236"/>
        <item m="1" x="2876"/>
        <item m="1" x="5587"/>
        <item m="1" x="5152"/>
        <item m="1" x="3402"/>
        <item m="1" x="5237"/>
        <item m="1" x="5405"/>
        <item m="1" x="4193"/>
        <item m="1" x="4097"/>
        <item m="1" x="2643"/>
        <item m="1" x="2998"/>
        <item m="1" x="3058"/>
        <item m="1" x="7591"/>
        <item m="1" x="7542"/>
        <item m="1" x="5540"/>
        <item m="1" x="3442"/>
        <item m="1" x="1721"/>
        <item m="1" x="6575"/>
        <item m="1" x="3765"/>
        <item m="1" x="4371"/>
        <item m="1" x="5425"/>
        <item m="1" x="6950"/>
        <item m="1" x="5874"/>
        <item m="1" x="7383"/>
        <item m="1" x="3033"/>
        <item m="1" x="1822"/>
        <item m="1" x="2739"/>
        <item m="1" x="1200"/>
        <item m="1" x="5280"/>
        <item m="1" x="5308"/>
        <item m="1" x="3099"/>
        <item m="1" x="3470"/>
        <item m="1" x="2227"/>
        <item m="1" x="7611"/>
        <item m="1" x="7122"/>
        <item m="1" x="4250"/>
        <item m="1" x="6556"/>
        <item m="1" x="3822"/>
        <item m="1" x="4695"/>
        <item m="1" x="1246"/>
        <item m="1" x="5647"/>
        <item m="1" x="4842"/>
        <item m="1" x="7192"/>
        <item m="1" x="7655"/>
        <item m="1" x="1126"/>
        <item m="1" x="4986"/>
        <item m="1" x="6259"/>
        <item m="1" x="7328"/>
        <item m="1" x="6995"/>
        <item m="1" x="1148"/>
        <item m="1" x="5893"/>
        <item m="1" x="6576"/>
        <item m="1" x="4898"/>
        <item m="1" x="5894"/>
        <item m="1" x="7733"/>
        <item m="1" x="7711"/>
        <item m="1" x="4125"/>
        <item m="1" x="2792"/>
        <item m="1" x="7635"/>
        <item m="1" x="4332"/>
        <item m="1" x="193"/>
        <item m="1" x="733"/>
        <item m="1" x="2361"/>
        <item m="1" x="5921"/>
        <item m="1" x="2970"/>
        <item m="1" x="1221"/>
        <item m="1" x="3825"/>
        <item m="1" x="6260"/>
        <item m="1" x="4309"/>
        <item m="1" x="2838"/>
        <item m="1" x="4744"/>
        <item m="1" x="1025"/>
        <item m="1" x="5946"/>
        <item m="1" x="5027"/>
        <item m="1" x="7734"/>
        <item m="1" x="3148"/>
        <item m="1" x="5686"/>
        <item m="1" x="5449"/>
        <item m="1" x="4727"/>
        <item m="1" x="2052"/>
        <item m="1" x="2772"/>
        <item m="1" x="429"/>
        <item m="1" x="2158"/>
        <item m="1" x="7697"/>
        <item m="1" x="3056"/>
        <item m="1" x="3935"/>
        <item m="1" x="2842"/>
        <item m="1" x="6665"/>
        <item m="1" x="1637"/>
        <item m="1" x="2367"/>
        <item m="1" x="2026"/>
        <item m="1" x="970"/>
        <item m="1" x="1769"/>
        <item m="1" x="758"/>
        <item m="1" x="1763"/>
        <item m="1" x="1355"/>
        <item m="1" x="7720"/>
        <item m="1" x="2416"/>
        <item m="1" x="5607"/>
        <item m="1" x="492"/>
        <item m="1" x="2801"/>
        <item m="1" x="4748"/>
        <item m="1" x="1728"/>
        <item m="1" x="4728"/>
        <item m="1" x="1639"/>
        <item m="1" x="1683"/>
        <item m="1" x="5718"/>
        <item m="1" x="2437"/>
        <item m="1" x="2053"/>
        <item m="1" x="7448"/>
        <item m="1" x="493"/>
        <item m="1" x="3217"/>
        <item m="1" x="1658"/>
        <item m="1" x="3962"/>
        <item m="1" x="3865"/>
        <item m="1" x="4793"/>
        <item m="1" x="5279"/>
        <item m="1" x="7244"/>
        <item m="1" x="522"/>
        <item m="1" x="1770"/>
        <item m="1" x="225"/>
        <item m="1" x="771"/>
        <item m="1" x="2408"/>
        <item m="1" x="282"/>
        <item m="1" x="4776"/>
        <item m="1" x="1047"/>
        <item m="1" x="1771"/>
        <item m="1" x="3990"/>
        <item m="1" x="3699"/>
        <item m="1" x="4843"/>
        <item m="1" x="6737"/>
        <item m="1" x="1464"/>
        <item m="1" x="7805"/>
        <item m="1" x="1744"/>
        <item m="1" x="1818"/>
        <item m="1" x="523"/>
        <item m="1" x="2351"/>
        <item m="1" x="5752"/>
        <item m="1" x="1074"/>
        <item m="1" x="587"/>
        <item m="1" x="6767"/>
        <item m="1" x="7533"/>
        <item m="1" x="4067"/>
        <item m="1" x="1838"/>
        <item m="1" x="7878"/>
        <item m="1" x="3783"/>
        <item m="1" x="2932"/>
        <item m="1" x="4091"/>
        <item m="1" x="7912"/>
        <item m="1" x="6842"/>
        <item m="1" x="1465"/>
        <item m="1" x="3097"/>
        <item m="1" x="315"/>
        <item m="1" x="6579"/>
        <item m="1" x="1484"/>
        <item m="1" x="1903"/>
        <item m="1" x="1073"/>
        <item m="1" x="7879"/>
        <item m="1" x="2400"/>
        <item m="1" x="891"/>
        <item m="1" x="4977"/>
        <item m="1" x="468"/>
        <item m="1" x="1508"/>
        <item m="1" x="1507"/>
        <item m="1" x="2220"/>
        <item m="1" x="3347"/>
        <item m="1" x="1169"/>
        <item m="1" x="2204"/>
        <item m="1" x="2933"/>
        <item m="1" x="4122"/>
        <item m="1" x="1926"/>
        <item m="1" x="4918"/>
        <item m="1" x="3370"/>
        <item m="1" x="4214"/>
        <item m="1" x="7457"/>
        <item m="1" x="109"/>
        <item m="1" x="6285"/>
        <item m="1" x="1194"/>
        <item m="1" x="6909"/>
        <item m="1" x="3280"/>
        <item m="1" x="1110"/>
        <item m="1" x="1904"/>
        <item m="1" x="3866"/>
        <item m="1" x="3759"/>
        <item m="1" x="551"/>
        <item m="1" x="1819"/>
        <item m="1" x="2992"/>
        <item m="1" x="5791"/>
        <item m="1" x="791"/>
        <item m="1" x="859"/>
        <item m="1" x="5901"/>
        <item m="1" x="3830"/>
        <item m="1" x="7713"/>
        <item m="1" x="1592"/>
        <item m="1" x="7365"/>
        <item m="1" x="914"/>
        <item m="1" x="2964"/>
        <item m="1" x="2221"/>
        <item m="1" x="6286"/>
        <item m="1" x="3396"/>
        <item m="1" x="1218"/>
        <item m="1" x="2248"/>
        <item m="1" x="2993"/>
        <item m="1" x="4185"/>
        <item m="1" x="1927"/>
        <item m="1" x="2947"/>
        <item m="1" x="1583"/>
        <item m="1" x="5312"/>
        <item m="1" x="4583"/>
        <item m="1" x="3853"/>
        <item m="1" x="1092"/>
        <item m="1" x="2286"/>
        <item m="1" x="3917"/>
        <item m="1" x="5926"/>
        <item m="1" x="5691"/>
        <item m="1" x="1886"/>
        <item m="1" x="2625"/>
        <item m="1" x="3796"/>
        <item m="1" x="7741"/>
        <item m="1" x="3006"/>
        <item m="1" x="1913"/>
        <item m="1" x="7427"/>
        <item m="1" x="4990"/>
        <item m="1" x="3445"/>
        <item m="1" x="3446"/>
        <item m="1" x="5927"/>
        <item m="1" x="5833"/>
        <item m="1" x="1193"/>
        <item m="1" x="6326"/>
        <item m="1" x="1602"/>
        <item m="1" x="2646"/>
        <item m="1" x="3878"/>
        <item m="1" x="5012"/>
        <item m="1" x="4685"/>
        <item m="1" x="7573"/>
        <item m="1" x="5313"/>
        <item m="1" x="2975"/>
        <item m="1" x="5692"/>
        <item m="1" x="1887"/>
        <item m="1" x="3175"/>
        <item m="1" x="3898"/>
        <item m="1" x="6643"/>
        <item m="1" x="5402"/>
        <item m="1" x="1618"/>
        <item m="1" x="1952"/>
        <item m="1" x="3065"/>
        <item m="1" x="1109"/>
        <item m="1" x="7502"/>
        <item m="1" x="6025"/>
        <item m="1" x="7798"/>
        <item m="1" x="4340"/>
        <item m="1" x="3149"/>
        <item m="1" x="7445"/>
        <item m="1" x="5351"/>
        <item m="1" x="5984"/>
        <item m="1" x="6734"/>
        <item m="1" x="314"/>
        <item m="1" x="3187"/>
        <item m="1" x="1659"/>
        <item m="1" x="3039"/>
        <item m="1" x="6005"/>
        <item m="1" x="1241"/>
        <item m="1" x="3050"/>
        <item m="1" x="3369"/>
        <item m="1" x="5968"/>
        <item m="1" x="4669"/>
        <item m="1" x="2694"/>
        <item m="1" x="4729"/>
        <item m="1" x="3899"/>
        <item m="1" x="7773"/>
        <item m="1" x="954"/>
        <item m="1" x="5985"/>
        <item m="1" x="6955"/>
        <item m="1" x="1277"/>
        <item m="1" x="7487"/>
        <item m="1" x="5419"/>
        <item m="1" x="7823"/>
        <item m="1" x="3900"/>
        <item m="1" x="5030"/>
        <item m="1" x="5443"/>
        <item m="1" x="1535"/>
        <item m="1" x="2745"/>
        <item m="1" x="3218"/>
        <item m="1" x="7337"/>
        <item m="1" x="4686"/>
        <item m="1" x="3879"/>
        <item m="1" x="3992"/>
        <item m="1" x="6761"/>
        <item m="1" x="3463"/>
        <item m="1" x="1260"/>
        <item m="1" x="2298"/>
        <item m="1" x="3051"/>
        <item m="1" x="4242"/>
        <item m="1" x="1967"/>
        <item m="1" x="3005"/>
        <item m="1" x="3746"/>
        <item m="1" x="3901"/>
        <item m="1" x="1141"/>
        <item m="1" x="5497"/>
        <item m="1" x="6096"/>
        <item m="1" x="7529"/>
        <item m="1" x="5403"/>
        <item m="1" x="6076"/>
        <item m="1" x="3937"/>
        <item m="1" x="7572"/>
        <item m="1" x="1029"/>
        <item m="1" x="4018"/>
        <item m="1" x="4418"/>
        <item m="1" x="1999"/>
        <item m="1" x="1075"/>
        <item m="1" x="5118"/>
        <item m="1" x="6123"/>
        <item m="1" x="4445"/>
        <item m="1" x="1322"/>
        <item m="1" x="4700"/>
        <item m="1" x="5582"/>
        <item m="1" x="5146"/>
        <item m="1" x="7874"/>
        <item m="1" x="5537"/>
        <item m="1" x="7612"/>
        <item m="1" x="7905"/>
        <item m="1" x="5777"/>
        <item m="1" x="6278"/>
        <item m="1" x="5480"/>
        <item m="1" x="6168"/>
        <item m="1" x="3993"/>
        <item m="1" x="3242"/>
        <item m="1" x="976"/>
        <item m="1" x="7651"/>
        <item m="1" x="5194"/>
        <item m="1" x="1745"/>
        <item m="1" x="1987"/>
        <item m="1" x="57"/>
        <item m="1" x="6077"/>
        <item m="1" x="1192"/>
        <item m="1" x="7530"/>
        <item m="1" x="4068"/>
        <item m="1" x="5559"/>
        <item m="1" x="4978"/>
        <item m="1" x="4153"/>
        <item m="1" x="7535"/>
        <item m="1" x="4123"/>
        <item m="1" x="2944"/>
        <item m="1" x="7217"/>
        <item m="1" x="5567"/>
        <item m="1" x="261"/>
        <item m="1" x="4215"/>
        <item m="1" x="1371"/>
        <item m="1" x="6996"/>
        <item m="1" x="3488"/>
        <item m="1" x="1370"/>
        <item m="1" x="6004"/>
        <item m="1" x="2595"/>
        <item m="1" x="3188"/>
        <item m="1" x="5420"/>
        <item m="1" x="3281"/>
        <item m="1" x="7510"/>
        <item m="1" x="7245"/>
        <item m="1" x="4556"/>
        <item m="1" x="1597"/>
        <item m="1" x="1469"/>
        <item m="1" x="3093"/>
        <item m="1" x="4750"/>
        <item m="1" x="5800"/>
        <item m="1" x="950"/>
        <item m="1" x="2664"/>
        <item m="1" x="406"/>
        <item m="1" x="4326"/>
        <item m="1" x="76"/>
        <item m="1" x="3766"/>
        <item m="1" x="3513"/>
        <item m="1" x="1301"/>
        <item m="1" x="2352"/>
        <item m="1" x="3094"/>
        <item m="1" x="4296"/>
        <item m="1" x="2013"/>
        <item m="1" x="3064"/>
        <item m="1" x="3795"/>
        <item m="1" x="2971"/>
        <item m="1" x="933"/>
        <item m="1" x="2208"/>
        <item m="1" x="389"/>
        <item m="1" x="338"/>
        <item m="1" x="865"/>
        <item m="1" x="893"/>
        <item m="1" x="1142"/>
        <item m="1" x="136"/>
        <item m="1" x="1598"/>
        <item m="1" x="4382"/>
        <item m="1" x="4799"/>
        <item m="1" x="4186"/>
        <item m="1" x="356"/>
        <item m="1" x="7656"/>
        <item m="1" x="2592"/>
        <item m="1" x="387"/>
        <item m="1" x="1559"/>
        <item m="1" x="374"/>
        <item m="1" x="951"/>
        <item m="1" x="3806"/>
        <item m="1" x="866"/>
        <item m="1" x="421"/>
        <item m="1" x="3296"/>
        <item m="1" x="4470"/>
        <item m="1" x="2041"/>
        <item m="1" x="94"/>
        <item m="1" x="407"/>
        <item m="1" x="903"/>
        <item m="1" x="6095"/>
        <item m="1" x="2257"/>
        <item m="1" x="657"/>
        <item m="1" x="1575"/>
        <item m="1" x="2258"/>
        <item m="1" x="3788"/>
        <item m="1" x="4650"/>
        <item m="1" x="1442"/>
        <item m="1" x="1427"/>
        <item m="1" x="3165"/>
        <item m="1" x="3588"/>
        <item m="1" x="6150"/>
        <item m="1" x="4852"/>
        <item m="1" x="3847"/>
        <item m="1" x="4626"/>
        <item m="1" x="155"/>
        <item m="1" x="2686"/>
        <item m="1" x="918"/>
        <item m="1" x="408"/>
        <item m="1" x="7045"/>
        <item m="1" x="934"/>
        <item m="1" x="1309"/>
        <item m="1" x="1022"/>
        <item m="1" x="2307"/>
        <item m="1" x="156"/>
        <item m="1" x="2334"/>
        <item m="1" x="445"/>
        <item m="1" x="952"/>
        <item m="1" x="1676"/>
        <item m="1" x="3100"/>
        <item m="1" x="2740"/>
        <item m="1" x="3563"/>
        <item m="1" x="1343"/>
        <item m="1" x="2401"/>
        <item m="1" x="3166"/>
        <item m="1" x="4351"/>
        <item m="1" x="2065"/>
        <item m="1" x="3112"/>
        <item m="1" x="3829"/>
        <item m="1" x="696"/>
        <item m="1" x="4681"/>
        <item m="1" x="7689"/>
        <item m="1" x="714"/>
        <item m="1" x="3177"/>
        <item m="1" x="177"/>
        <item m="1" x="1615"/>
        <item m="1" x="3768"/>
        <item m="1" x="4221"/>
        <item m="1" x="2048"/>
        <item m="1" x="3143"/>
        <item m="1" x="2793"/>
        <item m="1" x="1382"/>
        <item m="1" x="4893"/>
        <item m="1" x="1635"/>
        <item m="1" x="7712"/>
        <item m="1" x="1722"/>
        <item m="1" x="2410"/>
        <item m="1" x="1055"/>
        <item m="1" x="4012"/>
        <item m="1" x="986"/>
        <item m="1" x="756"/>
        <item m="1" x="5508"/>
        <item m="1" x="3101"/>
        <item m="1" x="1004"/>
        <item m="1" x="680"/>
        <item m="1" x="6502"/>
        <item m="1" x="4682"/>
        <item m="1" x="6116"/>
        <item m="1" x="7893"/>
        <item m="1" x="1310"/>
        <item m="1" x="987"/>
        <item m="1" x="7260"/>
        <item m="1" x="693"/>
        <item m="1" x="1613"/>
        <item m="1" x="1765"/>
        <item m="1" x="1351"/>
        <item m="1" x="3297"/>
        <item m="1" x="4035"/>
        <item m="1" x="6251"/>
        <item m="1" x="1433"/>
        <item m="1" x="6140"/>
        <item m="1" x="211"/>
        <item m="1" x="6202"/>
        <item m="1" x="4886"/>
        <item m="1" x="5907"/>
        <item m="1" x="6478"/>
        <item m="1" x="2890"/>
        <item m="1" x="5165"/>
        <item m="1" x="6924"/>
        <item m="1" x="6292"/>
        <item m="1" x="4817"/>
        <item m="1" x="6477"/>
        <item m="1" x="2818"/>
        <item m="1" x="5550"/>
        <item m="1" x="3277"/>
        <item m="1" x="4438"/>
        <item m="1" x="5769"/>
        <item m="1" x="6436"/>
        <item m="1" x="243"/>
        <item m="1" x="7318"/>
        <item m="1" x="3186"/>
        <item m="1" x="3877"/>
        <item m="1" x="6161"/>
        <item m="1" x="6141"/>
        <item m="1" x="6503"/>
        <item m="1" x="7299"/>
        <item m="1" x="1090"/>
        <item m="1" x="6587"/>
        <item m="1" x="3212"/>
        <item m="1" x="3108"/>
        <item m="1" x="7077"/>
        <item m="1" x="5864"/>
        <item m="1" x="5265"/>
        <item m="1" x="2456"/>
        <item m="1" x="1120"/>
        <item m="1" x="7131"/>
        <item m="1" x="6738"/>
        <item m="1" x="3848"/>
        <item m="1" x="1764"/>
        <item m="1" x="361"/>
        <item m="1" x="6246"/>
        <item m="1" x="5594"/>
        <item m="1" x="5595"/>
        <item m="1" x="7319"/>
        <item m="1" x="7666"/>
        <item m="1" x="3590"/>
        <item m="1" x="6968"/>
        <item m="1" x="1654"/>
        <item m="1" x="1813"/>
        <item m="1" x="1411"/>
        <item m="1" x="3388"/>
        <item m="1" x="6666"/>
        <item m="1" x="7661"/>
        <item m="1" x="5266"/>
        <item m="1" x="7698"/>
        <item m="1" x="4532"/>
        <item m="1" x="5210"/>
        <item m="1" x="4591"/>
        <item m="1" x="4562"/>
        <item m="1" x="4204"/>
        <item m="1" x="379"/>
        <item m="1" x="5850"/>
        <item m="1" x="5613"/>
        <item m="1" x="1480"/>
        <item m="1" x="4176"/>
        <item m="1" x="3250"/>
        <item m="1" x="3936"/>
        <item m="1" x="4582"/>
        <item m="1" x="6203"/>
        <item m="1" x="6181"/>
        <item m="1" x="7078"/>
        <item m="1" x="4115"/>
        <item m="1" x="5865"/>
        <item m="1" x="411"/>
        <item m="1" x="4696"/>
        <item m="1" x="7027"/>
        <item m="1" x="5908"/>
        <item m="1" x="426"/>
        <item m="1" x="3427"/>
        <item m="1" x="6910"/>
        <item m="1" x="7468"/>
        <item m="1" x="7371"/>
        <item m="1" x="1812"/>
        <item m="1" x="392"/>
        <item m="1" x="169"/>
        <item m="1" x="5953"/>
        <item m="1" x="3233"/>
        <item m="1" x="1702"/>
        <item m="1" x="1857"/>
        <item m="1" x="1455"/>
        <item m="1" x="4995"/>
        <item m="1" x="1211"/>
        <item m="1" x="150"/>
        <item m="1" x="2756"/>
        <item m="1" x="278"/>
        <item m="1" x="6768"/>
        <item m="1" x="7449"/>
        <item m="1" x="3505"/>
        <item m="1" x="4453"/>
        <item m="1" x="3263"/>
        <item m="1" x="3750"/>
        <item m="1" x="2066"/>
        <item m="1" x="5249"/>
        <item m="1" x="728"/>
        <item m="1" x="505"/>
        <item m="1" x="1754"/>
        <item m="1" x="2425"/>
        <item m="1" x="7389"/>
        <item m="1" x="3610"/>
        <item m="1" x="4431"/>
        <item m="1" x="1016"/>
        <item m="1" x="1344"/>
        <item m="1" x="2505"/>
        <item m="1" x="393"/>
        <item m="1" x="310"/>
        <item m="1" x="3310"/>
        <item m="1" x="3991"/>
        <item m="1" x="4632"/>
        <item m="1" x="6245"/>
        <item m="1" x="6223"/>
        <item m="1" x="1400"/>
        <item m="1" x="240"/>
        <item m="1" x="1015"/>
        <item m="1" x="6024"/>
        <item m="1" x="1083"/>
        <item m="1" x="494"/>
        <item m="1" x="4483"/>
        <item m="1" x="2112"/>
        <item m="1" x="1253"/>
        <item m="1" x="251"/>
        <item m="1" x="2854"/>
        <item m="1" x="1800"/>
        <item m="1" x="7806"/>
        <item m="1" x="1856"/>
        <item m="1" x="425"/>
        <item m="1" x="5203"/>
        <item m="1" x="813"/>
        <item m="1" x="5242"/>
        <item m="1" x="877"/>
        <item m="1" x="2521"/>
        <item m="1" x="1743"/>
        <item m="1" x="1893"/>
        <item m="1" x="1501"/>
        <item m="1" x="3772"/>
        <item m="1" x="1130"/>
        <item m="1" x="1447"/>
        <item m="1" x="5223"/>
        <item m="1" x="599"/>
        <item m="1" x="5291"/>
        <item m="1" x="4674"/>
        <item m="1" x="6816"/>
        <item m="1" x="1495"/>
        <item m="1" x="1292"/>
        <item m="1" x="2190"/>
        <item m="1" x="1847"/>
        <item m="1" x="629"/>
        <item m="1" x="1475"/>
        <item m="1" x="2578"/>
        <item m="1" x="4558"/>
        <item m="1" x="2548"/>
        <item m="1" x="2603"/>
        <item m="1" x="4584"/>
        <item m="1" x="5284"/>
        <item m="1" x="62"/>
        <item m="1" x="3348"/>
        <item m="1" x="4039"/>
        <item m="1" x="4668"/>
        <item m="1" x="6293"/>
        <item m="1" x="6268"/>
        <item m="1" x="4187"/>
        <item m="1" x="2235"/>
        <item m="1" x="1518"/>
        <item m="1" x="617"/>
        <item m="1" x="7459"/>
        <item m="1" x="5560"/>
        <item m="1" x="5314"/>
        <item m="1" x="4372"/>
        <item m="1" x="5340"/>
        <item m="1" x="5939"/>
        <item m="1" x="7677"/>
        <item m="1" x="6299"/>
        <item m="1" x="6745"/>
        <item m="1" x="4216"/>
        <item m="1" x="461"/>
        <item m="1" x="7419"/>
        <item m="1" x="1788"/>
        <item m="1" x="1943"/>
        <item m="1" x="1547"/>
        <item m="1" x="1494"/>
        <item m="1" x="5333"/>
        <item m="1" x="6679"/>
        <item m="1" x="4705"/>
        <item m="1" x="6876"/>
        <item m="1" x="325"/>
        <item m="1" x="6061"/>
        <item m="1" x="5662"/>
        <item m="1" x="6821"/>
        <item m="1" x="3867"/>
        <item m="1" x="4979"/>
        <item m="1" x="3076"/>
        <item m="1" x="7433"/>
        <item m="1" x="5979"/>
        <item m="1" x="5682"/>
        <item m="1" x="6016"/>
        <item m="1" x="7471"/>
        <item m="1" x="3720"/>
        <item m="1" x="4092"/>
        <item m="1" x="4699"/>
        <item m="1" x="4711"/>
        <item m="1" x="6334"/>
        <item m="1" x="5431"/>
        <item m="1" x="7810"/>
        <item m="1" x="7945"/>
        <item m="1" x="3949"/>
        <item m="1" x="6746"/>
        <item m="1" x="6586"/>
        <item m="1" x="7434"/>
        <item m="1" x="6062"/>
        <item m="1" x="6774"/>
        <item m="1" x="6316"/>
        <item m="1" x="6471"/>
        <item m="1" x="7729"/>
        <item m="1" x="3918"/>
        <item m="1" x="7833"/>
        <item m="1" x="7495"/>
        <item m="1" x="6404"/>
        <item m="1" x="5764"/>
        <item m="1" x="6300"/>
        <item m="1" x="2375"/>
        <item m="1" x="4004"/>
        <item m="1" x="4402"/>
        <item m="1" x="7856"/>
        <item m="1" x="5501"/>
        <item m="1" x="7536"/>
        <item m="1" x="5103"/>
        <item m="1" x="3414"/>
        <item m="1" x="1539"/>
        <item m="1" x="6034"/>
        <item m="1" x="7885"/>
        <item m="1" x="6106"/>
        <item m="1" x="6852"/>
        <item m="1" x="6775"/>
        <item m="1" x="7159"/>
        <item m="1" x="5487"/>
        <item m="1" x="3291"/>
        <item m="1" x="6174"/>
        <item m="1" x="6795"/>
        <item m="1" x="6522"/>
        <item m="1" x="5204"/>
        <item m="1" x="5232"/>
        <item m="1" x="4749"/>
        <item m="1" x="4761"/>
        <item m="1" x="6386"/>
        <item m="1" x="6880"/>
        <item m="1" x="7255"/>
        <item m="1" x="6217"/>
        <item m="1" x="6879"/>
        <item m="1" x="6155"/>
        <item m="1" x="2242"/>
        <item m="1" x="1548"/>
        <item m="1" x="1212"/>
        <item m="1" x="4233"/>
        <item m="1" x="6154"/>
        <item m="1" x="7783"/>
        <item m="1" x="7935"/>
        <item m="1" x="3976"/>
        <item m="1" x="6263"/>
        <item m="1" x="3946"/>
        <item m="1" x="3090"/>
        <item m="1" x="4205"/>
        <item m="1" x="1814"/>
        <item m="1" x="6333"/>
        <item m="1" x="4105"/>
        <item m="1" x="1164"/>
        <item m="1" x="3043"/>
        <item m="1" x="2295"/>
        <item m="1" x="4289"/>
        <item m="1" x="1584"/>
        <item m="1" x="5056"/>
        <item m="1" x="3836"/>
        <item m="1" x="6828"/>
        <item m="1" x="4693"/>
        <item m="1" x="88"/>
        <item m="1" x="2172"/>
        <item m="1" x="384"/>
        <item m="1" x="3456"/>
        <item m="1" x="2612"/>
        <item m="1" x="3070"/>
        <item m="1" x="2185"/>
        <item m="1" x="2636"/>
        <item m="1" x="1919"/>
        <item m="1" x="415"/>
        <item m="1" x="4851"/>
        <item m="1" x="4860"/>
        <item m="1" x="6470"/>
        <item m="1" x="4028"/>
        <item m="1" x="4290"/>
        <item m="1" x="622"/>
        <item m="1" x="106"/>
        <item m="1" x="6193"/>
        <item m="1" x="1233"/>
        <item m="1" x="3121"/>
        <item m="1" x="1644"/>
        <item m="1" x="3539"/>
        <item m="1" x="669"/>
        <item m="1" x="7832"/>
        <item m="1" x="2371"/>
        <item m="1" x="4317"/>
        <item m="1" x="3157"/>
        <item m="1" x="3906"/>
        <item m="1" x="5033"/>
        <item m="1" x="1254"/>
        <item m="1" x="2394"/>
        <item m="1" x="4165"/>
        <item m="1" x="1979"/>
        <item m="1" x="3969"/>
        <item m="1" x="2722"/>
        <item m="1" x="1011"/>
        <item m="1" x="4373"/>
        <item m="1" x="4739"/>
        <item m="1" x="126"/>
        <item m="1" x="957"/>
        <item m="1" x="496"/>
        <item m="1" x="5125"/>
        <item m="1" x="3769"/>
        <item m="1" x="709"/>
        <item m="1" x="3225"/>
        <item m="1" x="4078"/>
        <item m="1" x="2032"/>
        <item m="1" x="6237"/>
        <item m="1" x="3579"/>
        <item m="1" x="1018"/>
        <item m="1" x="4376"/>
        <item m="1" x="6860"/>
        <item m="1" x="3658"/>
        <item m="1" x="6090"/>
        <item m="1" x="5458"/>
        <item m="1" x="4818"/>
        <item m="1" x="7526"/>
        <item m="1" x="5792"/>
        <item m="1" x="2860"/>
        <item m="1" x="6479"/>
        <item m="1" x="4374"/>
        <item m="1" x="2462"/>
        <item m="1" x="7884"/>
        <item m="1" x="2118"/>
        <item m="1" x="5491"/>
        <item m="1" x="6783"/>
        <item m="1" x="5614"/>
        <item m="1" x="3677"/>
        <item m="1" x="722"/>
        <item m="1" x="6380"/>
        <item m="1" x="5211"/>
        <item m="1" x="6091"/>
        <item m="1" x="2899"/>
        <item m="1" x="4228"/>
        <item m="1" x="5475"/>
        <item m="1" x="6805"/>
        <item m="1" x="7300"/>
        <item m="1" x="234"/>
        <item m="1" x="4819"/>
        <item m="1" x="301"/>
        <item m="1" x="5212"/>
        <item m="1" x="7527"/>
        <item m="1" x="6504"/>
        <item m="1" x="5834"/>
        <item m="1" x="6526"/>
        <item m="1" x="5282"/>
        <item m="1" x="3122"/>
        <item m="1" x="2431"/>
        <item m="1" x="6142"/>
        <item m="1" x="7543"/>
        <item m="1" x="7301"/>
        <item m="1" x="5459"/>
        <item m="1" x="5250"/>
        <item m="1" x="5509"/>
        <item m="1" x="4866"/>
        <item m="1" x="6182"/>
        <item m="1" x="4905"/>
        <item m="1" x="6521"/>
        <item m="1" x="7007"/>
        <item m="1" x="7544"/>
        <item m="1" x="3732"/>
        <item m="1" x="7320"/>
        <item m="1" x="2173"/>
        <item m="1" x="3753"/>
        <item m="1" x="4546"/>
        <item m="1" x="4116"/>
        <item m="1" x="4563"/>
        <item m="1" x="6925"/>
        <item m="1" x="2321"/>
        <item m="1" x="5866"/>
        <item m="1" x="2152"/>
        <item m="1" x="5596"/>
        <item m="1" x="5292"/>
        <item m="1" x="4145"/>
        <item m="1" x="4592"/>
        <item m="1" x="2151"/>
        <item m="1" x="2985"/>
        <item m="1" x="5551"/>
        <item m="1" x="4910"/>
        <item m="1" x="6247"/>
        <item m="1" x="6048"/>
        <item m="1" x="5597"/>
        <item m="1" x="6224"/>
        <item m="1" x="3278"/>
        <item m="1" x="2955"/>
        <item m="1" x="6984"/>
        <item m="1" x="3389"/>
        <item m="1" x="4206"/>
        <item m="1" x="4675"/>
        <item m="1" x="5677"/>
        <item m="1" x="5335"/>
        <item m="1" x="1487"/>
        <item m="1" x="5955"/>
        <item m="1" x="4844"/>
        <item m="1" x="2244"/>
        <item m="1" x="4948"/>
        <item m="1" x="7390"/>
        <item m="1" x="5909"/>
        <item m="1" x="6596"/>
        <item m="1" x="3191"/>
        <item m="1" x="5971"/>
        <item m="1" x="5334"/>
        <item m="1" x="5358"/>
        <item m="1" x="6294"/>
        <item m="1" x="7008"/>
        <item m="1" x="7079"/>
        <item m="1" x="1666"/>
        <item m="1" x="3201"/>
        <item m="1" x="2376"/>
        <item m="1" x="748"/>
        <item m="1" x="998"/>
        <item m="1" x="3334"/>
        <item m="1" x="2201"/>
        <item m="1" x="4658"/>
        <item m="1" x="4706"/>
        <item m="1" x="4737"/>
        <item m="1" x="3457"/>
        <item m="1" x="7735"/>
        <item m="1" x="4757"/>
        <item m="1" x="3013"/>
        <item m="1" x="2935"/>
        <item m="1" x="5990"/>
        <item m="1" x="4928"/>
        <item m="1" x="878"/>
        <item m="1" x="2131"/>
        <item m="1" x="1050"/>
        <item m="1" x="482"/>
        <item m="1" x="1401"/>
        <item m="1" x="1428"/>
        <item m="1" x="4005"/>
        <item m="1" x="3254"/>
        <item m="1" x="1736"/>
        <item m="1" x="814"/>
        <item m="1" x="1115"/>
        <item m="1" x="271"/>
        <item m="1" x="1064"/>
        <item m="1" x="4029"/>
        <item m="1" x="7054"/>
        <item m="1" x="2896"/>
        <item m="1" x="7894"/>
        <item m="1" x="5954"/>
        <item m="1" x="531"/>
        <item m="1" x="4878"/>
        <item m="1" x="1801"/>
        <item m="1" x="3336"/>
        <item m="1" x="2811"/>
        <item m="1" x="2243"/>
        <item m="1" x="1755"/>
        <item m="1" x="4131"/>
        <item m="1" x="2647"/>
        <item m="1" x="3337"/>
        <item m="1" x="2976"/>
        <item m="1" x="3506"/>
        <item m="1" x="3007"/>
        <item m="1" x="7950"/>
        <item m="1" x="4167"/>
        <item m="1" x="4257"/>
        <item m="1" x="343"/>
        <item m="1" x="7411"/>
        <item m="1" x="362"/>
        <item m="1" x="4574"/>
        <item m="1" x="6032"/>
        <item m="1" x="5016"/>
        <item m="1" x="4367"/>
        <item m="1" x="3447"/>
        <item m="1" x="1839"/>
        <item m="1" x="1848"/>
        <item m="1" x="1540"/>
        <item m="1" x="5989"/>
        <item m="1" x="3351"/>
        <item m="1" x="4198"/>
        <item m="1" x="4602"/>
        <item m="1" x="5302"/>
        <item m="1" x="5003"/>
        <item m="1" x="3087"/>
        <item m="1" x="7397"/>
        <item m="1" x="1905"/>
        <item m="1" x="2372"/>
        <item m="1" x="6612"/>
        <item m="1" x="3804"/>
        <item m="1" x="7156"/>
        <item m="1" x="1242"/>
        <item m="1" x="1928"/>
        <item m="1" x="3030"/>
        <item m="1" x="4957"/>
        <item m="1" x="6031"/>
        <item m="1" x="4894"/>
        <item m="1" x="5663"/>
        <item m="1" x="6279"/>
        <item m="1" x="3841"/>
        <item m="1" x="3202"/>
        <item m="1" x="4980"/>
        <item m="1" x="6702"/>
        <item m="1" x="2296"/>
        <item m="1" x="1058"/>
        <item m="1" x="1429"/>
        <item m="1" x="3077"/>
        <item m="1" x="2707"/>
        <item m="1" x="4419"/>
        <item m="1" x="4297"/>
        <item m="1" x="5057"/>
        <item m="1" x="5038"/>
        <item m="1" x="3556"/>
        <item m="1" x="6451"/>
        <item m="1" x="6081"/>
        <item m="1" x="5049"/>
        <item m="1" x="7061"/>
        <item m="1" x="7472"/>
        <item m="1" x="6080"/>
        <item m="1" x="7834"/>
        <item m="1" x="2731"/>
        <item m="1" x="4785"/>
        <item m="1" x="3095"/>
        <item m="1" x="5391"/>
        <item m="1" x="3945"/>
        <item m="1" x="6017"/>
        <item m="1" x="7520"/>
        <item m="1" x="2757"/>
        <item m="1" x="5406"/>
        <item m="1" x="4833"/>
        <item m="1" x="3167"/>
        <item m="1" x="6358"/>
        <item m="1" x="5156"/>
        <item m="1" x="6747"/>
        <item m="1" x="5080"/>
        <item m="1" x="7473"/>
        <item m="1" x="5243"/>
        <item m="1" x="5432"/>
        <item m="1" x="2344"/>
        <item m="1" x="5523"/>
        <item m="1" x="1609"/>
        <item m="1" x="1323"/>
        <item m="1" x="7817"/>
        <item m="1" x="3264"/>
        <item m="1" x="618"/>
        <item m="1" x="1496"/>
        <item m="1" x="359"/>
        <item m="1" x="4166"/>
        <item m="1" x="4906"/>
        <item m="1" x="344"/>
        <item m="1" x="1131"/>
        <item m="1" x="895"/>
        <item m="1" x="2556"/>
        <item m="1" x="7394"/>
        <item m="1" x="4217"/>
        <item m="1" x="3604"/>
        <item m="1" x="1372"/>
        <item m="1" x="5426"/>
        <item m="1" x="5285"/>
        <item m="1" x="3203"/>
        <item m="1" x="4383"/>
        <item m="1" x="4770"/>
        <item m="1" x="7784"/>
        <item m="1" x="416"/>
        <item m="1" x="3958"/>
        <item m="1" x="6143"/>
        <item m="1" x="4929"/>
        <item m="1" x="4645"/>
        <item m="1" x="7545"/>
        <item m="1" x="7261"/>
        <item m="1" x="6018"/>
        <item m="1" x="5625"/>
        <item m="1" x="4085"/>
        <item m="1" x="2900"/>
        <item m="1" x="2855"/>
        <item m="1" x="7951"/>
        <item m="1" x="2090"/>
        <item m="1" x="432"/>
        <item m="1" x="5814"/>
        <item m="1" x="6162"/>
        <item m="1" x="1894"/>
        <item m="1" x="2033"/>
        <item m="1" x="6549"/>
        <item m="1" x="5510"/>
        <item m="1" x="6527"/>
        <item m="1" x="3715"/>
        <item m="1" x="7583"/>
        <item m="1" x="5251"/>
        <item m="1" x="6204"/>
        <item m="1" x="7000"/>
        <item m="1" x="4640"/>
        <item m="1" x="2894"/>
        <item m="1" x="1895"/>
        <item m="1" x="7667"/>
        <item m="1" x="3390"/>
        <item m="1" x="4177"/>
        <item m="1" x="4000"/>
        <item m="1" x="1105"/>
        <item m="1" x="3716"/>
        <item m="1" x="2924"/>
        <item m="1" x="7668"/>
        <item m="1" x="4676"/>
        <item m="1" x="6205"/>
        <item m="1" x="5574"/>
        <item m="1" x="5639"/>
        <item m="1" x="6892"/>
        <item m="1" x="6206"/>
        <item m="1" x="5552"/>
        <item m="1" x="6269"/>
        <item m="1" x="6985"/>
        <item m="1" x="7009"/>
        <item m="1" x="1165"/>
        <item m="1" x="1187"/>
        <item m="1" x="7700"/>
        <item m="1" x="4207"/>
        <item m="1" x="6270"/>
        <item m="1" x="4593"/>
        <item m="1" x="4707"/>
        <item m="1" x="5553"/>
        <item m="1" x="5293"/>
        <item m="1" x="7701"/>
        <item m="1" x="6947"/>
        <item m="1" x="7391"/>
        <item m="1" x="7080"/>
        <item m="1" x="2956"/>
        <item m="1" x="4265"/>
        <item m="1" x="3907"/>
        <item m="1" x="7312"/>
        <item m="1" x="4758"/>
        <item m="1" x="5375"/>
        <item m="1" x="6986"/>
        <item m="1" x="5050"/>
        <item m="1" x="5017"/>
        <item m="1" x="6349"/>
        <item m="1" x="7372"/>
        <item m="1" x="1980"/>
        <item m="1" x="7645"/>
        <item m="1" x="1896"/>
        <item m="1" x="6225"/>
        <item m="1" x="1234"/>
        <item m="1" x="1920"/>
        <item m="1" x="4803"/>
        <item m="1" x="5599"/>
        <item m="1" x="483"/>
        <item m="1" x="6588"/>
        <item m="1" x="516"/>
        <item m="1" x="3727"/>
        <item m="1" x="4856"/>
        <item m="1" x="7384"/>
        <item m="1" x="5447"/>
        <item m="1" x="1737"/>
        <item m="1" x="1272"/>
        <item m="1" x="3773"/>
        <item m="1" x="506"/>
        <item m="1" x="7049"/>
        <item m="1" x="7029"/>
        <item m="1" x="1778"/>
        <item m="1" x="438"/>
        <item m="1" x="2014"/>
        <item m="1" x="5638"/>
        <item m="1" x="1302"/>
        <item m="1" x="978"/>
        <item m="1" x="2448"/>
        <item m="1" x="4045"/>
        <item m="1" x="5932"/>
        <item m="1" x="6377"/>
        <item m="1" x="3132"/>
        <item m="1" x="7791"/>
        <item m="1" x="999"/>
        <item m="1" x="1868"/>
        <item m="1" x="1738"/>
        <item m="1" x="5598"/>
        <item m="1" x="6310"/>
        <item m="1" x="7028"/>
        <item m="1" x="7055"/>
        <item m="1" x="1213"/>
        <item m="1" x="4834"/>
        <item m="1" x="5678"/>
        <item m="1" x="221"/>
        <item m="1" x="6756"/>
        <item m="1" x="1692"/>
        <item m="1" x="1667"/>
        <item m="1" x="1346"/>
        <item m="1" x="1101"/>
        <item m="1" x="7081"/>
        <item m="1" x="3265"/>
        <item m="1" x="4030"/>
        <item m="1" x="7699"/>
        <item m="1" x="1944"/>
        <item m="1" x="6271"/>
        <item m="1" x="1316"/>
        <item m="1" x="252"/>
        <item m="1" x="1802"/>
        <item m="1" x="2113"/>
        <item m="1" x="5710"/>
        <item m="1" x="6626"/>
        <item m="1" x="815"/>
        <item m="1" x="272"/>
        <item m="1" x="7895"/>
        <item m="1" x="581"/>
        <item m="1" x="4861"/>
        <item m="1" x="7106"/>
        <item m="1" x="7546"/>
        <item m="1" x="7132"/>
        <item m="1" x="3314"/>
        <item m="1" x="1449"/>
        <item m="1" x="7503"/>
        <item m="1" x="1869"/>
        <item m="1" x="2543"/>
        <item m="1" x="3708"/>
        <item m="1" x="4835"/>
        <item m="1" x="6806"/>
        <item m="1" x="2897"/>
        <item m="1" x="3671"/>
        <item m="1" x="5784"/>
        <item m="1" x="2544"/>
        <item m="1" x="1345"/>
        <item m="1" x="1065"/>
        <item m="1" x="4098"/>
        <item m="1" x="6893"/>
        <item m="1" x="1888"/>
        <item m="1" x="80"/>
        <item m="1" x="1756"/>
        <item m="1" x="3448"/>
        <item m="1" x="833"/>
        <item m="1" x="1779"/>
        <item m="1" x="847"/>
        <item m="1" x="1132"/>
        <item m="1" x="3797"/>
        <item m="1" x="7952"/>
        <item m="1" x="545"/>
        <item m="1" x="5823"/>
        <item m="1" x="896"/>
        <item m="1" x="1178"/>
        <item m="1" x="4968"/>
        <item m="1" x="848"/>
        <item m="1" x="1803"/>
        <item m="1" x="2191"/>
        <item m="1" x="2557"/>
        <item m="1" x="1829"/>
        <item m="1" x="1225"/>
        <item m="1" x="897"/>
        <item m="1" x="3378"/>
        <item m="1" x="7177"/>
        <item m="1" x="3356"/>
        <item m="1" x="562"/>
        <item m="1" x="1204"/>
        <item m="1" x="4925"/>
        <item m="1" x="1981"/>
        <item m="1" x="4533"/>
        <item m="1" x="1363"/>
        <item m="1" x="5565"/>
        <item m="1" x="1519"/>
        <item m="1" x="6584"/>
        <item m="1" x="7332"/>
        <item m="1" x="5879"/>
        <item m="1" x="6667"/>
        <item m="1" x="81"/>
        <item m="1" x="2287"/>
        <item m="1" x="3377"/>
        <item m="1" x="89"/>
        <item m="1" x="1993"/>
        <item m="1" x="2626"/>
        <item m="1" x="7139"/>
        <item m="1" x="7150"/>
        <item m="1" x="7352"/>
        <item m="1" x="7107"/>
        <item m="1" x="7223"/>
        <item m="1" x="7366"/>
        <item m="1" x="1186"/>
        <item m="1" x="6623"/>
        <item m="1" x="422"/>
        <item m="1" x="7021"/>
        <item m="1" x="5372"/>
        <item m="1" x="1402"/>
        <item m="1" x="3415"/>
        <item m="1" x="5949"/>
        <item m="1" x="4156"/>
        <item m="1" x="1939"/>
        <item m="1" x="7165"/>
        <item m="1" x="3854"/>
        <item m="1" x="4280"/>
        <item m="1" x="7071"/>
        <item m="1" x="1269"/>
        <item m="1" x="5013"/>
        <item m="1" x="7070"/>
        <item m="1" x="6624"/>
        <item m="1" x="4687"/>
        <item m="1" x="5386"/>
        <item m="1" x="1422"/>
        <item m="1" x="5328"/>
        <item m="1" x="5670"/>
        <item m="1" x="6644"/>
        <item m="1" x="3902"/>
        <item m="1" x="4701"/>
        <item m="1" x="2716"/>
        <item m="1" x="1313"/>
        <item m="1" x="5048"/>
        <item m="1" x="7128"/>
        <item m="1" x="3534"/>
        <item m="1" x="7409"/>
        <item m="1" x="3150"/>
        <item m="1" x="7173"/>
        <item m="1" x="6662"/>
        <item m="1" x="4730"/>
        <item m="1" x="7274"/>
        <item m="1" x="3474"/>
        <item m="1" x="7446"/>
        <item m="1" x="2368"/>
        <item m="1" x="6599"/>
        <item m="1" x="6711"/>
        <item m="1" x="2034"/>
        <item m="1" x="7690"/>
        <item m="1" x="6343"/>
        <item m="1" x="7464"/>
        <item m="1" x="1470"/>
        <item m="1" x="2288"/>
        <item m="1" x="7410"/>
        <item m="1" x="5421"/>
        <item m="1" x="7218"/>
        <item m="1" x="2823"/>
        <item m="1" x="4731"/>
        <item m="1" x="2341"/>
        <item m="1" x="5724"/>
        <item m="1" x="7268"/>
        <item m="1" x="7799"/>
        <item m="1" x="5422"/>
        <item m="1" x="7511"/>
        <item m="1" x="7342"/>
        <item m="1" x="7309"/>
        <item m="1" x="3533"/>
        <item m="1" x="1448"/>
        <item m="1" x="5092"/>
        <item m="1" x="4225"/>
        <item m="1" x="6370"/>
        <item m="1" x="1976"/>
        <item m="1" x="5707"/>
        <item m="1" x="4751"/>
        <item m="1" x="6690"/>
        <item m="1" x="5147"/>
        <item m="1" x="4368"/>
        <item m="1" x="3994"/>
        <item m="1" x="6441"/>
        <item m="1" x="7174"/>
        <item m="1" x="7824"/>
        <item m="1" x="5652"/>
        <item m="1" x="3575"/>
        <item m="1" x="5725"/>
        <item m="1" x="5742"/>
        <item m="1" x="521"/>
        <item m="1" x="7465"/>
        <item m="1" x="7108"/>
        <item m="1" x="4828"/>
        <item m="1" x="7875"/>
        <item m="1" x="7194"/>
        <item m="1" x="6442"/>
        <item m="1" x="6013"/>
        <item m="1" x="2457"/>
        <item m="1" x="6712"/>
        <item m="1" x="3311"/>
        <item m="1" x="5778"/>
        <item m="1" x="6512"/>
        <item m="1" x="1863"/>
        <item m="1" x="533"/>
        <item m="1" x="5173"/>
        <item m="1" x="7512"/>
        <item m="1" x="904"/>
        <item m="1" x="5498"/>
        <item m="1" x="3789"/>
        <item m="1" x="534"/>
        <item m="1" x="4471"/>
        <item m="1" x="6788"/>
        <item m="1" x="6736"/>
        <item m="1" x="7961"/>
        <item m="1" x="4575"/>
        <item m="1" x="6124"/>
        <item m="1" x="1560"/>
        <item m="1" x="2280"/>
        <item m="1" x="2228"/>
        <item m="1" x="3443"/>
        <item m="1" x="610"/>
        <item m="1" x="5801"/>
        <item m="1" x="3525"/>
        <item m="1" x="6053"/>
        <item m="1" x="4040"/>
        <item m="1" x="7488"/>
        <item m="1" x="6464"/>
        <item m="1" x="6869"/>
        <item m="1" x="7219"/>
        <item m="1" x="1935"/>
        <item m="1" x="2687"/>
        <item m="1" x="3767"/>
        <item m="1" x="1655"/>
        <item m="1" x="2621"/>
        <item m="1" x="2518"/>
        <item m="1" x="3873"/>
        <item m="1" x="632"/>
        <item m="1" x="936"/>
        <item m="1" x="1599"/>
        <item m="1" x="640"/>
        <item m="1" x="4194"/>
        <item m="1" x="3495"/>
        <item m="1" x="2279"/>
        <item m="1" x="1174"/>
        <item m="1" x="678"/>
        <item m="1" x="3102"/>
        <item m="1" x="4610"/>
        <item m="1" x="919"/>
        <item m="1" x="446"/>
        <item m="1" x="3144"/>
        <item m="1" x="7151"/>
        <item m="1" x="3103"/>
        <item m="1" x="1247"/>
        <item m="1" x="715"/>
        <item m="1" x="3178"/>
        <item m="1" x="357"/>
        <item m="1" x="4310"/>
        <item m="1" x="968"/>
        <item m="1" x="1282"/>
        <item m="1" x="2281"/>
        <item m="1" x="641"/>
        <item m="1" x="137"/>
        <item m="1" x="953"/>
        <item m="1" x="2688"/>
        <item m="1" x="4627"/>
        <item m="1" x="4334"/>
        <item m="1" x="3572"/>
        <item m="1" x="5368"/>
        <item m="1" x="3179"/>
        <item m="1" x="1576"/>
        <item m="1" x="935"/>
        <item m="1" x="4683"/>
        <item m="1" x="390"/>
        <item m="1" x="3526"/>
        <item m="1" x="2665"/>
        <item m="1" x="4333"/>
        <item m="1" x="920"/>
        <item m="1" x="6787"/>
        <item m="1" x="1283"/>
        <item m="1" x="719"/>
        <item m="1" x="1328"/>
        <item m="1" x="253"/>
        <item m="1" x="4388"/>
        <item m="1" x="1636"/>
        <item m="1" x="1703"/>
        <item m="1" x="5085"/>
        <item m="1" x="3244"/>
        <item m="1" x="1383"/>
        <item m="1" x="3104"/>
        <item m="1" x="5066"/>
        <item m="1" x="4746"/>
        <item m="1" x="2477"/>
        <item m="1" x="3659"/>
        <item m="1" x="1042"/>
        <item m="1" x="194"/>
        <item m="1" x="423"/>
        <item m="1" x="6028"/>
        <item m="1" x="1434"/>
        <item m="1" x="2839"/>
        <item m="1" x="2861"/>
        <item m="1" x="7193"/>
        <item m="1" x="114"/>
        <item m="1" x="6545"/>
        <item m="1" x="2385"/>
        <item m="1" x="1312"/>
        <item m="1" x="5711"/>
        <item m="1" x="6191"/>
        <item m="1" x="1481"/>
        <item m="1" x="3243"/>
        <item m="1" x="2925"/>
        <item m="1" x="3660"/>
        <item m="1" x="6717"/>
        <item m="1" x="5785"/>
        <item m="1" x="2478"/>
        <item m="1" x="7531"/>
        <item m="1" x="4804"/>
        <item m="1" x="5483"/>
        <item m="1" x="6424"/>
        <item m="1" x="1329"/>
        <item m="1" x="7224"/>
        <item m="1" x="716"/>
        <item m="1" x="2335"/>
        <item m="1" x="1311"/>
        <item m="1" x="2741"/>
        <item m="1" x="2767"/>
        <item m="1" x="6023"/>
        <item m="1" x="2794"/>
        <item m="1" x="4719"/>
        <item m="1" x="3639"/>
        <item m="1" x="3279"/>
        <item m="1" x="988"/>
        <item m="1" x="212"/>
        <item m="1" x="4013"/>
        <item m="1" x="2082"/>
        <item m="1" x="5096"/>
        <item m="1" x="4664"/>
        <item m="1" x="3034"/>
        <item m="1" x="5195"/>
        <item m="1" x="4498"/>
        <item m="1" x="967"/>
        <item m="1" x="6843"/>
        <item m="1" x="7178"/>
        <item m="1" x="4023"/>
        <item m="1" x="2362"/>
        <item m="1" x="3146"/>
        <item m="1" x="6044"/>
        <item m="1" x="2101"/>
        <item m="1" x="6070"/>
        <item m="1" x="6839"/>
        <item m="1" x="4718"/>
        <item m="1" x="6446"/>
        <item m="1" x="1527"/>
        <item m="1" x="3044"/>
        <item m="1" x="6911"/>
        <item m="1" x="4046"/>
        <item m="1" x="2877"/>
        <item m="1" x="5963"/>
        <item m="1" x="4857"/>
        <item m="1" x="6447"/>
        <item m="1" x="3723"/>
        <item m="1" x="6516"/>
        <item m="1" x="3091"/>
        <item m="1" x="2164"/>
        <item m="1" x="4099"/>
        <item m="1" x="6685"/>
        <item m="1" x="3790"/>
        <item m="1" x="6490"/>
        <item m="1" x="5627"/>
        <item m="1" x="7249"/>
        <item m="1" x="5875"/>
        <item m="1" x="157"/>
        <item m="1" x="3298"/>
        <item m="1" x="6937"/>
        <item m="1" x="5824"/>
        <item m="1" x="3352"/>
        <item m="1" x="3129"/>
        <item m="1" x="5896"/>
        <item m="1" x="6172"/>
        <item m="1" x="7250"/>
        <item m="1" x="1384"/>
        <item m="1" x="6956"/>
        <item m="1" x="4745"/>
        <item m="1" x="3082"/>
        <item m="1" x="5895"/>
        <item m="1" x="5220"/>
        <item m="1" x="3791"/>
        <item m="1" x="5239"/>
        <item m="1" x="6594"/>
        <item m="1" x="4157"/>
        <item m="1" x="5844"/>
        <item m="1" x="1005"/>
        <item m="1" x="4922"/>
        <item m="1" x="5947"/>
        <item m="1" x="3705"/>
        <item m="1" x="5805"/>
        <item m="1" x="5238"/>
        <item m="1" x="5806"/>
        <item m="1" x="353"/>
        <item m="1" x="2182"/>
        <item m="1" x="5281"/>
        <item m="1" x="6957"/>
        <item m="1" x="3375"/>
        <item m="1" x="4537"/>
        <item m="1" x="3403"/>
        <item m="1" x="4628"/>
        <item m="1" x="5855"/>
        <item m="1" x="5876"/>
        <item m="1" x="4900"/>
        <item m="1" x="6261"/>
        <item m="1" x="4578"/>
        <item m="1" x="5260"/>
        <item m="1" x="4899"/>
        <item m="1" x="6595"/>
        <item m="1" x="402"/>
        <item m="1" x="2260"/>
        <item m="1" x="6637"/>
        <item m="1" x="4275"/>
        <item m="1" x="5981"/>
        <item m="1" x="4651"/>
        <item m="1" x="5897"/>
        <item m="1" x="231"/>
        <item m="1" x="2596"/>
        <item m="1" x="6735"/>
        <item m="1" x="6951"/>
        <item m="1" x="7657"/>
        <item m="1" x="370"/>
        <item m="1" x="6620"/>
        <item m="1" x="2229"/>
        <item m="1" x="5369"/>
        <item m="1" x="3471"/>
        <item m="1" x="7683"/>
        <item m="1" x="6577"/>
        <item m="1" x="4611"/>
        <item m="1" x="7364"/>
        <item m="1" x="7329"/>
        <item m="1" x="5922"/>
        <item m="1" x="6786"/>
        <item m="1" x="6234"/>
        <item m="1" x="7764"/>
        <item m="1" x="1061"/>
        <item m="1" x="4987"/>
        <item m="1" x="214"/>
        <item m="1" x="4389"/>
        <item m="1" x="3599"/>
        <item m="1" x="3807"/>
        <item m="1" x="6426"/>
        <item m="1" x="5648"/>
        <item m="1" x="6621"/>
        <item m="1" x="7046"/>
        <item m="1" x="1008"/>
        <item m="1" x="4794"/>
        <item m="1" x="3145"/>
        <item m="1" x="1356"/>
        <item m="1" x="739"/>
        <item m="1" x="3219"/>
        <item m="1" x="5344"/>
        <item m="1" x="462"/>
        <item m="1" x="1286"/>
        <item m="1" x="160"/>
        <item m="1" x="3995"/>
        <item m="1" x="180"/>
        <item m="1" x="3576"/>
        <item m="1" x="1388"/>
        <item m="1" x="5093"/>
        <item m="1" x="4019"/>
        <item m="1" x="2496"/>
        <item m="1" x="1705"/>
        <item m="1" x="2773"/>
        <item m="1" x="3600"/>
        <item m="1" x="401"/>
        <item m="1" x="2259"/>
        <item m="1" x="5687"/>
        <item m="1" x="7345"/>
        <item m="1" x="6731"/>
        <item m="1" x="4446"/>
        <item m="1" x="5119"/>
        <item m="1" x="2869"/>
        <item m="1" x="5757"/>
        <item m="1" x="3577"/>
        <item m="1" x="4447"/>
        <item m="1" x="5309"/>
        <item m="1" x="2458"/>
        <item m="1" x="3283"/>
        <item m="1" x="1729"/>
        <item m="1" x="4858"/>
        <item m="1" x="283"/>
        <item m="1" x="3527"/>
        <item m="1" x="2488"/>
        <item m="1" x="5120"/>
        <item m="1" x="4472"/>
        <item m="1" x="3645"/>
        <item m="1" x="807"/>
        <item m="1" x="3644"/>
        <item m="1" x="3282"/>
        <item m="1" x="316"/>
        <item m="1" x="6658"/>
        <item m="1" x="1638"/>
        <item m="1" x="3664"/>
        <item m="1" x="4448"/>
        <item m="1" x="2140"/>
        <item m="1" x="2887"/>
        <item m="1" x="2159"/>
        <item m="1" x="2099"/>
        <item m="1" x="298"/>
        <item m="1" x="2843"/>
        <item m="1" x="3701"/>
        <item m="1" x="1509"/>
        <item m="1" x="2907"/>
        <item m="1" x="2965"/>
        <item m="1" x="3682"/>
        <item m="1" x="4494"/>
        <item m="1" x="1093"/>
        <item m="1" x="5174"/>
        <item m="1" x="3573"/>
        <item m="1" x="2845"/>
        <item m="1" x="841"/>
        <item m="1" x="4553"/>
        <item m="1" x="571"/>
        <item m="1" x="2141"/>
        <item m="1" x="1466"/>
        <item m="1" x="5398"/>
        <item m="1" x="2142"/>
        <item m="1" x="317"/>
        <item m="1" x="4529"/>
        <item m="1" x="609"/>
        <item m="1" x="3330"/>
        <item m="1" x="5218"/>
        <item m="1" x="524"/>
        <item m="1" x="5383"/>
        <item m="1" x="4495"/>
        <item m="1" x="4530"/>
        <item m="1" x="5882"/>
        <item m="1" x="860"/>
        <item m="1" x="1389"/>
        <item m="1" x="3681"/>
        <item m="1" x="1820"/>
        <item m="1" x="4271"/>
        <item m="1" x="2844"/>
        <item m="1" x="4531"/>
        <item m="1" x="2888"/>
        <item m="1" x="5234"/>
        <item m="1" x="915"/>
        <item m="1" x="2908"/>
        <item m="1" x="2934"/>
        <item m="1" x="3031"/>
        <item m="1" x="3739"/>
        <item m="1" x="4573"/>
        <item m="1" x="1556"/>
        <item m="1" x="2249"/>
        <item m="1" x="991"/>
        <item m="1" x="258"/>
        <item m="1" x="588"/>
        <item m="1" x="1929"/>
        <item m="1" x="931"/>
        <item m="1" x="5274"/>
        <item m="1" x="4901"/>
        <item m="1" x="3371"/>
        <item m="1" x="1571"/>
        <item m="1" x="5261"/>
        <item m="1" x="6707"/>
        <item m="1" x="3700"/>
        <item m="1" x="4493"/>
        <item m="1" x="2192"/>
        <item m="1" x="3619"/>
        <item m="1" x="2994"/>
        <item m="1" x="6305"/>
        <item m="1" x="5321"/>
        <item m="1" x="4229"/>
        <item m="1" x="946"/>
        <item m="1" x="5439"/>
        <item m="1" x="6330"/>
        <item m="1" x="2289"/>
        <item m="1" x="3040"/>
        <item m="1" x="3721"/>
        <item m="1" x="3436"/>
        <item m="1" x="5303"/>
        <item m="1" x="3008"/>
        <item m="1" x="5414"/>
        <item m="1" x="3702"/>
        <item m="1" x="1510"/>
        <item m="1" x="2966"/>
        <item m="1" x="1610"/>
        <item m="1" x="5928"/>
        <item m="1" x="3774"/>
        <item m="1" x="178"/>
        <item m="1" x="3113"/>
        <item m="1" x="4258"/>
        <item m="1" x="1511"/>
        <item m="1" x="5693"/>
        <item m="1" x="7717"/>
        <item m="1" x="3855"/>
        <item m="1" x="6344"/>
        <item m="1" x="2177"/>
        <item m="1" x="2178"/>
        <item m="1" x="3805"/>
        <item m="1" x="138"/>
        <item m="1" x="4943"/>
        <item m="1" x="5671"/>
        <item m="1" x="1545"/>
        <item m="1" x="3831"/>
        <item m="1" x="7050"/>
        <item m="1" x="4633"/>
        <item m="1" x="5610"/>
        <item m="1" x="5329"/>
        <item m="1" x="6264"/>
        <item m="1" x="3661"/>
        <item m="1" x="6306"/>
        <item m="1" x="7428"/>
        <item m="1" x="1649"/>
        <item m="1" x="7876"/>
        <item m="1" x="4281"/>
        <item m="1" x="6398"/>
        <item m="1" x="7152"/>
        <item m="1" x="158"/>
        <item m="1" x="3489"/>
        <item m="1" x="6757"/>
        <item m="1" x="3738"/>
        <item m="1" x="4528"/>
        <item m="1" x="5476"/>
        <item m="1" x="7800"/>
        <item m="1" x="6371"/>
        <item m="1" x="3114"/>
        <item m="1" x="2291"/>
        <item m="1" x="7877"/>
        <item m="1" x="5373"/>
        <item m="1" x="6345"/>
        <item m="1" x="6691"/>
        <item m="1" x="7466"/>
        <item m="1" x="979"/>
        <item m="1" x="5423"/>
        <item m="1" x="226"/>
        <item m="1" x="7195"/>
        <item m="1" x="3692"/>
        <item m="1" x="6399"/>
        <item m="1" x="5694"/>
        <item m="1" x="6486"/>
        <item m="1" x="5583"/>
        <item m="1" x="254"/>
        <item m="1" x="5554"/>
        <item m="1" x="4020"/>
        <item m="1" x="5121"/>
        <item m="1" x="7196"/>
        <item m="1" x="6613"/>
        <item m="1" x="7175"/>
        <item m="1" x="255"/>
        <item m="1" x="6419"/>
        <item m="1" x="7942"/>
        <item m="1" x="3792"/>
        <item m="1" x="3545"/>
        <item m="1" x="5380"/>
        <item m="1" x="3784"/>
        <item m="1" x="4572"/>
        <item m="1" x="5743"/>
        <item m="1" x="6443"/>
        <item m="1" x="339"/>
        <item m="1" x="4251"/>
        <item m="1" x="5148"/>
        <item m="1" x="4393"/>
        <item m="1" x="7936"/>
        <item m="1" x="3035"/>
        <item m="1" x="3000"/>
        <item m="1" x="592"/>
        <item m="1" x="3444"/>
        <item m="1" x="3404"/>
        <item m="1" x="2644"/>
        <item m="1" x="3083"/>
        <item m="1" x="4965"/>
        <item m="1" x="3760"/>
        <item m="1" x="2598"/>
        <item m="1" x="391"/>
        <item m="1" x="1840"/>
        <item m="1" x="5287"/>
        <item m="1" x="7489"/>
        <item m="1" x="7906"/>
        <item m="1" x="7907"/>
        <item m="1" x="279"/>
        <item m="1" x="5519"/>
        <item m="1" x="6513"/>
        <item m="1" x="554"/>
        <item m="1" x="320"/>
        <item m="1" x="867"/>
        <item m="1" x="1823"/>
        <item m="1" x="2597"/>
        <item m="1" x="2209"/>
        <item m="1" x="4923"/>
        <item m="1" x="7971"/>
        <item m="1" x="1149"/>
        <item m="1" x="6674"/>
        <item m="1" x="1127"/>
        <item m="1" x="611"/>
        <item m="1" x="1841"/>
        <item m="1" x="1864"/>
        <item m="1" x="894"/>
        <item m="1" x="4141"/>
        <item m="1" x="2336"/>
        <item m="1" x="1577"/>
        <item m="1" x="3849"/>
        <item m="1" x="6169"/>
        <item m="1" x="3001"/>
        <item m="1" x="937"/>
        <item m="1" x="4252"/>
        <item m="1" x="2689"/>
        <item m="1" x="2711"/>
        <item m="1" x="4335"/>
        <item m="1" x="375"/>
        <item m="1" x="2387"/>
        <item m="1" x="2743"/>
        <item m="1" x="5029"/>
        <item m="1" x="5028"/>
        <item m="1" x="5957"/>
        <item m="1" x="3106"/>
        <item m="1" x="3893"/>
        <item m="1" x="3496"/>
        <item m="1" x="642"/>
        <item m="1" x="2666"/>
        <item m="1" x="424"/>
        <item m="1" x="3213"/>
        <item m="1" x="3059"/>
        <item m="1" x="4253"/>
        <item m="1" x="1992"/>
        <item m="1" x="139"/>
        <item m="1" x="1974"/>
        <item m="1" x="1937"/>
        <item m="1" x="1267"/>
        <item m="1" x="3324"/>
        <item m="1" x="3927"/>
        <item m="1" x="4336"/>
        <item m="1" x="2768"/>
        <item m="1" x="3107"/>
        <item m="1" x="697"/>
        <item m="1" x="2712"/>
        <item m="1" x="458"/>
        <item m="1" x="1656"/>
        <item m="1" x="3620"/>
        <item m="1" x="5566"/>
        <item m="1" x="2386"/>
        <item m="1" x="1330"/>
        <item m="1" x="1677"/>
        <item m="1" x="2744"/>
        <item m="1" x="5086"/>
        <item m="1" x="1249"/>
        <item m="1" x="4311"/>
        <item m="1" x="2742"/>
        <item m="1" x="4064"/>
        <item m="1" x="2411"/>
        <item m="1" x="2435"/>
        <item m="1" x="3942"/>
        <item m="1" x="2021"/>
        <item m="1" x="5153"/>
        <item m="1" x="3621"/>
        <item m="1" x="4416"/>
        <item m="1" x="5462"/>
        <item m="1" x="5221"/>
        <item m="1" x="6448"/>
        <item m="1" x="5044"/>
        <item m="1" x="5067"/>
        <item m="1" x="3181"/>
        <item m="1" x="2035"/>
        <item m="1" x="2388"/>
        <item m="1" x="3366"/>
        <item m="1" x="4477"/>
        <item m="1" x="2828"/>
        <item m="1" x="6082"/>
        <item m="1" x="3551"/>
        <item m="1" x="4759"/>
        <item m="1" x="4780"/>
        <item m="1" x="3693"/>
        <item m="1" x="7225"/>
        <item m="1" x="5463"/>
        <item m="1" x="5240"/>
        <item m="1" x="3105"/>
        <item m="1" x="3597"/>
        <item m="1" x="679"/>
        <item m="1" x="1549"/>
        <item m="1" x="2104"/>
        <item m="1" x="3706"/>
        <item m="1" x="6844"/>
        <item m="1" x="7291"/>
        <item m="1" x="4047"/>
        <item m="1" x="7275"/>
        <item m="1" x="5154"/>
        <item m="1" x="7514"/>
        <item m="1" x="5484"/>
        <item m="1" x="4513"/>
        <item m="1" x="5196"/>
        <item m="1" x="6129"/>
        <item m="1" x="5222"/>
        <item m="1" x="7276"/>
        <item m="1" x="2982"/>
        <item m="1" x="7310"/>
        <item m="1" x="7554"/>
        <item m="1" x="2434"/>
        <item m="1" x="5179"/>
        <item m="1" x="6537"/>
        <item m="1" x="7534"/>
        <item m="1" x="5825"/>
        <item m="1" x="7292"/>
        <item m="1" x="3724"/>
        <item m="1" x="4539"/>
        <item m="1" x="5856"/>
        <item m="1" x="4364"/>
        <item m="1" x="2795"/>
        <item m="1" x="4557"/>
        <item m="1" x="5197"/>
        <item m="1" x="6173"/>
        <item m="1" x="4466"/>
        <item m="1" x="5310"/>
        <item m="1" x="5877"/>
        <item m="1" x="2165"/>
        <item m="1" x="4829"/>
        <item m="1" x="5857"/>
        <item m="1" x="3428"/>
        <item m="1" x="6912"/>
        <item m="1" x="4101"/>
        <item m="1" x="717"/>
        <item m="1" x="4100"/>
        <item m="1" x="6192"/>
        <item m="1" x="7348"/>
        <item m="1" x="7347"/>
        <item m="1" x="2183"/>
        <item m="1" x="4615"/>
        <item m="1" x="7346"/>
        <item m="1" x="5964"/>
        <item m="1" x="5898"/>
        <item m="1" x="4875"/>
        <item m="1" x="7613"/>
        <item m="1" x="3180"/>
        <item m="1" x="5563"/>
        <item m="1" x="6045"/>
        <item m="1" x="6708"/>
        <item m="1" x="7350"/>
        <item m="1" x="5345"/>
        <item m="1" x="4665"/>
        <item m="1" x="6284"/>
        <item m="1" x="4158"/>
        <item m="1" x="7385"/>
        <item m="1" x="6214"/>
        <item m="1" x="7349"/>
        <item m="1" x="3793"/>
        <item m="1" x="3808"/>
        <item m="1" x="2479"/>
        <item m="1" x="6373"/>
        <item m="1" x="5608"/>
        <item m="1" x="5929"/>
        <item m="1" x="5399"/>
        <item m="1" x="6144"/>
        <item m="1" x="6638"/>
        <item m="1" x="6046"/>
        <item m="1" x="7684"/>
        <item m="1" x="5544"/>
        <item m="1" x="3775"/>
        <item m="1" x="7425"/>
        <item m="1" x="5384"/>
        <item m="1" x="4504"/>
        <item m="1" x="3761"/>
        <item m="1" x="5923"/>
        <item m="1" x="6686"/>
        <item m="1" x="4652"/>
        <item m="1" x="427"/>
        <item m="1" x="3483"/>
        <item m="1" x="6938"/>
        <item m="1" x="1335"/>
        <item m="1" x="3540"/>
        <item m="1" x="3861"/>
        <item m="1" x="7458"/>
        <item m="1" x="447"/>
        <item m="1" x="2650"/>
        <item m="1" x="3850"/>
        <item m="1" x="6732"/>
        <item m="1" x="3245"/>
        <item m="1" x="3626"/>
        <item m="1" x="4777"/>
        <item m="1" x="7777"/>
        <item m="1" x="786"/>
        <item m="1" x="2027"/>
        <item m="1" x="2054"/>
        <item m="1" x="2824"/>
        <item m="1" x="495"/>
        <item m="1" x="1336"/>
        <item m="1" x="2846"/>
        <item m="1" x="5415"/>
        <item m="1" x="4778"/>
        <item m="1" x="2324"/>
        <item m="1" x="3703"/>
        <item m="1" x="4093"/>
        <item m="1" x="1357"/>
        <item m="1" x="4752"/>
        <item m="1" x="2124"/>
        <item m="1" x="2870"/>
        <item m="1" x="2529"/>
        <item m="1" x="2438"/>
        <item m="1" x="1660"/>
        <item m="1" x="3868"/>
        <item m="1" x="1009"/>
        <item m="1" x="7830"/>
        <item m="1" x="2143"/>
        <item m="1" x="259"/>
        <item m="1" x="2495"/>
        <item m="1" x="2889"/>
        <item m="1" x="4800"/>
        <item m="1" x="2125"/>
        <item m="1" x="4547"/>
        <item m="1" x="5500"/>
        <item m="1" x="3740"/>
        <item m="1" x="2871"/>
        <item m="1" x="7852"/>
        <item m="1" x="475"/>
        <item m="1" x="1730"/>
        <item m="1" x="511"/>
        <item m="1" x="2780"/>
        <item m="1" x="3919"/>
        <item m="1" x="1057"/>
        <item m="1" x="2909"/>
        <item m="1" x="3722"/>
        <item m="1" x="5708"/>
        <item m="1" x="5355"/>
        <item m="1" x="1485"/>
        <item m="1" x="4283"/>
        <item m="1" x="4425"/>
        <item m="1" x="3977"/>
        <item m="1" x="2160"/>
        <item m="1" x="1076"/>
        <item m="1" x="3299"/>
        <item m="1" x="842"/>
        <item m="1" x="2910"/>
        <item m="1" x="354"/>
        <item m="1" x="2489"/>
        <item m="1" x="3349"/>
        <item m="1" x="2161"/>
        <item m="1" x="552"/>
        <item m="1" x="299"/>
        <item m="1" x="3741"/>
        <item m="1" x="1124"/>
        <item m="1" x="7201"/>
        <item m="1" x="1486"/>
        <item m="1" x="4124"/>
        <item m="1" x="4895"/>
        <item m="1" x="1094"/>
        <item m="1" x="7803"/>
        <item m="1" x="7880"/>
        <item m="1" x="2967"/>
        <item m="1" x="3397"/>
        <item m="1" x="572"/>
        <item m="1" x="355"/>
        <item m="1" x="7294"/>
        <item m="1" x="6212"/>
        <item m="1" x="1125"/>
        <item m="1" x="3842"/>
        <item m="1" x="4188"/>
        <item m="1" x="1870"/>
        <item m="1" x="1533"/>
        <item m="1" x="2948"/>
        <item m="1" x="2604"/>
        <item m="1" x="2995"/>
        <item m="1" x="3785"/>
        <item m="1" x="861"/>
        <item m="1" x="2627"/>
        <item m="1" x="5315"/>
        <item m="1" x="3728"/>
        <item m="1" x="7913"/>
        <item m="1" x="3748"/>
        <item m="1" x="1914"/>
        <item m="1" x="7801"/>
        <item m="1" x="6006"/>
        <item m="1" x="1821"/>
        <item m="1" x="7965"/>
        <item m="1" x="1123"/>
        <item m="1" x="4614"/>
        <item m="1" x="4312"/>
        <item m="1" x="4634"/>
        <item m="1" x="5672"/>
        <item m="1" x="3372"/>
        <item m="1" x="5352"/>
        <item m="1" x="3798"/>
        <item m="1" x="6663"/>
        <item m="1" x="5902"/>
        <item m="1" x="3009"/>
        <item m="1" x="3809"/>
        <item m="1" x="3501"/>
        <item m="1" x="1940"/>
        <item m="1" x="5950"/>
        <item m="1" x="3342"/>
        <item m="1" x="916"/>
        <item m="1" x="7802"/>
        <item m="1" x="3555"/>
        <item m="1" x="5084"/>
        <item m="1" x="5807"/>
        <item m="1" x="5969"/>
        <item m="1" x="2536"/>
        <item m="1" x="4919"/>
        <item m="1" x="6372"/>
        <item m="1" x="1959"/>
        <item m="1" x="3832"/>
        <item m="1" x="3601"/>
        <item m="1" x="4499"/>
        <item m="1" x="6007"/>
        <item m="1" x="4670"/>
        <item m="1" x="72"/>
        <item m="1" x="6692"/>
        <item m="1" x="3810"/>
        <item m="1" x="4656"/>
        <item m="1" x="6346"/>
        <item m="1" x="2695"/>
        <item m="1" x="4671"/>
        <item m="1" x="5424"/>
        <item m="1" x="1170"/>
        <item m="1" x="5970"/>
        <item m="1" x="3996"/>
        <item m="1" x="6444"/>
        <item m="1" x="7938"/>
        <item m="1" x="3115"/>
        <item m="1" x="3880"/>
        <item m="1" x="6054"/>
        <item m="1" x="6420"/>
        <item m="1" x="6026"/>
        <item m="1" x="7153"/>
        <item m="1" x="3938"/>
        <item m="1" x="4702"/>
        <item m="1" x="3747"/>
        <item m="1" x="6098"/>
        <item m="1" x="7197"/>
        <item m="1" x="5444"/>
        <item m="1" x="6055"/>
        <item m="1" x="2055"/>
        <item m="1" x="3964"/>
        <item m="1" x="6097"/>
        <item m="1" x="1219"/>
        <item m="1" x="110"/>
        <item m="1" x="2802"/>
        <item m="1" x="6870"/>
        <item m="1" x="4655"/>
        <item m="1" x="4369"/>
        <item m="1" x="5445"/>
        <item m="1" x="4069"/>
        <item m="1" x="7429"/>
        <item m="1" x="7074"/>
        <item m="1" x="2746"/>
        <item m="1" x="2774"/>
        <item m="1" x="4733"/>
        <item m="1" x="5520"/>
        <item m="1" x="947"/>
        <item m="1" x="6789"/>
        <item m="1" x="4538"/>
        <item m="1" x="2571"/>
        <item m="1" x="7467"/>
        <item m="1" x="7909"/>
        <item m="1" x="1261"/>
        <item m="1" x="7496"/>
        <item m="1" x="5521"/>
        <item m="1" x="5802"/>
        <item m="1" x="3963"/>
        <item m="1" x="3646"/>
        <item m="1" x="4753"/>
        <item m="1" x="3220"/>
        <item m="1" x="3965"/>
        <item m="1" x="2825"/>
        <item m="1" x="4754"/>
        <item m="1" x="6170"/>
        <item m="1" x="5986"/>
        <item m="1" x="7825"/>
        <item m="1" x="7908"/>
        <item m="1" x="5779"/>
        <item m="1" x="1150"/>
        <item m="1" x="2913"/>
        <item m="1" x="1471"/>
        <item m="1" x="7561"/>
        <item m="1" x="5511"/>
        <item m="1" x="1514"/>
        <item m="1" x="1303"/>
        <item m="1" x="643"/>
        <item m="1" x="2184"/>
        <item m="1" x="4688"/>
        <item m="1" x="4420"/>
        <item m="1" x="2972"/>
        <item m="1" x="1515"/>
        <item m="1" x="7575"/>
        <item m="1" x="658"/>
        <item m="1" x="1534"/>
        <item m="1" x="4629"/>
        <item m="1" x="980"/>
        <item m="1" x="7595"/>
        <item m="1" x="4579"/>
        <item m="1" x="5600"/>
        <item m="1" x="5338"/>
        <item m="1" x="1222"/>
        <item m="1" x="2261"/>
        <item m="1" x="6650"/>
        <item m="1" x="3002"/>
        <item m="1" x="2517"/>
        <item m="1" x="140"/>
        <item m="1" x="938"/>
        <item m="1" x="1578"/>
        <item m="1" x="1023"/>
        <item m="1" x="1347"/>
        <item m="1" x="3036"/>
        <item m="1" x="1561"/>
        <item m="1" x="2282"/>
        <item m="1" x="3003"/>
        <item m="1" x="115"/>
        <item m="1" x="7639"/>
        <item m="1" x="2262"/>
        <item m="1" x="2690"/>
        <item m="1" x="921"/>
        <item m="1" x="1579"/>
        <item m="1" x="3246"/>
        <item m="1" x="6807"/>
        <item m="1" x="2308"/>
        <item m="1" x="3060"/>
        <item m="1" x="159"/>
        <item m="1" x="2337"/>
        <item m="1" x="3300"/>
        <item m="1" x="1975"/>
        <item m="1" x="4732"/>
        <item m="1" x="4473"/>
        <item m="1" x="698"/>
        <item m="1" x="2363"/>
        <item m="1" x="1600"/>
        <item m="1" x="3894"/>
        <item m="1" x="1580"/>
        <item m="1" x="922"/>
        <item m="1" x="179"/>
        <item m="1" x="2309"/>
        <item m="1" x="3344"/>
        <item m="1" x="3343"/>
        <item m="1" x="1657"/>
        <item m="1" x="2338"/>
        <item m="1" x="3084"/>
        <item m="1" x="1024"/>
        <item m="1" x="1614"/>
        <item m="1" x="4684"/>
        <item m="1" x="7691"/>
        <item m="1" x="2022"/>
        <item m="1" x="2819"/>
        <item m="1" x="1678"/>
        <item m="1" x="734"/>
        <item m="1" x="7742"/>
        <item m="1" x="757"/>
        <item m="1" x="3301"/>
        <item m="1" x="2072"/>
        <item m="1" x="3325"/>
        <item m="1" x="1071"/>
        <item m="1" x="227"/>
        <item m="1" x="4720"/>
        <item m="1" x="2863"/>
        <item m="1" x="5881"/>
        <item m="1" x="7896"/>
        <item m="1" x="6834"/>
        <item m="1" x="213"/>
        <item m="1" x="6437"/>
        <item m="1" x="6505"/>
        <item m="1" x="7262"/>
        <item m="1" x="2480"/>
        <item m="1" x="4914"/>
        <item m="1" x="6565"/>
        <item m="1" x="3302"/>
        <item m="1" x="5166"/>
        <item m="1" x="3458"/>
        <item m="1" x="7075"/>
        <item m="1" x="6808"/>
        <item m="1" x="2507"/>
        <item m="1" x="6047"/>
        <item m="1" x="6894"/>
        <item m="1" x="6926"/>
        <item m="1" x="326"/>
        <item m="1" x="2412"/>
        <item m="1" x="1766"/>
        <item m="1" x="6480"/>
        <item m="1" x="5477"/>
        <item m="1" x="4370"/>
        <item m="1" x="5267"/>
        <item m="1" x="3507"/>
        <item m="1" x="4867"/>
        <item m="1" x="1352"/>
        <item m="1" x="2862"/>
        <item m="1" x="6566"/>
        <item m="1" x="6928"/>
        <item m="1" x="7321"/>
        <item m="1" x="380"/>
        <item m="1" x="4594"/>
        <item m="1" x="5815"/>
        <item m="1" x="5213"/>
        <item m="1" x="6861"/>
        <item m="1" x="256"/>
        <item m="1" x="3303"/>
        <item m="1" x="4467"/>
        <item m="1" x="5512"/>
        <item m="1" x="5575"/>
        <item m="1" x="7334"/>
        <item m="1" x="5654"/>
        <item m="1" x="5555"/>
        <item m="1" x="6567"/>
        <item m="1" x="5835"/>
        <item m="1" x="363"/>
        <item m="1" x="4619"/>
        <item m="1" x="5513"/>
        <item m="1" x="6550"/>
        <item m="1" x="7302"/>
        <item m="1" x="2506"/>
        <item m="1" x="4178"/>
        <item m="1" x="7603"/>
        <item m="1" x="7356"/>
        <item m="1" x="6207"/>
        <item m="1" x="4548"/>
        <item m="1" x="2550"/>
        <item m="1" x="3345"/>
        <item m="1" x="2613"/>
        <item m="1" x="3429"/>
        <item m="1" x="5556"/>
        <item m="1" x="6208"/>
        <item m="1" x="6948"/>
        <item m="1" x="6969"/>
        <item m="1" x="6605"/>
        <item m="1" x="7392"/>
        <item m="1" x="5885"/>
        <item m="1" x="7011"/>
        <item m="1" x="7030"/>
        <item m="1" x="5254"/>
        <item m="1" x="2901"/>
        <item m="1" x="5359"/>
        <item m="1" x="7110"/>
        <item m="1" x="7669"/>
        <item m="1" x="2637"/>
        <item m="1" x="3508"/>
        <item m="1" x="4595"/>
        <item m="1" x="5615"/>
        <item m="1" x="5640"/>
        <item m="1" x="6606"/>
        <item m="1" x="6295"/>
        <item m="1" x="7357"/>
        <item m="1" x="2656"/>
        <item m="1" x="1640"/>
        <item m="1" x="3484"/>
        <item m="1" x="6739"/>
        <item m="1" x="7082"/>
        <item m="1" x="5933"/>
        <item m="1" x="7416"/>
        <item m="1" x="294"/>
        <item m="1" x="394"/>
        <item m="1" x="4234"/>
        <item m="1" x="7056"/>
        <item m="1" x="5388"/>
        <item m="1" x="5616"/>
        <item m="1" x="6927"/>
        <item m="1" x="6987"/>
        <item m="1" x="6792"/>
        <item m="1" x="2402"/>
        <item m="1" x="3133"/>
        <item m="1" x="4403"/>
        <item m="1" x="2426"/>
        <item m="1" x="4052"/>
        <item m="1" x="6845"/>
        <item m="1" x="484"/>
        <item m="1" x="6913"/>
        <item m="1" x="670"/>
        <item m="1" x="4432"/>
        <item m="1" x="1324"/>
        <item m="1" x="7010"/>
        <item m="1" x="2549"/>
        <item m="1" x="749"/>
        <item m="1" x="2879"/>
        <item m="1" x="6958"/>
        <item m="1" x="1668"/>
        <item m="1" x="1541"/>
        <item m="1" x="5157"/>
        <item m="1" x="2957"/>
        <item m="1" x="692"/>
        <item m="1" x="4454"/>
        <item m="1" x="2856"/>
        <item m="1" x="5464"/>
        <item m="1" x="4996"/>
        <item m="1" x="2499"/>
        <item m="1" x="3315"/>
        <item m="1" x="3672"/>
        <item m="1" x="4519"/>
        <item m="1" x="1017"/>
        <item m="1" x="1066"/>
        <item m="1" x="3541"/>
        <item m="1" x="1373"/>
        <item m="1" x="2427"/>
        <item m="1" x="6970"/>
        <item m="1" x="7179"/>
        <item m="1" x="332"/>
        <item m="1" x="5104"/>
        <item m="1" x="4132"/>
        <item m="1" x="485"/>
        <item m="1" x="3688"/>
        <item m="1" x="1085"/>
        <item m="1" x="6997"/>
        <item m="1" x="5034"/>
        <item m="1" x="1619"/>
        <item m="1" x="5244"/>
        <item m="1" x="3267"/>
        <item m="1" x="3338"/>
        <item m="1" x="1084"/>
        <item m="1" x="1102"/>
        <item m="1" x="3266"/>
        <item m="1" x="2917"/>
        <item m="1" x="4053"/>
        <item m="1" x="2364"/>
        <item m="1" x="5330"/>
        <item m="1" x="3292"/>
        <item m="1" x="486"/>
        <item m="1" x="2916"/>
        <item m="1" x="5404"/>
        <item m="1" x="4520"/>
        <item m="1" x="2583"/>
        <item m="1" x="3316"/>
        <item m="1" x="4585"/>
        <item m="1" x="6250"/>
        <item m="1" x="4657"/>
        <item m="1" x="5245"/>
        <item m="1" x="3017"/>
        <item m="1" x="288"/>
        <item m="1" x="4561"/>
        <item m="1" x="1116"/>
        <item m="1" x="1526"/>
        <item m="1" x="4672"/>
        <item m="1" x="119"/>
        <item m="1" x="7277"/>
        <item m="1" x="2168"/>
        <item m="1" x="273"/>
        <item m="1" x="1067"/>
        <item m="1" x="3580"/>
        <item m="1" x="1450"/>
        <item m="1" x="161"/>
        <item m="1" x="2467"/>
        <item m="1" x="1497"/>
        <item m="1" x="398"/>
        <item m="1" x="5224"/>
        <item m="1" x="1804"/>
        <item m="1" x="600"/>
        <item m="1" x="5541"/>
        <item m="1" x="4133"/>
        <item m="1" x="1849"/>
        <item m="1" x="7200"/>
        <item m="1" x="2148"/>
        <item m="1" x="2558"/>
        <item m="1" x="3449"/>
        <item m="1" x="1850"/>
        <item m="1" x="5286"/>
        <item m="1" x="83"/>
        <item m="1" x="196"/>
        <item m="1" x="63"/>
        <item m="1" x="2559"/>
        <item m="1" x="4586"/>
        <item m="1" x="1155"/>
        <item m="1" x="64"/>
        <item m="1" x="1205"/>
        <item m="1" x="2353"/>
        <item m="1" x="82"/>
        <item m="1" x="5257"/>
        <item m="1" x="2978"/>
        <item m="1" x="1520"/>
        <item m="1" x="2977"/>
        <item m="1" x="230"/>
        <item m="1" x="6573"/>
        <item m="1" x="100"/>
        <item m="1" x="3823"/>
        <item m="1" x="3078"/>
        <item m="1" x="5872"/>
        <item m="1" x="118"/>
        <item m="1" x="2277"/>
        <item m="1" x="6215"/>
        <item m="1" x="5918"/>
        <item m="1" x="6652"/>
        <item m="1" x="4662"/>
        <item m="1" x="6280"/>
        <item m="1" x="6974"/>
        <item m="1" x="7398"/>
        <item m="1" x="3729"/>
        <item m="1" x="6634"/>
        <item m="1" x="7678"/>
        <item m="1" x="7378"/>
        <item m="1" x="7748"/>
        <item m="1" x="6614"/>
        <item m="1" x="6748"/>
        <item m="1" x="6301"/>
        <item m="1" x="3134"/>
        <item m="1" x="4934"/>
        <item m="1" x="4298"/>
        <item m="1" x="7453"/>
        <item m="1" x="2403"/>
        <item m="1" x="5941"/>
        <item m="1" x="7040"/>
        <item m="1" x="260"/>
        <item m="1" x="5304"/>
        <item m="1" x="6723"/>
        <item m="1" x="7755"/>
        <item m="1" x="5039"/>
        <item m="1" x="5940"/>
        <item m="1" x="7362"/>
        <item m="1" x="5980"/>
        <item m="1" x="3889"/>
        <item m="1" x="7436"/>
        <item m="1" x="3920"/>
        <item m="1" x="4299"/>
        <item m="1" x="3631"/>
        <item m="1" x="300"/>
        <item m="1" x="6615"/>
        <item m="1" x="576"/>
        <item m="1" x="1270"/>
        <item m="1" x="2539"/>
        <item m="1" x="6802"/>
        <item m="1" x="7785"/>
        <item m="1" x="4678"/>
        <item m="1" x="7454"/>
        <item m="1" x="3416"/>
        <item m="1" x="7399"/>
        <item m="1" x="7786"/>
        <item m="1" x="5451"/>
        <item m="1" x="4981"/>
        <item m="1" x="3168"/>
        <item m="1" x="5433"/>
        <item m="1" x="7497"/>
        <item m="1" x="6063"/>
        <item m="1" x="6776"/>
        <item m="1" x="6796"/>
        <item m="1" x="6064"/>
        <item m="1" x="4762"/>
        <item m="1" x="3205"/>
        <item m="1" x="5341"/>
        <item m="1" x="6797"/>
        <item m="1" x="7435"/>
        <item m="1" x="6087"/>
        <item m="1" x="3204"/>
        <item m="1" x="4352"/>
        <item m="1" x="5452"/>
        <item m="1" x="5081"/>
        <item m="1" x="6915"/>
        <item m="1" x="488"/>
        <item m="1" x="5105"/>
        <item m="1" x="5924"/>
        <item m="1" x="7521"/>
        <item m="1" x="5749"/>
        <item m="1" x="7001"/>
        <item m="1" x="4807"/>
        <item m="1" x="6107"/>
        <item m="1" x="7182"/>
        <item m="1" x="6133"/>
        <item m="1" x="6882"/>
        <item m="1" x="7134"/>
        <item m="1" x="4740"/>
        <item m="1" x="6037"/>
        <item m="1" x="6749"/>
        <item m="1" x="6721"/>
        <item m="1" x="4484"/>
        <item m="1" x="6065"/>
        <item m="1" x="4054"/>
        <item m="1" x="7293"/>
        <item m="1" x="5381"/>
        <item m="1" x="5810"/>
        <item m="1" x="5392"/>
        <item m="1" x="5468"/>
        <item m="1" x="6916"/>
        <item m="1" x="7562"/>
        <item m="1" x="535"/>
        <item m="1" x="1550"/>
        <item m="1" x="3733"/>
        <item m="1" x="4887"/>
        <item m="1" x="7438"/>
        <item m="1" x="3018"/>
        <item m="1" x="6132"/>
        <item m="1" x="6724"/>
        <item m="1" x="3268"/>
        <item m="1" x="838"/>
        <item m="1" x="2926"/>
        <item m="1" x="1367"/>
        <item m="1" x="1456"/>
        <item m="1" x="886"/>
        <item m="1" x="1858"/>
        <item m="1" x="1604"/>
        <item m="1" x="3754"/>
        <item m="1" x="455"/>
        <item m="1" x="5828"/>
        <item m="1" x="1897"/>
        <item m="1" x="2272"/>
        <item m="1" x="5268"/>
        <item m="1" x="2202"/>
        <item m="1" x="5294"/>
        <item m="1" x="1587"/>
        <item m="1" x="927"/>
        <item m="1" x="7280"/>
        <item m="1" x="2958"/>
        <item m="1" x="67"/>
        <item m="1" x="3776"/>
        <item m="1" x="887"/>
        <item m="1" x="5407"/>
        <item m="1" x="3092"/>
        <item m="1" x="5934"/>
        <item m="1" x="5318"/>
        <item m="1" x="5903"/>
        <item m="1" x="3019"/>
        <item m="1" x="820"/>
        <item m="1" x="3020"/>
        <item m="1" x="4108"/>
        <item m="1" x="1921"/>
        <item m="1" x="4291"/>
        <item m="1" x="311"/>
        <item m="1" x="3459"/>
        <item m="1" x="4596"/>
        <item m="1" x="2345"/>
        <item m="1" x="3045"/>
        <item m="1" x="4235"/>
        <item m="1" x="3837"/>
        <item m="1" x="4973"/>
        <item m="1" x="3800"/>
        <item m="1" x="1605"/>
        <item m="1" x="68"/>
        <item m="1" x="688"/>
        <item m="1" x="2273"/>
        <item m="1" x="433"/>
        <item m="1" x="3485"/>
        <item m="1" x="4478"/>
        <item m="1" x="7480"/>
        <item m="1" x="3123"/>
        <item m="1" x="385"/>
        <item m="1" x="6175"/>
        <item m="1" x="6777"/>
        <item m="1" x="3317"/>
        <item m="1" x="1293"/>
        <item m="1" x="2674"/>
        <item m="1" x="2346"/>
        <item m="1" x="995"/>
        <item m="1" x="2700"/>
        <item m="1" x="450"/>
        <item m="1" x="1551"/>
        <item m="1" x="3192"/>
        <item m="1" x="5376"/>
        <item m="1" x="3943"/>
        <item m="1" x="5097"/>
        <item m="1" x="3226"/>
        <item m="1" x="5389"/>
        <item m="1" x="974"/>
        <item m="1" x="689"/>
        <item m="1" x="3405"/>
        <item m="1" x="5951"/>
        <item m="1" x="4689"/>
        <item m="1" x="5360"/>
        <item m="1" x="3908"/>
        <item m="1" x="146"/>
        <item m="1" x="3193"/>
        <item m="1" x="1031"/>
        <item m="1" x="2002"/>
        <item m="1" x="4708"/>
        <item m="1" x="1048"/>
        <item m="1" x="764"/>
        <item m="1" x="2290"/>
        <item m="1" x="7313"/>
        <item m="1" x="2749"/>
        <item m="1" x="5965"/>
        <item m="1" x="6027"/>
        <item m="1" x="1707"/>
        <item m="1" x="3194"/>
        <item m="1" x="3944"/>
        <item m="1" x="417"/>
        <item m="1" x="1294"/>
        <item m="1" x="2395"/>
        <item m="1" x="3124"/>
        <item m="1" x="7693"/>
        <item m="1" x="3909"/>
        <item m="1" x="3970"/>
        <item m="1" x="479"/>
        <item m="1" x="4449"/>
        <item m="1" x="3227"/>
        <item m="1" x="5126"/>
        <item m="1" x="6011"/>
        <item m="1" x="7202"/>
        <item m="1" x="723"/>
        <item m="1" x="1645"/>
        <item m="1" x="7405"/>
        <item m="1" x="3528"/>
        <item m="1" x="4735"/>
        <item m="1" x="5440"/>
        <item m="1" x="3286"/>
        <item m="1" x="6057"/>
        <item m="1" x="6438"/>
        <item m="1" x="7093"/>
        <item m="1" x="5167"/>
        <item m="1" x="5450"/>
        <item m="1" x="4073"/>
        <item m="1" x="2073"/>
        <item m="1" x="7504"/>
        <item m="1" x="274"/>
        <item m="1" x="2097"/>
        <item m="1" x="7865"/>
        <item m="1" x="4014"/>
        <item m="1" x="4820"/>
        <item m="1" x="5738"/>
        <item m="1" x="6364"/>
        <item m="1" x="4439"/>
        <item m="1" x="6506"/>
        <item m="1" x="7236"/>
        <item m="1" x="6809"/>
        <item m="1" x="7166"/>
        <item m="1" x="6568"/>
        <item m="1" x="2840"/>
        <item m="1" x="4254"/>
        <item m="1" x="6835"/>
        <item m="1" x="2514"/>
        <item m="1" x="6218"/>
        <item m="1" x="6822"/>
        <item m="1" x="5492"/>
        <item m="1" x="6117"/>
        <item m="1" x="6836"/>
        <item m="1" x="5214"/>
        <item m="1" x="5514"/>
        <item m="1" x="3214"/>
        <item m="1" x="3694"/>
        <item m="1" x="7263"/>
        <item m="1" x="2864"/>
        <item m="1" x="289"/>
        <item m="1" x="4795"/>
        <item m="1" x="6607"/>
        <item m="1" x="7547"/>
        <item m="1" x="7897"/>
        <item m="1" x="6528"/>
        <item m="1" x="5973"/>
        <item m="1" x="7186"/>
        <item m="1" x="6092"/>
        <item m="1" x="4086"/>
        <item m="1" x="7953"/>
        <item m="1" x="5515"/>
        <item m="1" x="6163"/>
        <item m="1" x="5295"/>
        <item m="1" x="6145"/>
        <item m="1" x="5851"/>
        <item m="1" x="4065"/>
        <item m="1" x="5168"/>
        <item m="1" x="4845"/>
        <item m="1" x="6164"/>
        <item m="1" x="7187"/>
        <item m="1" x="6895"/>
        <item m="1" x="2902"/>
        <item m="1" x="4087"/>
        <item m="1" x="3857"/>
        <item m="1" x="7353"/>
        <item m="1" x="308"/>
        <item m="1" x="5836"/>
        <item m="1" x="327"/>
        <item m="1" x="3304"/>
        <item m="1" x="2883"/>
        <item m="1" x="7211"/>
        <item m="1" x="7927"/>
        <item m="1" x="546"/>
        <item m="1" x="4821"/>
        <item m="1" x="7012"/>
        <item m="1" x="2153"/>
        <item m="1" x="5187"/>
        <item m="1" x="4564"/>
        <item m="1" x="4869"/>
        <item m="1" x="7057"/>
        <item m="1" x="345"/>
        <item m="1" x="2174"/>
        <item m="1" x="7339"/>
        <item m="1" x="4146"/>
        <item m="1" x="5837"/>
        <item m="1" x="3326"/>
        <item m="1" x="6589"/>
        <item m="1" x="6481"/>
        <item m="1" x="5530"/>
        <item m="1" x="6608"/>
        <item m="1" x="3801"/>
        <item m="1" x="5910"/>
        <item m="1" x="2216"/>
        <item m="1" x="6668"/>
        <item m="1" x="4868"/>
        <item m="1" x="2986"/>
        <item m="1" x="5018"/>
        <item m="1" x="6881"/>
        <item m="1" x="2419"/>
        <item m="1" x="4641"/>
        <item m="1" x="5617"/>
        <item m="1" x="6248"/>
        <item m="1" x="7322"/>
        <item m="1" x="5336"/>
        <item m="1" x="6272"/>
        <item m="1" x="6988"/>
        <item m="1" x="3391"/>
        <item m="1" x="5230"/>
        <item m="1" x="4620"/>
        <item m="1" x="6226"/>
        <item m="1" x="395"/>
        <item m="1" x="5601"/>
        <item m="1" x="5911"/>
        <item m="1" x="6742"/>
        <item m="1" x="6609"/>
        <item m="1" x="4642"/>
        <item m="1" x="7013"/>
        <item m="1" x="5296"/>
        <item m="1" x="6648"/>
        <item m="1" x="4950"/>
        <item m="1" x="5602"/>
        <item m="1" x="5886"/>
        <item m="1" x="5269"/>
        <item m="1" x="4659"/>
        <item m="1" x="6590"/>
        <item m="1" x="5641"/>
        <item m="1" x="6273"/>
        <item m="1" x="7256"/>
        <item m="1" x="5576"/>
        <item m="1" x="5374"/>
        <item m="1" x="5770"/>
        <item m="1" x="3158"/>
        <item m="1" x="428"/>
        <item m="1" x="4236"/>
        <item m="1" x="7373"/>
        <item m="1" x="7374"/>
        <item m="1" x="582"/>
        <item m="1" x="4911"/>
        <item m="1" x="2347"/>
        <item m="1" x="3611"/>
        <item m="1" x="2377"/>
        <item m="1" x="960"/>
        <item m="1" x="4786"/>
        <item m="1" x="7765"/>
        <item m="1" x="498"/>
        <item m="1" x="1374"/>
        <item m="1" x="151"/>
        <item m="1" x="469"/>
        <item m="1" x="5715"/>
        <item m="1" x="3234"/>
        <item m="1" x="5082"/>
        <item m="1" x="2833"/>
        <item m="1" x="170"/>
        <item m="1" x="6014"/>
        <item m="1" x="4763"/>
        <item m="1" x="4949"/>
        <item m="1" x="3228"/>
        <item m="1" x="5732"/>
        <item m="1" x="204"/>
        <item m="1" x="6940"/>
        <item m="1" x="1201"/>
        <item m="1" x="5655"/>
        <item m="1" x="1403"/>
        <item m="1" x="2812"/>
        <item m="1" x="4787"/>
        <item m="1" x="4079"/>
        <item m="1" x="975"/>
        <item m="1" x="3430"/>
        <item m="1" x="4055"/>
        <item m="1" x="5765"/>
        <item m="1" x="5465"/>
        <item m="1" x="2091"/>
        <item m="1" x="3235"/>
        <item m="1" x="729"/>
        <item m="1" x="4808"/>
        <item m="1" x="2918"/>
        <item m="1" x="1716"/>
        <item m="1" x="2914"/>
        <item m="1" x="750"/>
        <item m="1" x="6693"/>
        <item m="1" x="851"/>
        <item m="1" x="4997"/>
        <item m="1" x="1052"/>
        <item m="1" x="203"/>
        <item m="1" x="1669"/>
        <item m="1" x="1715"/>
        <item m="1" x="3269"/>
        <item m="1" x="4056"/>
        <item m="1" x="1404"/>
        <item m="1" x="290"/>
        <item m="1" x="1348"/>
        <item m="1" x="1133"/>
        <item m="1" x="7792"/>
        <item m="1" x="619"/>
        <item m="1" x="517"/>
        <item m="1" x="2834"/>
        <item m="1" x="4134"/>
        <item m="1" x="2266"/>
        <item m="1" x="2092"/>
        <item m="1" x="291"/>
        <item m="1" x="1405"/>
        <item m="1" x="4106"/>
        <item m="1" x="7898"/>
        <item m="1" x="783"/>
        <item m="1" x="3379"/>
        <item m="1" x="2919"/>
        <item m="1" x="5181"/>
        <item m="1" x="3380"/>
        <item m="1" x="1476"/>
        <item m="1" x="2522"/>
        <item m="1" x="834"/>
        <item m="1" x="4135"/>
        <item m="1" x="5035"/>
        <item m="1" x="2369"/>
        <item m="1" x="6979"/>
        <item m="1" x="2555"/>
        <item m="1" x="2645"/>
        <item m="1" x="2783"/>
        <item m="1" x="4907"/>
        <item m="1" x="879"/>
        <item m="1" x="3357"/>
        <item m="1" x="328"/>
        <item m="1" x="5846"/>
        <item m="1" x="4521"/>
        <item m="1" x="275"/>
        <item m="1" x="2979"/>
        <item m="1" x="4168"/>
        <item m="1" x="1521"/>
        <item m="1" x="3116"/>
        <item m="1" x="3749"/>
        <item m="1" x="292"/>
        <item m="1" x="5246"/>
        <item m="1" x="364"/>
        <item m="1" x="601"/>
        <item m="1" x="6763"/>
        <item m="1" x="1852"/>
        <item m="1" x="2579"/>
        <item m="1" x="1477"/>
        <item m="1" x="2580"/>
        <item m="1" x="2560"/>
        <item m="1" x="5225"/>
        <item m="1" x="4136"/>
        <item m="1" x="346"/>
        <item m="1" x="4169"/>
        <item m="1" x="647"/>
        <item m="1" x="5075"/>
        <item m="1" x="3417"/>
        <item m="1" x="816"/>
        <item m="1" x="1851"/>
        <item m="1" x="2561"/>
        <item m="1" x="3730"/>
        <item m="1" x="1542"/>
        <item m="1" x="7915"/>
        <item m="1" x="5561"/>
        <item m="1" x="4282"/>
        <item m="1" x="5880"/>
        <item m="1" x="2968"/>
        <item m="1" x="4896"/>
        <item m="1" x="5226"/>
        <item m="1" x="6616"/>
        <item m="1" x="4243"/>
        <item m="1" x="4982"/>
        <item m="1" x="6253"/>
        <item m="1" x="6232"/>
        <item m="1" x="4991"/>
        <item m="1" x="2640"/>
        <item m="1" x="956"/>
        <item m="1" x="7631"/>
        <item m="1" x="6254"/>
        <item m="1" x="5023"/>
        <item m="1" x="5584"/>
        <item m="1" x="5604"/>
        <item m="1" x="7756"/>
        <item m="1" x="4300"/>
        <item m="1" x="5127"/>
        <item m="1" x="7022"/>
        <item m="1" x="2599"/>
        <item m="1" x="6680"/>
        <item m="1" x="4276"/>
        <item m="1" x="5605"/>
        <item m="1" x="4603"/>
        <item m="1" x="1930"/>
        <item m="1" x="6255"/>
        <item m="1" x="7062"/>
        <item m="1" x="4897"/>
        <item m="1" x="6992"/>
        <item m="1" x="7089"/>
        <item m="1" x="6281"/>
        <item m="1" x="4622"/>
        <item m="1" x="147"/>
        <item m="1" x="4244"/>
        <item m="1" x="7118"/>
        <item m="1" x="5005"/>
        <item m="1" x="6975"/>
        <item m="1" x="3515"/>
        <item m="1" x="5585"/>
        <item m="1" x="4935"/>
        <item m="1" x="4353"/>
        <item m="1" x="6318"/>
        <item m="1" x="5006"/>
        <item m="1" x="3079"/>
        <item m="1" x="7775"/>
        <item m="1" x="3869"/>
        <item m="1" x="4219"/>
        <item m="1" x="7706"/>
        <item m="1" x="1906"/>
        <item m="1" x="6019"/>
        <item m="1" x="7835"/>
        <item m="1" x="5750"/>
        <item m="1" x="2680"/>
        <item m="1" x="6336"/>
        <item m="1" x="5683"/>
        <item m="1" x="5024"/>
        <item m="1" x="5106"/>
        <item m="1" x="6038"/>
        <item m="1" x="7522"/>
        <item m="1" x="5004"/>
        <item m="1" x="5942"/>
        <item m="1" x="4218"/>
        <item m="1" x="6335"/>
        <item m="1" x="5643"/>
        <item m="1" x="5408"/>
        <item m="1" x="3843"/>
        <item m="1" x="1968"/>
        <item m="1" x="4646"/>
        <item m="1" x="7836"/>
        <item m="1" x="7160"/>
        <item m="1" x="5684"/>
        <item m="1" x="6319"/>
        <item m="1" x="2784"/>
        <item m="1" x="3950"/>
        <item m="1" x="5058"/>
        <item m="1" x="3612"/>
        <item m="1" x="4272"/>
        <item m="1" x="4404"/>
        <item m="1" x="7474"/>
        <item m="1" x="7886"/>
        <item m="1" x="6431"/>
        <item m="1" x="4712"/>
        <item m="1" x="4327"/>
        <item m="1" x="6302"/>
        <item m="1" x="5136"/>
        <item m="1" x="3673"/>
        <item m="1" x="5434"/>
        <item m="1" x="3206"/>
        <item m="1" x="7072"/>
        <item m="1" x="6725"/>
        <item m="1" x="6635"/>
        <item m="1" x="3236"/>
        <item m="1" x="4405"/>
        <item m="1" x="5083"/>
        <item m="1" x="7563"/>
        <item m="1" x="7229"/>
        <item m="1" x="4958"/>
        <item m="1" x="6317"/>
        <item m="1" x="6388"/>
        <item m="1" x="1358"/>
        <item m="1" x="1390"/>
        <item m="1" x="3978"/>
        <item m="1" x="5716"/>
        <item m="1" x="3653"/>
        <item m="1" x="5733"/>
        <item m="1" x="4456"/>
        <item m="1" x="5453"/>
        <item m="1" x="476"/>
        <item m="1" x="7887"/>
        <item m="1" x="4230"/>
        <item m="1" x="6406"/>
        <item m="1" x="5701"/>
        <item m="1" x="2857"/>
        <item m="1" x="264"/>
        <item m="1" x="7063"/>
        <item m="1" x="5435"/>
        <item m="1" x="358"/>
        <item m="1" x="2114"/>
        <item m="1" x="5137"/>
        <item m="1" x="4809"/>
        <item m="1" x="2758"/>
        <item m="1" x="3237"/>
        <item m="1" x="4006"/>
        <item m="1" x="7136"/>
        <item m="1" x="7921"/>
        <item m="1" x="6824"/>
        <item m="1" x="7119"/>
        <item m="1" x="4846"/>
        <item m="1" x="1789"/>
        <item m="1" x="3921"/>
        <item m="1" x="90"/>
        <item m="1" x="2959"/>
        <item m="1" x="5158"/>
        <item m="1" x="2132"/>
        <item m="1" x="7161"/>
        <item m="1" x="7943"/>
        <item m="1" x="5847"/>
        <item m="1" x="127"/>
        <item m="1" x="7757"/>
        <item m="1" x="3514"/>
        <item m="1" x="4406"/>
        <item m="1" x="6387"/>
        <item m="1" x="5182"/>
        <item m="1" x="1182"/>
        <item m="1" x="4912"/>
        <item m="1" x="2675"/>
        <item m="1" x="351"/>
        <item m="1" x="1815"/>
        <item m="1" x="386"/>
        <item m="1" x="6778"/>
        <item m="1" x="5700"/>
        <item m="1" x="3293"/>
        <item m="1" x="4455"/>
        <item m="1" x="5135"/>
        <item m="1" x="1207"/>
        <item m="1" x="7204"/>
        <item m="1" x="2584"/>
        <item m="1" x="3392"/>
        <item m="1" x="4888"/>
        <item m="1" x="1121"/>
        <item m="1" x="3817"/>
        <item m="1" x="6359"/>
        <item m="1" x="7858"/>
        <item m="1" x="2567"/>
        <item m="1" x="4179"/>
        <item m="1" x="3021"/>
        <item m="1" x="7257"/>
        <item m="1" x="6453"/>
        <item m="1" x="2987"/>
        <item m="1" x="5618"/>
        <item m="1" x="637"/>
        <item m="1" x="128"/>
        <item m="1" x="671"/>
        <item m="1" x="129"/>
        <item m="1" x="7367"/>
        <item m="1" x="4292"/>
        <item m="1" x="1877"/>
        <item m="1" x="3022"/>
        <item m="1" x="5201"/>
        <item m="1" x="6687"/>
        <item m="1" x="7811"/>
        <item m="1" x="1166"/>
        <item m="1" x="5262"/>
        <item m="1" x="1188"/>
        <item m="1" x="4974"/>
        <item m="1" x="3910"/>
        <item m="1" x="6430"/>
        <item m="1" x="1235"/>
        <item m="1" x="69"/>
        <item m="1" x="2519"/>
        <item m="1" x="1167"/>
        <item m="1" x="3883"/>
        <item m="1" x="2701"/>
        <item m="1" x="107"/>
        <item m="1" x="1168"/>
        <item m="1" x="1859"/>
        <item m="1" x="7707"/>
        <item m="1" x="5679"/>
        <item m="1" x="1922"/>
        <item m="1" x="1606"/>
        <item m="1" x="3557"/>
        <item m="1" x="2585"/>
        <item m="1" x="2723"/>
        <item m="1" x="1317"/>
        <item m="1" x="108"/>
        <item m="1" x="2057"/>
        <item m="1" x="165"/>
        <item m="1" x="1295"/>
        <item m="1" x="3542"/>
        <item m="1" x="651"/>
        <item m="1" x="1214"/>
        <item m="1" x="4998"/>
        <item m="1" x="1945"/>
        <item m="1" x="1662"/>
        <item m="1" x="2348"/>
        <item m="1" x="4344"/>
        <item m="1" x="3125"/>
        <item m="1" x="418"/>
        <item m="1" x="1296"/>
        <item m="1" x="638"/>
        <item m="1" x="3559"/>
        <item m="1" x="1946"/>
        <item m="1" x="724"/>
        <item m="1" x="5353"/>
        <item m="1" x="3971"/>
        <item m="1" x="1688"/>
        <item m="1" x="6823"/>
        <item m="1" x="5766"/>
        <item m="1" x="3339"/>
        <item m="1" x="7251"/>
        <item m="1" x="1236"/>
        <item m="1" x="672"/>
        <item m="1" x="2702"/>
        <item m="1" x="1708"/>
        <item m="1" x="1297"/>
        <item m="1" x="3581"/>
        <item m="1" x="745"/>
        <item m="1" x="6405"/>
        <item m="1" x="4397"/>
        <item m="1" x="2058"/>
        <item m="1" x="3195"/>
        <item m="1" x="3558"/>
        <item m="1" x="6496"/>
        <item m="1" x="166"/>
        <item m="1" x="2895"/>
        <item m="1" x="218"/>
        <item m="1" x="2003"/>
        <item m="1" x="2850"/>
        <item m="1" x="5656"/>
        <item m="1" x="5113"/>
        <item m="1" x="2083"/>
        <item m="1" x="7857"/>
        <item m="1" x="1982"/>
        <item m="1" x="1340"/>
        <item m="1" x="690"/>
        <item m="1" x="4024"/>
        <item m="1" x="2724"/>
        <item m="1" x="3605"/>
        <item m="1" x="6472"/>
        <item m="1" x="2420"/>
        <item m="1" x="5098"/>
        <item m="1" x="1012"/>
        <item m="1" x="3229"/>
        <item m="1" x="4001"/>
        <item m="1" x="5761"/>
        <item m="1" x="1273"/>
        <item m="1" x="6896"/>
        <item m="1" x="6118"/>
        <item m="1" x="7899"/>
        <item m="1" x="3640"/>
        <item m="1" x="4440"/>
        <item m="1" x="5493"/>
        <item m="1" x="6456"/>
        <item m="1" x="7212"/>
        <item m="1" x="7570"/>
        <item m="1" x="2396"/>
        <item m="1" x="4074"/>
        <item m="1" x="4468"/>
        <item m="1" x="5793"/>
        <item m="1" x="7237"/>
        <item m="1" x="3381"/>
        <item m="1" x="6071"/>
        <item m="1" x="4796"/>
        <item m="1" x="4951"/>
        <item m="1" x="683"/>
        <item m="1" x="6183"/>
        <item m="1" x="7625"/>
        <item m="1" x="5816"/>
        <item m="1" x="7264"/>
        <item m="1" x="6452"/>
        <item m="1" x="4126"/>
        <item m="1" x="6543"/>
        <item m="1" x="4999"/>
        <item m="1" x="3695"/>
        <item m="1" x="5252"/>
        <item m="1" x="5698"/>
        <item m="1" x="5557"/>
        <item m="1" x="6529"/>
        <item m="1" x="7920"/>
        <item m="1" x="7571"/>
        <item m="1" x="4505"/>
        <item m="1" x="6523"/>
        <item m="1" x="4822"/>
        <item m="1" x="6919"/>
        <item m="1" x="4889"/>
        <item m="1" x="7670"/>
        <item m="1" x="6165"/>
        <item m="1" x="7584"/>
        <item m="1" x="7265"/>
        <item m="1" x="5516"/>
        <item m="1" x="6837"/>
        <item m="1" x="6551"/>
        <item m="1" x="6184"/>
        <item m="1" x="65"/>
        <item m="1" x="3717"/>
        <item m="1" x="4847"/>
        <item m="1" x="7646"/>
        <item m="1" x="2903"/>
        <item m="1" x="6185"/>
        <item m="1" x="5867"/>
        <item m="1" x="6507"/>
        <item m="1" x="2493"/>
        <item m="1" x="6591"/>
        <item m="1" x="7671"/>
        <item m="1" x="377"/>
        <item m="1" x="6627"/>
        <item m="1" x="7744"/>
        <item m="1" x="410"/>
        <item m="1" x="2927"/>
        <item m="1" x="4117"/>
        <item m="1" x="4565"/>
        <item m="1" x="5935"/>
        <item m="1" x="6249"/>
        <item m="1" x="5577"/>
        <item m="1" x="5603"/>
        <item m="1" x="4597"/>
        <item m="1" x="3862"/>
        <item m="1" x="6495"/>
        <item m="1" x="4088"/>
        <item m="1" x="7604"/>
        <item m="1" x="5297"/>
        <item m="1" x="7721"/>
        <item m="1" x="5727"/>
        <item m="1" x="6209"/>
        <item m="1" x="5657"/>
        <item m="1" x="6669"/>
        <item m="1" x="6379"/>
        <item m="1" x="4660"/>
        <item m="1" x="3159"/>
        <item m="1" x="5361"/>
        <item m="1" x="6297"/>
        <item m="1" x="7658"/>
        <item m="1" x="143"/>
        <item m="1" x="7702"/>
        <item m="1" x="131"/>
        <item m="1" x="1262"/>
        <item m="1" x="2538"/>
        <item m="1" x="793"/>
        <item m="1" x="470"/>
        <item m="1" x="4890"/>
        <item m="1" x="4764"/>
        <item m="1" x="187"/>
        <item m="1" x="2316"/>
        <item m="1" x="1325"/>
        <item m="1" x="981"/>
        <item m="1" x="3951"/>
        <item m="1" x="7766"/>
        <item m="1" x="868"/>
        <item m="1" x="7778"/>
        <item m="1" x="507"/>
        <item m="1" x="2988"/>
        <item m="1" x="4180"/>
        <item m="1" x="2067"/>
        <item m="1" x="1717"/>
        <item m="1" x="205"/>
        <item m="1" x="3979"/>
        <item m="1" x="1739"/>
        <item m="1" x="2325"/>
        <item m="1" x="1000"/>
        <item m="1" x="939"/>
        <item m="1" x="6542"/>
        <item m="1" x="532"/>
        <item m="1" x="1349"/>
        <item m="1" x="3135"/>
        <item m="1" x="2468"/>
        <item m="1" x="2449"/>
        <item m="1" x="4741"/>
        <item m="1" x="852"/>
        <item m="1" x="4147"/>
        <item m="1" x="2469"/>
        <item m="1" x="3674"/>
        <item m="1" x="563"/>
        <item m="1" x="3238"/>
        <item m="1" x="5760"/>
        <item m="1" x="2450"/>
        <item m="1" x="3270"/>
        <item m="1" x="5912"/>
        <item m="1" x="6718"/>
        <item m="1" x="800"/>
        <item m="1" x="7881"/>
        <item m="1" x="1406"/>
        <item m="1" x="6296"/>
        <item m="1" x="663"/>
        <item m="1" x="1740"/>
        <item m="1" x="4057"/>
        <item m="1" x="7743"/>
        <item m="1" x="2500"/>
        <item m="1" x="4788"/>
        <item m="1" x="7866"/>
        <item m="1" x="835"/>
        <item m="1" x="276"/>
        <item m="1" x="849"/>
        <item m="1" x="1451"/>
        <item m="1" x="3318"/>
        <item m="1" x="2574"/>
        <item m="1" x="1757"/>
        <item m="1" x="1223"/>
        <item m="1" x="2149"/>
        <item m="1" x="1830"/>
        <item m="1" x="2562"/>
        <item m="1" x="880"/>
        <item m="1" x="347"/>
        <item m="1" x="836"/>
        <item m="1" x="1780"/>
        <item m="1" x="2920"/>
        <item m="1" x="4237"/>
        <item m="1" x="1781"/>
        <item m="1" x="1853"/>
        <item m="1" x="3358"/>
        <item m="1" x="7853"/>
        <item m="1" x="2648"/>
        <item m="1" x="1805"/>
        <item m="1" x="1831"/>
        <item m="1" x="3382"/>
        <item m="1" x="6585"/>
        <item m="1" x="7954"/>
        <item m="1" x="2193"/>
        <item m="1" x="4137"/>
        <item m="1" x="2605"/>
        <item m="1" x="2671"/>
        <item m="1" x="898"/>
        <item m="1" x="4208"/>
        <item m="1" x="2523"/>
        <item m="1" x="881"/>
        <item m="1" x="5808"/>
        <item m="1" x="1832"/>
        <item m="1" x="6715"/>
        <item m="1" x="6378"/>
        <item m="1" x="4170"/>
        <item m="1" x="3799"/>
        <item m="1" x="365"/>
        <item m="1" x="908"/>
        <item m="1" x="2717"/>
        <item m="1" x="3437"/>
        <item m="1" x="6769"/>
        <item m="1" x="3922"/>
        <item m="1" x="2378"/>
        <item m="1" x="1103"/>
        <item m="1" x="5409"/>
        <item m="1" x="6360"/>
        <item m="1" x="6703"/>
        <item m="1" x="7758"/>
        <item m="1" x="2622"/>
        <item m="1" x="5943"/>
        <item m="1" x="2278"/>
        <item m="1" x="4245"/>
        <item m="1" x="6425"/>
        <item m="1" x="5025"/>
        <item m="1" x="5393"/>
        <item m="1" x="1629"/>
        <item m="1" x="4031"/>
        <item m="1" x="3046"/>
        <item m="1" x="4293"/>
        <item m="1" x="633"/>
        <item m="1" x="3516"/>
        <item m="1" x="6681"/>
        <item m="1" x="7420"/>
        <item m="1" x="7910"/>
        <item m="1" x="3923"/>
        <item m="1" x="7812"/>
        <item m="1" x="1001"/>
        <item m="1" x="5664"/>
        <item m="1" x="3870"/>
        <item m="1" x="4138"/>
        <item m="1" x="2775"/>
        <item m="1" x="3096"/>
        <item m="1" x="3169"/>
        <item m="1" x="4647"/>
        <item m="1" x="5365"/>
        <item m="1" x="4384"/>
        <item m="1" x="6682"/>
        <item m="1" x="4354"/>
        <item m="1" x="4266"/>
        <item m="1" x="5382"/>
        <item m="1" x="6389"/>
        <item m="1" x="7498"/>
        <item m="1" x="1670"/>
        <item m="1" x="2428"/>
        <item m="1" x="5394"/>
        <item m="1" x="6750"/>
        <item m="1" x="6798"/>
        <item m="1" x="7859"/>
        <item m="1" x="6817"/>
        <item m="1" x="2354"/>
        <item m="1" x="7837"/>
        <item m="1" x="5734"/>
        <item m="1" x="1693"/>
        <item m="1" x="5410"/>
        <item m="1" x="6039"/>
        <item m="1" x="172"/>
        <item m="1" x="1053"/>
        <item m="1" x="7576"/>
        <item m="1" x="6396"/>
        <item m="1" x="7205"/>
        <item m="1" x="6779"/>
        <item m="1" x="2451"/>
        <item m="1" x="7596"/>
        <item m="1" x="6673"/>
        <item m="1" x="3589"/>
        <item m="1" x="2667"/>
        <item m="1" x="6407"/>
        <item m="1" x="2759"/>
        <item m="1" x="6473"/>
        <item m="1" x="5411"/>
        <item m="1" x="7922"/>
        <item m="1" x="5159"/>
        <item m="1" x="7640"/>
        <item m="1" x="6799"/>
        <item m="1" x="2470"/>
        <item m="1" x="7183"/>
        <item m="1" x="6883"/>
        <item m="1" x="1758"/>
        <item m="1" x="1909"/>
        <item m="1" x="3564"/>
        <item m="1" x="1068"/>
        <item m="1" x="1741"/>
        <item m="1" x="3709"/>
        <item m="1" x="4058"/>
        <item m="1" x="5469"/>
        <item m="1" x="7577"/>
        <item m="1" x="6960"/>
        <item m="1" x="6194"/>
        <item m="1" x="7692"/>
        <item m="1" x="3271"/>
        <item m="1" x="5183"/>
        <item m="1" x="6134"/>
        <item m="1" x="2858"/>
        <item m="1" x="4032"/>
        <item m="1" x="4139"/>
        <item m="1" x="7617"/>
        <item m="1" x="3319"/>
        <item m="1" x="3383"/>
        <item m="1" x="3689"/>
        <item m="1" x="5543"/>
        <item m="1" x="6524"/>
        <item m="1" x="7564"/>
        <item m="1" x="6238"/>
        <item m="1" x="3911"/>
        <item m="1" x="3884"/>
        <item m="1" x="4457"/>
        <item m="1" x="1898"/>
        <item m="1" x="480"/>
        <item m="1" x="6853"/>
        <item m="1" x="1553"/>
        <item m="1" x="5811"/>
        <item m="1" x="6726"/>
        <item m="1" x="1646"/>
        <item m="1" x="3654"/>
        <item m="1" x="1134"/>
        <item m="1" x="1833"/>
        <item m="1" x="555"/>
        <item m="1" x="725"/>
        <item m="1" x="6704"/>
        <item m="1" x="7475"/>
        <item m="1" x="941"/>
        <item m="1" x="465"/>
        <item m="1" x="4736"/>
        <item m="1" x="2778"/>
        <item m="1" x="451"/>
        <item m="1" x="3582"/>
        <item m="1" x="7680"/>
        <item m="1" x="2441"/>
        <item m="1" x="1395"/>
        <item m="1" x="5454"/>
        <item m="1" x="5227"/>
        <item m="1" x="3666"/>
        <item m="1" x="1060"/>
        <item m="1" x="1078"/>
        <item m="1" x="466"/>
        <item m="1" x="2421"/>
        <item m="1" x="1836"/>
        <item m="1" x="6733"/>
        <item m="1" x="2263"/>
        <item m="1" x="3160"/>
        <item m="1" x="1663"/>
        <item m="1" x="996"/>
        <item m="1" x="4760"/>
        <item m="1" x="6727"/>
        <item m="1" x="3972"/>
        <item m="1" x="2515"/>
        <item m="1" x="2102"/>
        <item m="1" x="1079"/>
        <item m="1" x="4805"/>
        <item m="1" x="4830"/>
        <item m="1" x="7023"/>
        <item m="1" x="419"/>
        <item m="1" x="1237"/>
        <item m="1" x="2274"/>
        <item m="1" x="6810"/>
        <item m="1" x="7284"/>
        <item m="1" x="4823"/>
        <item m="1" x="2442"/>
        <item m="1" x="6552"/>
        <item m="1" x="6454"/>
        <item m="1" x="7238"/>
        <item m="1" x="5253"/>
        <item m="1" x="3327"/>
        <item m="1" x="1412"/>
        <item m="1" x="7213"/>
        <item m="1" x="6482"/>
        <item m="1" x="7955"/>
        <item m="1" x="7323"/>
        <item m="1" x="1179"/>
        <item m="1" x="1871"/>
        <item m="1" x="6569"/>
        <item m="1" x="7303"/>
        <item m="1" x="3891"/>
        <item m="1" x="5188"/>
        <item m="1" x="7928"/>
        <item m="1" x="5354"/>
        <item m="1" x="2509"/>
        <item m="1" x="5818"/>
        <item m="1" x="7266"/>
        <item m="1" x="6570"/>
        <item m="1" x="3735"/>
        <item m="1" x="7073"/>
        <item m="1" x="1013"/>
        <item m="1" x="5817"/>
        <item m="1" x="4566"/>
        <item m="1" x="1502"/>
        <item m="1" x="1364"/>
        <item m="1" x="527"/>
        <item m="1" x="148"/>
        <item m="1" x="4488"/>
        <item m="1" x="4148"/>
        <item m="1" x="5531"/>
        <item m="1" x="6508"/>
        <item m="1" x="6210"/>
        <item m="1" x="5298"/>
        <item m="1" x="4525"/>
        <item m="1" x="5936"/>
        <item m="1" x="3346"/>
        <item m="1" x="2531"/>
        <item m="1" x="2217"/>
        <item m="1" x="4118"/>
        <item m="1" x="3707"/>
        <item m="1" x="4149"/>
        <item m="1" x="7375"/>
        <item m="1" x="2989"/>
        <item m="1" x="7341"/>
        <item m="1" x="7358"/>
        <item m="1" x="2568"/>
        <item m="1" x="4549"/>
        <item m="1" x="6571"/>
        <item m="1" x="3431"/>
        <item m="1" x="2638"/>
        <item m="1" x="4598"/>
        <item m="1" x="1226"/>
        <item m="1" x="1915"/>
        <item m="1" x="3678"/>
        <item m="1" x="5270"/>
        <item m="1" x="6311"/>
        <item m="1" x="3756"/>
        <item m="1" x="7417"/>
        <item m="1" x="92"/>
        <item m="1" x="5387"/>
        <item m="1" x="3047"/>
        <item m="1" x="6696"/>
        <item m="1" x="3460"/>
        <item m="1" x="5169"/>
        <item m="1" x="7450"/>
        <item m="1" x="7340"/>
        <item m="1" x="2530"/>
        <item m="1" x="901"/>
        <item m="1" x="6628"/>
        <item m="1" x="2614"/>
        <item m="1" x="5972"/>
        <item m="1" x="5299"/>
        <item m="1" x="3818"/>
        <item m="1" x="4891"/>
        <item m="1" x="4568"/>
        <item m="1" x="7058"/>
        <item m="1" x="1588"/>
        <item m="1" x="5377"/>
        <item m="1" x="1156"/>
        <item m="1" x="1983"/>
        <item m="1" x="2440"/>
        <item m="1" x="5323"/>
        <item m="1" x="3183"/>
        <item m="1" x="4576"/>
        <item m="1" x="7421"/>
        <item m="1" x="4002"/>
        <item m="1" x="2463"/>
        <item m="1" x="3648"/>
        <item m="1" x="6751"/>
        <item m="1" x="821"/>
        <item m="1" x="2481"/>
        <item m="1" x="3734"/>
        <item m="1" x="2508"/>
        <item m="1" x="4848"/>
        <item m="1" x="6670"/>
        <item m="1" x="5868"/>
        <item m="1" x="3432"/>
        <item m="1" x="7647"/>
        <item m="1" x="1552"/>
        <item m="1" x="4181"/>
        <item m="1" x="1878"/>
        <item m="1" x="4567"/>
        <item m="1" x="4661"/>
        <item m="1" x="4182"/>
        <item m="1" x="2245"/>
        <item m="1" x="7031"/>
        <item m="1" x="1554"/>
        <item m="1" x="4953"/>
        <item m="1" x="5991"/>
        <item m="1" x="7430"/>
        <item m="1" x="3819"/>
        <item m="1" x="3838"/>
        <item m="1" x="1611"/>
        <item m="1" x="3591"/>
        <item m="1" x="3137"/>
        <item m="1" x="5362"/>
        <item m="1" x="4318"/>
        <item m="1" x="6719"/>
        <item m="1" x="4952"/>
        <item m="1" x="5887"/>
        <item m="1" x="7376"/>
        <item m="1" x="1624"/>
        <item m="1" x="2676"/>
        <item m="1" x="2382"/>
        <item m="1" x="6770"/>
        <item m="1" x="7882"/>
        <item m="1" x="6720"/>
        <item m="1" x="3461"/>
        <item m="1" x="2389"/>
        <item m="1" x="4248"/>
        <item m="1" x="4937"/>
        <item m="1" x="4938"/>
        <item m="1" x="6072"/>
        <item m="1" x="730"/>
        <item m="1" x="6410"/>
        <item m="1" x="5436"/>
        <item m="1" x="6818"/>
        <item m="1" x="188"/>
        <item m="1" x="3718"/>
        <item m="1" x="3071"/>
        <item m="1" x="4975"/>
        <item m="1" x="7722"/>
        <item m="1" x="817"/>
        <item m="1" x="958"/>
        <item m="1" x="2471"/>
        <item m="1" x="4458"/>
        <item m="1" x="3802"/>
        <item m="1" x="2115"/>
        <item m="1" x="277"/>
        <item m="1" x="1037"/>
        <item m="1" x="1111"/>
        <item m="1" x="2042"/>
        <item m="1" x="6395"/>
        <item m="1" x="6408"/>
        <item m="1" x="7469"/>
        <item m="1" x="766"/>
        <item m="1" x="6695"/>
        <item m="1" x="1054"/>
        <item m="1" x="1782"/>
        <item m="1" x="348"/>
        <item m="1" x="472"/>
        <item m="1" x="2524"/>
        <item m="1" x="801"/>
        <item m="1" x="6457"/>
        <item m="1" x="120"/>
        <item m="1" x="4009"/>
        <item m="1" x="1430"/>
        <item m="1" x="2169"/>
        <item m="1" x="3755"/>
        <item m="1" x="3126"/>
        <item m="1" x="2880"/>
        <item m="1" x="882"/>
        <item m="1" x="818"/>
        <item m="1" x="412"/>
        <item m="1" x="1117"/>
        <item m="1" x="197"/>
        <item m="1" x="1872"/>
        <item m="1" x="3743"/>
        <item m="1" x="4059"/>
        <item m="1" x="1135"/>
        <item m="1" x="1854"/>
        <item m="1" x="2170"/>
        <item m="1" x="1478"/>
        <item m="1" x="7141"/>
        <item m="1" x="924"/>
        <item m="1" x="7515"/>
        <item m="1" x="366"/>
        <item m="1" x="3475"/>
        <item m="1" x="4559"/>
        <item m="1" x="6530"/>
        <item m="1" x="7304"/>
        <item m="1" x="7605"/>
        <item m="1" x="7585"/>
        <item m="1" x="2949"/>
        <item m="1" x="84"/>
        <item m="1" x="3811"/>
        <item m="1" x="1620"/>
        <item m="1" x="3138"/>
        <item m="1" x="1889"/>
        <item m="1" x="329"/>
        <item m="1" x="4924"/>
        <item m="1" x="1522"/>
        <item m="1" x="413"/>
        <item m="1" x="1206"/>
        <item m="1" x="3812"/>
        <item m="1" x="2236"/>
        <item m="1" x="349"/>
        <item m="1" x="2649"/>
        <item m="1" x="1523"/>
        <item m="1" x="1180"/>
        <item m="1" x="77"/>
        <item m="1" x="653"/>
        <item m="1" x="4635"/>
        <item m="1" x="3196"/>
        <item m="1" x="2921"/>
        <item m="1" x="4385"/>
        <item m="1" x="6282"/>
        <item m="1" x="4301"/>
        <item m="1" x="2681"/>
        <item m="1" x="5626"/>
        <item m="1" x="5040"/>
        <item m="1" x="1564"/>
        <item m="1" x="6653"/>
        <item m="1" x="3509"/>
        <item m="1" x="1243"/>
        <item m="1" x="4433"/>
        <item m="1" x="7120"/>
        <item m="1" x="1263"/>
        <item m="1" x="2527"/>
        <item m="1" x="3871"/>
        <item m="1" x="3464"/>
        <item m="1" x="5997"/>
        <item m="1" x="3207"/>
        <item m="1" x="7730"/>
        <item m="1" x="5138"/>
        <item m="1" x="4107"/>
        <item m="1" x="6705"/>
        <item m="1" x="7455"/>
        <item m="1" x="925"/>
        <item m="1" x="7555"/>
        <item m="1" x="4246"/>
        <item m="1" x="1969"/>
        <item m="1" x="1278"/>
        <item m="1" x="6040"/>
        <item m="1" x="3636"/>
        <item m="1" x="6320"/>
        <item m="1" x="4302"/>
        <item m="1" x="2326"/>
        <item m="1" x="7759"/>
        <item m="1" x="6390"/>
        <item m="1" x="7437"/>
        <item m="1" x="2732"/>
        <item m="1" x="5665"/>
        <item m="1" x="6654"/>
        <item m="1" x="1630"/>
        <item m="1" x="6020"/>
        <item m="1" x="2355"/>
        <item m="1" x="4407"/>
        <item m="1" x="5026"/>
        <item m="1" x="2760"/>
        <item m="1" x="3136"/>
        <item m="1" x="4713"/>
        <item m="1" x="7476"/>
        <item m="1" x="731"/>
        <item m="1" x="3255"/>
        <item m="1" x="2980"/>
        <item m="1" x="5702"/>
        <item m="1" x="5059"/>
        <item m="1" x="4303"/>
        <item m="1" x="3890"/>
        <item m="1" x="4355"/>
        <item m="1" x="6780"/>
        <item m="1" x="7618"/>
        <item m="1" x="4434"/>
        <item m="1" x="4408"/>
        <item m="1" x="7477"/>
        <item m="1" x="1350"/>
        <item m="1" x="116"/>
        <item m="1" x="3566"/>
        <item m="1" x="3517"/>
        <item m="1" x="2813"/>
        <item m="1" x="4459"/>
        <item m="1" x="6066"/>
        <item m="1" x="4765"/>
        <item m="1" x="7592"/>
        <item m="1" x="3980"/>
        <item m="1" x="5455"/>
        <item m="1" x="2429"/>
        <item m="1" x="1376"/>
        <item m="1" x="3272"/>
        <item m="1" x="4500"/>
        <item m="1" x="4238"/>
        <item m="1" x="7297"/>
        <item m="1" x="5060"/>
        <item m="1" x="7537"/>
        <item m="1" x="2898"/>
        <item m="1" x="5184"/>
        <item m="1" x="784"/>
        <item m="1" x="6825"/>
        <item m="1" x="6108"/>
        <item m="1" x="1718"/>
        <item m="1" x="4151"/>
        <item m="1" x="4485"/>
        <item m="1" x="6578"/>
        <item m="1" x="3981"/>
        <item m="1" x="3690"/>
        <item m="1" x="7230"/>
        <item m="1" x="5139"/>
        <item m="1" x="7206"/>
        <item m="1" x="6826"/>
        <item m="1" x="2563"/>
        <item m="1" x="6432"/>
        <item m="1" x="6917"/>
        <item m="1" x="7578"/>
        <item m="1" x="2430"/>
        <item m="1" x="7162"/>
        <item m="1" x="7923"/>
        <item m="1" x="5228"/>
        <item m="1" x="6135"/>
        <item m="1" x="6156"/>
        <item m="1" x="5205"/>
        <item m="1" x="4460"/>
        <item m="1" x="2194"/>
        <item m="1" x="4789"/>
        <item m="1" x="5160"/>
        <item m="1" x="1407"/>
        <item m="1" x="1783"/>
        <item m="1" x="5860"/>
        <item m="1" x="6918"/>
        <item m="1" x="2859"/>
        <item m="1" x="7269"/>
        <item m="1" x="6188"/>
        <item m="1" x="7579"/>
        <item m="1" x="3011"/>
        <item m="1" x="3565"/>
        <item m="1" x="7333"/>
        <item m="1" x="2275"/>
        <item m="1" x="7619"/>
        <item m="1" x="3010"/>
        <item m="1" x="603"/>
        <item m="1" x="7597"/>
        <item m="1" x="6497"/>
        <item m="1" x="3691"/>
        <item m="1" x="6931"/>
        <item m="1" x="6884"/>
        <item m="1" x="2829"/>
        <item m="1" x="6213"/>
        <item m="1" x="6885"/>
        <item m="1" x="7565"/>
        <item m="1" x="7944"/>
        <item m="1" x="6952"/>
        <item m="1" x="5580"/>
        <item x="22"/>
        <item m="1" x="4267"/>
        <item m="1" x="6544"/>
        <item m="1" x="6962"/>
        <item m="1" x="70"/>
        <item m="1" x="512"/>
        <item m="1" x="5247"/>
        <item m="1" x="1879"/>
        <item m="1" x="623"/>
        <item m="1" x="130"/>
        <item m="1" x="4580"/>
        <item m="1" x="2835"/>
        <item m="1" x="2615"/>
        <item m="1" x="3433"/>
        <item m="1" x="1238"/>
        <item m="1" x="1215"/>
        <item m="1" x="4239"/>
        <item m="1" x="673"/>
        <item m="1" x="91"/>
        <item m="1" x="3486"/>
        <item m="1" x="2657"/>
        <item m="1" x="4268"/>
        <item m="1" x="7324"/>
        <item m="1" x="1899"/>
        <item m="1" x="149"/>
        <item m="1" x="7630"/>
        <item m="1" x="1216"/>
        <item m="1" x="3127"/>
        <item m="1" x="6961"/>
        <item m="1" x="7163"/>
        <item m="1" x="452"/>
        <item m="1" x="7708"/>
        <item m="1" x="959"/>
        <item m="1" x="6256"/>
        <item m="1" x="1664"/>
        <item m="1" x="3510"/>
        <item m="1" x="167"/>
        <item m="1" x="2586"/>
        <item m="1" x="2397"/>
        <item m="1" x="3161"/>
        <item m="1" x="7379"/>
        <item m="1" x="942"/>
        <item m="1" x="7363"/>
        <item m="1" x="1255"/>
        <item m="1" x="3190"/>
        <item m="1" x="3613"/>
        <item m="1" x="7368"/>
        <item m="1" x="7660"/>
        <item m="1" x="3117"/>
        <item m="1" x="7679"/>
        <item m="1" x="1947"/>
        <item m="1" x="7041"/>
        <item m="1" x="6474"/>
        <item m="1" x="4319"/>
        <item m="1" x="185"/>
        <item m="1" x="3813"/>
        <item m="1" x="674"/>
        <item m="1" x="1239"/>
        <item m="1" x="434"/>
        <item m="1" x="1689"/>
        <item m="1" x="2398"/>
        <item m="1" x="2750"/>
        <item m="1" x="3583"/>
        <item m="1" x="1365"/>
        <item m="1" x="7731"/>
        <item m="1" x="200"/>
        <item m="1" x="1984"/>
        <item m="1" x="2703"/>
        <item m="1" x="2725"/>
        <item m="1" x="3162"/>
        <item m="1" x="1665"/>
        <item m="1" x="3584"/>
        <item m="1" x="7343"/>
        <item m="1" x="1965"/>
        <item m="1" x="746"/>
        <item m="1" x="2356"/>
        <item m="1" x="4630"/>
        <item m="1" x="710"/>
        <item m="1" x="2399"/>
        <item m="1" x="2751"/>
        <item m="1" x="467"/>
        <item m="1" x="2005"/>
        <item m="1" x="7064"/>
        <item m="1" x="869"/>
        <item m="1" x="2726"/>
        <item m="1" x="2036"/>
        <item m="1" x="7787"/>
        <item m="1" x="726"/>
        <item m="1" x="537"/>
        <item m="1" x="1032"/>
        <item m="1" x="1318"/>
        <item m="1" x="7090"/>
        <item m="1" x="2752"/>
        <item m="1" x="7002"/>
        <item m="1" x="4398"/>
        <item m="1" x="3632"/>
        <item m="1" x="3585"/>
        <item m="1" x="3649"/>
        <item m="1" x="7422"/>
        <item m="1" x="1396"/>
        <item m="1" x="3256"/>
        <item m="1" x="2037"/>
        <item m="1" x="6361"/>
        <item m="1" x="2516"/>
        <item m="1" x="7490"/>
        <item m="1" x="7774"/>
        <item m="1" x="3189"/>
        <item m="1" x="4423"/>
        <item m="1" x="6337"/>
        <item m="1" x="2059"/>
        <item m="1" x="1049"/>
        <item m="1" x="3856"/>
        <item m="1" x="1423"/>
        <item m="1" x="4375"/>
        <item m="1" x="2779"/>
        <item x="40"/>
        <item m="1" x="779"/>
        <item m="1" x="2807"/>
        <item m="1" x="2443"/>
        <item m="1" x="235"/>
        <item m="1" x="727"/>
        <item m="1" x="497"/>
        <item m="1" x="2004"/>
        <item m="1" x="3633"/>
        <item m="1" x="1298"/>
        <item m="1" x="2006"/>
        <item m="1" x="7838"/>
        <item m="1" x="1709"/>
        <item m="1" x="5532"/>
        <item m="1" x="6932"/>
        <item m="1" x="3230"/>
        <item m="1" x="2119"/>
        <item m="1" x="7307"/>
        <item m="1" x="2494"/>
        <item m="1" x="4489"/>
        <item m="1" x="2510"/>
        <item m="1" x="5460"/>
        <item m="1" x="5753"/>
        <item m="1" x="6989"/>
        <item m="1" x="6862"/>
        <item m="1" x="1435"/>
        <item m="1" x="7051"/>
        <item m="1" x="2120"/>
        <item m="1" x="6897"/>
        <item m="1" x="4824"/>
        <item m="1" x="7586"/>
        <item m="1" x="575"/>
        <item m="1" x="4892"/>
        <item m="1" x="787"/>
        <item m="1" x="2820"/>
        <item x="42"/>
        <item m="1" x="1443"/>
        <item m="1" x="7819"/>
        <item m="1" x="6509"/>
        <item m="1" x="566"/>
        <item m="1" x="839"/>
        <item m="1" x="1457"/>
        <item m="1" x="2511"/>
        <item m="1" x="3641"/>
        <item m="1" x="4441"/>
        <item m="1" x="5142"/>
        <item m="1" x="2134"/>
        <item m="1" x="2203"/>
        <item m="1" x="1413"/>
        <item m="1" x="5517"/>
        <item m="1" x="6458"/>
        <item m="1" x="1458"/>
        <item m="1" x="6146"/>
        <item m="1" x="4150"/>
        <item m="1" x="6483"/>
        <item m="1" x="2551"/>
        <item m="1" x="5578"/>
        <item m="1" x="6227"/>
        <item m="1" x="6898"/>
        <item m="1" x="6166"/>
        <item m="1" x="7032"/>
        <item m="1" x="2483"/>
        <item m="1" x="4506"/>
        <item m="1" x="5189"/>
        <item m="1" x="853"/>
        <item m="1" x="6211"/>
        <item m="1" x="4526"/>
        <item m="1" x="6863"/>
        <item m="1" x="626"/>
        <item m="1" x="399"/>
        <item m="1" x="6049"/>
        <item m="1" x="4422"/>
        <item m="1" x="6864"/>
        <item m="1" x="4119"/>
        <item m="1" x="3903"/>
        <item m="1" x="4954"/>
        <item m="1" x="2482"/>
        <item m="1" x="7305"/>
        <item m="1" x="2512"/>
        <item m="1" x="5215"/>
        <item m="1" x="6572"/>
        <item m="1" x="7606"/>
        <item m="1" x="4930"/>
        <item m="1" x="1503"/>
        <item m="1" x="1860"/>
        <item m="1" x="4849"/>
        <item m="1" x="854"/>
        <item m="1" x="2928"/>
        <item m="1" x="4931"/>
        <item m="1" x="5533"/>
        <item m="1" x="266"/>
        <item m="1" x="5619"/>
        <item m="1" x="7059"/>
        <item m="1" x="3719"/>
        <item m="1" x="2616"/>
        <item m="1" x="1504"/>
        <item m="1" x="6592"/>
        <item m="1" x="4913"/>
        <item m="1" x="6865"/>
        <item m="1" x="4120"/>
        <item m="1" x="7626"/>
        <item m="1" x="2175"/>
        <item m="1" x="1326"/>
        <item m="1" x="7481"/>
        <item m="1" x="7377"/>
        <item m="1" x="604"/>
        <item m="1" x="888"/>
        <item m="1" x="5019"/>
        <item m="1" x="3777"/>
        <item m="1" x="4932"/>
        <item m="1" x="911"/>
        <item m="1" x="7111"/>
        <item m="1" x="4320"/>
        <item m="1" x="6972"/>
        <item m="1" x="1529"/>
        <item m="1" x="5937"/>
        <item m="1" x="5319"/>
        <item m="1" x="1375"/>
        <item m="1" x="612"/>
        <item m="1" x="910"/>
        <item m="1" x="7033"/>
        <item m="1" x="7703"/>
        <item m="1" x="6629"/>
        <item m="1" x="5000"/>
        <item m="1" x="605"/>
        <item m="1" x="4976"/>
        <item m="1" x="5534"/>
        <item m="1" x="6186"/>
        <item m="1" x="5271"/>
        <item m="1" x="4643"/>
        <item m="1" x="5680"/>
        <item m="1" x="6649"/>
        <item m="1" x="5337"/>
        <item m="1" x="5913"/>
        <item m="1" x="6990"/>
        <item m="1" x="2587"/>
        <item m="1" x="5621"/>
        <item m="1" x="7393"/>
        <item m="1" x="4599"/>
        <item m="1" x="3778"/>
        <item m="1" x="1454"/>
        <item m="1" x="3736"/>
        <item m="1" x="4346"/>
        <item m="1" x="943"/>
        <item m="1" x="7704"/>
        <item m="1" x="4321"/>
        <item m="1" x="5914"/>
        <item m="1" x="3820"/>
        <item m="1" x="1189"/>
        <item m="1" x="6313"/>
        <item m="1" x="3434"/>
        <item m="1" x="3462"/>
        <item m="1" x="1948"/>
        <item m="1" x="3543"/>
        <item m="1" x="3757"/>
        <item m="1" x="1217"/>
        <item m="1" x="6671"/>
        <item m="1" x="1589"/>
        <item m="1" x="7404"/>
        <item m="1" x="4209"/>
        <item m="1" x="944"/>
        <item m="1" x="3487"/>
        <item m="1" x="5001"/>
        <item m="1" x="3560"/>
        <item m="1" x="6329"/>
        <item m="1" x="5485"/>
        <item m="1" x="303"/>
        <item m="1" x="6672"/>
        <item m="1" x="7723"/>
        <item m="1" x="7793"/>
        <item m="1" x="7672"/>
        <item m="1" x="171"/>
        <item m="1" x="711"/>
        <item m="1" x="639"/>
        <item m="1" x="4345"/>
        <item m="1" x="7094"/>
        <item m="1" x="1671"/>
        <item m="1" x="2015"/>
        <item m="1" x="624"/>
        <item m="1" x="4550"/>
        <item m="1" x="2007"/>
        <item m="1" x="2008"/>
        <item m="1" x="2704"/>
        <item m="1" x="5052"/>
        <item m="1" x="5993"/>
        <item m="1" x="7060"/>
        <item m="1" x="7724"/>
        <item m="1" x="5712"/>
        <item m="1" x="6697"/>
        <item m="1" x="7745"/>
        <item m="1" x="7767"/>
        <item m="1" x="7999"/>
        <item m="1" x="518"/>
        <item m="1" x="7095"/>
        <item m="1" x="1069"/>
        <item m="1" x="1694"/>
        <item m="1" x="189"/>
        <item m="1" x="5889"/>
        <item m="1" x="6899"/>
        <item m="1" x="6228"/>
        <item m="1" x="5956"/>
        <item m="1" x="5020"/>
        <item m="1" x="1971"/>
        <item m="1" x="7096"/>
        <item x="12"/>
        <item m="1" x="3239"/>
        <item m="1" x="644"/>
        <item m="1" x="4424"/>
        <item m="1" x="2116"/>
        <item m="1" x="1528"/>
        <item m="1" x="1452"/>
        <item m="1" x="5579"/>
        <item m="1" x="6229"/>
        <item m="1" x="767"/>
        <item m="1" x="1086"/>
        <item m="1" x="206"/>
        <item m="1" x="3306"/>
        <item m="1" x="2453"/>
        <item m="1" x="2786"/>
        <item m="1" x="3982"/>
        <item x="13"/>
        <item m="1" x="7188"/>
        <item m="1" x="2589"/>
        <item m="1" x="3602"/>
        <item x="38"/>
        <item m="1" x="6531"/>
        <item m="1" x="7123"/>
        <item m="1" x="7867"/>
        <item m="1" x="6365"/>
        <item m="1" x="7987"/>
        <item m="1" x="7991"/>
        <item m="1" x="7993"/>
        <item m="1" x="7996"/>
        <item m="1" x="768"/>
        <item m="1" x="7818"/>
        <item m="1" x="2452"/>
        <item x="46"/>
        <item m="1" x="2043"/>
        <item m="1" x="1719"/>
        <item m="1" x="802"/>
        <item m="1" x="1742"/>
        <item m="1" x="2472"/>
        <item m="1" x="3450"/>
        <item m="1" x="519"/>
        <item m="1" x="7900"/>
        <item m="1" x="2705"/>
        <item m="1" x="6351"/>
        <item m="1" x="7083"/>
        <item m="1" x="1087"/>
        <item m="1" x="2501"/>
        <item m="1" x="583"/>
        <item m="1" x="3320"/>
        <item m="1" x="1136"/>
        <item m="1" x="340"/>
        <item m="1" x="7984"/>
        <item m="1" x="7988"/>
        <item m="1" x="2525"/>
        <item m="1" x="803"/>
        <item m="1" x="675"/>
        <item m="1" x="2545"/>
        <item m="1" x="4080"/>
        <item m="1" x="1806"/>
        <item m="1" x="1498"/>
        <item m="1" x="6484"/>
        <item m="1" x="435"/>
        <item m="1" x="7239"/>
        <item x="14"/>
        <item m="1" x="1524"/>
        <item m="1" x="6400"/>
        <item m="1" x="7133"/>
        <item m="1" x="7015"/>
        <item m="1" x="2628"/>
        <item x="43"/>
        <item x="47"/>
        <item x="48"/>
        <item m="1" x="3384"/>
        <item m="1" x="5992"/>
        <item m="1" x="899"/>
        <item m="1" x="5051"/>
        <item m="1" x="3568"/>
        <item m="1" x="6510"/>
        <item m="1" x="4347"/>
        <item m="1" x="7930"/>
        <item m="1" x="584"/>
        <item m="1" x="1890"/>
        <item m="1" x="6971"/>
        <item m="1" x="7491"/>
        <item m="1" x="6872"/>
        <item m="1" x="7957"/>
        <item m="1" x="5620"/>
        <item m="1" x="6274"/>
        <item m="1" x="819"/>
        <item m="1" x="1626"/>
        <item m="1" x="6729"/>
        <item m="1" x="7138"/>
        <item m="1" x="565"/>
        <item m="1" x="1873"/>
        <item m="1" x="837"/>
        <item m="1" x="2607"/>
        <item m="1" x="2981"/>
        <item m="1" x="702"/>
        <item m="1" x="1543"/>
        <item m="1" x="7285"/>
        <item m="1" x="2237"/>
        <item m="1" x="1855"/>
        <item m="1" x="3419"/>
        <item m="1" x="7214"/>
        <item m="1" x="564"/>
        <item m="1" x="1453"/>
        <item m="1" x="330"/>
        <item m="1" x="1118"/>
        <item m="1" x="1807"/>
        <item m="1" x="2195"/>
        <item m="1" x="101"/>
        <item m="1" x="883"/>
        <item m="1" x="1834"/>
        <item m="1" x="2546"/>
        <item m="1" x="2950"/>
        <item m="1" x="620"/>
        <item m="1" x="1525"/>
        <item m="1" x="2606"/>
        <item m="1" x="3418"/>
        <item m="1" x="1227"/>
        <item m="1" x="2267"/>
        <item m="1" x="1137"/>
        <item m="1" x="2196"/>
        <item m="1" x="381"/>
        <item m="1" x="884"/>
        <item m="1" x="1544"/>
        <item m="1" x="2776"/>
        <item m="1" x="4189"/>
        <item m="1" x="3476"/>
        <item m="1" x="4936"/>
        <item m="1" x="7929"/>
        <item m="1" x="3518"/>
        <item x="41"/>
        <item m="1" x="376"/>
        <item m="1" x="3803"/>
        <item m="1" x="7956"/>
        <item m="1" x="1337"/>
        <item m="1" x="7065"/>
        <item m="1" x="6321"/>
        <item x="15"/>
        <item m="1" x="2872"/>
        <item m="1" x="5342"/>
        <item m="1" x="4959"/>
        <item m="1" x="3546"/>
        <item m="1" x="2659"/>
        <item m="1" x="6283"/>
        <item m="1" x="5061"/>
        <item m="1" x="4220"/>
        <item m="1" x="2176"/>
        <item m="1" x="6033"/>
        <item m="1" x="926"/>
        <item m="1" x="3614"/>
        <item m="1" x="5155"/>
        <item m="1" x="5063"/>
        <item m="1" x="4247"/>
        <item m="1" x="6362"/>
        <item m="1" x="4709"/>
        <item m="1" x="1931"/>
        <item m="1" x="5644"/>
        <item m="1" x="5041"/>
        <item m="1" x="5107"/>
        <item x="33"/>
        <item m="1" x="6338"/>
        <item m="1" x="7121"/>
        <item m="1" x="7184"/>
        <item x="45"/>
        <item m="1" x="6312"/>
        <item m="1" x="6041"/>
        <item m="1" x="6752"/>
        <item m="1" x="1960"/>
        <item m="1" x="6683"/>
        <item m="1" x="5322"/>
        <item m="1" x="7423"/>
        <item m="1" x="7985"/>
        <item m="1" x="7976"/>
        <item m="1" x="7973"/>
        <item m="1" x="6706"/>
        <item m="1" x="7974"/>
        <item m="1" x="6391"/>
        <item m="1" x="5888"/>
        <item m="1" x="6322"/>
        <item m="1" x="7231"/>
        <item m="1" x="6021"/>
        <item m="1" x="4386"/>
        <item m="1" x="7400"/>
        <item m="1" x="7995"/>
        <item x="1"/>
        <item x="23"/>
        <item m="1" x="5735"/>
        <item m="1" x="4356"/>
        <item m="1" x="2836"/>
        <item m="1" x="5666"/>
        <item m="1" x="7207"/>
        <item m="1" x="7989"/>
        <item m="1" x="4033"/>
        <item m="1" x="7478"/>
        <item m="1" x="1695"/>
        <item m="1" x="2379"/>
        <item m="1" x="2682"/>
        <item m="1" x="4679"/>
        <item m="1" x="5108"/>
        <item m="1" x="2761"/>
        <item m="1" x="409"/>
        <item m="1" x="1002"/>
        <item m="1" x="5944"/>
        <item m="1" x="7978"/>
        <item m="1" x="4461"/>
        <item x="3"/>
        <item m="1" x="4328"/>
        <item m="1" x="1377"/>
        <item m="1" x="3637"/>
        <item m="1" x="6363"/>
        <item m="1" x="7986"/>
        <item m="1" x="7994"/>
        <item m="1" x="6753"/>
        <item m="1" x="6800"/>
        <item m="1" x="2017"/>
        <item m="1" x="7981"/>
        <item m="1" x="7983"/>
        <item x="4"/>
        <item m="1" x="7998"/>
        <item m="1" x="7979"/>
        <item x="16"/>
        <item x="17"/>
        <item m="1" x="7314"/>
        <item m="1" x="3984"/>
        <item m="1" x="751"/>
        <item m="1" x="6083"/>
        <item m="1" x="955"/>
        <item m="1" x="3655"/>
        <item m="1" x="5198"/>
        <item m="1" x="6392"/>
        <item m="1" x="5412"/>
        <item m="1" x="1970"/>
        <item m="1" x="7990"/>
        <item m="1" x="4007"/>
        <item m="1" x="1696"/>
        <item x="6"/>
        <item m="1" x="5717"/>
        <item m="1" x="7232"/>
        <item m="1" x="2404"/>
        <item m="1" x="4357"/>
        <item m="1" x="1171"/>
        <item m="1" x="1122"/>
        <item m="1" x="1431"/>
        <item m="1" x="7386"/>
        <item m="1" x="6854"/>
        <item x="39"/>
        <item x="49"/>
        <item m="1" x="7137"/>
        <item m="1" x="1432"/>
        <item m="1" x="718"/>
        <item m="1" x="3151"/>
        <item m="1" x="4714"/>
        <item m="1" x="7164"/>
        <item m="1" x="6350"/>
        <item m="1" x="6088"/>
        <item m="1" x="1038"/>
        <item m="1" x="3983"/>
        <item m="1" x="2785"/>
        <item m="1" x="2381"/>
        <item m="1" x="2016"/>
        <item m="1" x="3170"/>
        <item m="1" x="7977"/>
        <item m="1" x="2018"/>
        <item m="1" x="2380"/>
        <item m="1" x="2734"/>
        <item m="1" x="6067"/>
        <item m="1" x="2735"/>
        <item x="9"/>
        <item x="10"/>
        <item m="1" x="5109"/>
        <item x="18"/>
        <item x="19"/>
        <item x="26"/>
        <item x="27"/>
        <item x="28"/>
        <item x="29"/>
        <item x="30"/>
        <item x="31"/>
        <item m="1" x="2250"/>
        <item x="32"/>
        <item x="44"/>
        <item x="53"/>
        <item m="1" x="930"/>
        <item m="1" x="945"/>
        <item m="1" x="7233"/>
        <item m="1" x="7997"/>
        <item m="1" x="7924"/>
        <item m="1" x="7980"/>
        <item m="1" x="6963"/>
        <item m="1" x="6855"/>
        <item m="1" x="1784"/>
        <item m="1" x="1785"/>
        <item m="1" x="7580"/>
        <item m="1" x="7982"/>
        <item x="11"/>
        <item m="1" x="5767"/>
        <item m="1" x="7538"/>
        <item m="1" x="4409"/>
        <item m="1" x="7567"/>
        <item m="1" x="265"/>
        <item m="1" x="1808"/>
        <item x="21"/>
        <item x="25"/>
        <item m="1" x="4767"/>
        <item m="1" x="4836"/>
        <item m="1" x="4569"/>
        <item m="1" x="7281"/>
        <item m="1" x="2230"/>
        <item x="34"/>
        <item m="1" x="4742"/>
        <item m="1" x="5737"/>
        <item m="1" x="7091"/>
        <item m="1" x="4435"/>
        <item m="1" x="4766"/>
        <item m="1" x="5736"/>
        <item m="1" x="5998"/>
        <item m="1" x="6801"/>
        <item m="1" x="7185"/>
        <item m="1" x="7499"/>
        <item m="1" x="7860"/>
        <item m="1" x="5502"/>
        <item m="1" x="5812"/>
        <item m="1" x="6136"/>
        <item m="1" x="6475"/>
        <item m="1" x="6827"/>
        <item m="1" x="7208"/>
        <item m="1" x="7523"/>
        <item m="1" x="7888"/>
        <item m="1" x="6157"/>
        <item m="1" x="4008"/>
        <item m="1" x="2213"/>
        <item m="1" x="5062"/>
        <item m="1" x="2454"/>
        <item m="1" x="4081"/>
        <item m="1" x="2117"/>
        <item m="1" x="4140"/>
        <item m="1" x="4462"/>
        <item m="1" x="6498"/>
        <item m="1" x="6941"/>
        <item m="1" x="5185"/>
        <item m="1" x="3675"/>
        <item m="1" x="7566"/>
        <item m="1" x="3420"/>
        <item m="1" x="7482"/>
        <item m="1" x="4304"/>
        <item m="1" x="2814"/>
        <item x="0"/>
        <item x="2"/>
        <item m="1" x="3567"/>
        <item m="1" x="3952"/>
        <item x="5"/>
        <item m="1" x="7975"/>
        <item m="1" x="2733"/>
        <item m="1" x="2526"/>
        <item m="1" x="4486"/>
        <item m="1" x="5161"/>
        <item x="7"/>
        <item m="1" x="5263"/>
        <item m="1" x="7992"/>
        <item x="8"/>
        <item m="1" x="4410"/>
        <item m="1" x="4879"/>
        <item m="1" x="1759"/>
        <item m="1" x="6728"/>
        <item m="1" x="4862"/>
        <item x="20"/>
        <item x="24"/>
        <item x="35"/>
        <item x="36"/>
        <item x="37"/>
        <item x="50"/>
        <item x="51"/>
        <item x="52"/>
        <item x="5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52"/>
        <item x="6"/>
        <item m="1" x="7301"/>
        <item m="1" x="3416"/>
        <item m="1" x="3637"/>
        <item m="1" x="7768"/>
        <item m="1" x="7352"/>
        <item m="1" x="4362"/>
        <item m="1" x="1171"/>
        <item m="1" x="3355"/>
        <item m="1" x="7634"/>
        <item m="1" x="7896"/>
        <item m="1" x="36"/>
        <item m="1" x="41"/>
        <item m="1" x="7424"/>
        <item m="1" x="7038"/>
        <item m="1" x="2855"/>
        <item m="1" x="7179"/>
        <item m="1" x="3001"/>
        <item m="1" x="6893"/>
        <item m="1" x="2722"/>
        <item m="1" x="3292"/>
        <item m="1" x="7489"/>
        <item m="1" x="7304"/>
        <item m="1" x="3418"/>
        <item m="1" x="154"/>
        <item m="1" x="4499"/>
        <item m="1" x="7734"/>
        <item m="1" x="40"/>
        <item m="1" x="2424"/>
        <item m="1" x="3621"/>
        <item m="1" x="6039"/>
        <item m="1" x="7154"/>
        <item m="1" x="7412"/>
        <item m="1" x="3633"/>
        <item m="1" x="7838"/>
        <item m="1" x="3278"/>
        <item m="1" x="4052"/>
        <item m="1" x="4350"/>
        <item m="1" x="3486"/>
        <item m="1" x="3465"/>
        <item m="1" x="3697"/>
        <item m="1" x="3575"/>
        <item m="1" x="3142"/>
        <item m="1" x="7904"/>
        <item m="1" x="4102"/>
        <item m="1" x="2126"/>
        <item m="1" x="470"/>
        <item m="1" x="7753"/>
        <item m="1" x="3958"/>
        <item m="1" x="3199"/>
        <item m="1" x="356"/>
        <item m="1" x="6622"/>
        <item m="1" x="2931"/>
        <item m="1" x="477"/>
        <item m="1" x="4369"/>
        <item m="1" x="4249"/>
        <item m="1" x="6156"/>
        <item m="1" x="6306"/>
        <item m="1" x="7708"/>
        <item m="1" x="5014"/>
        <item m="1" x="6607"/>
        <item m="1" x="5808"/>
        <item m="1" x="6692"/>
        <item m="1" x="2189"/>
        <item m="1" x="6519"/>
        <item m="1" x="1626"/>
        <item m="1" x="6372"/>
        <item m="1" x="1512"/>
        <item m="1" x="2669"/>
        <item m="1" x="3690"/>
        <item m="1" x="1813"/>
        <item m="1" x="1835"/>
        <item m="1" x="5681"/>
        <item m="1" x="3341"/>
        <item m="1" x="5491"/>
        <item m="1" x="7305"/>
        <item m="1" x="1421"/>
        <item m="1" x="3689"/>
        <item m="1" x="917"/>
        <item m="1" x="897"/>
        <item m="1" x="6932"/>
        <item m="1" x="2753"/>
        <item m="1" x="1017"/>
        <item m="1" x="2188"/>
        <item m="1" x="1490"/>
        <item m="1" x="6012"/>
        <item m="1" x="4049"/>
        <item m="1" x="3417"/>
        <item m="1" x="1212"/>
        <item m="1" x="2234"/>
        <item m="1" x="5750"/>
        <item m="1" x="7536"/>
        <item m="1" x="5967"/>
        <item m="1" x="4761"/>
        <item m="1" x="2898"/>
        <item m="1" x="7077"/>
        <item m="1" x="7717"/>
        <item m="1" x="4378"/>
        <item m="1" x="5451"/>
        <item m="1" x="1962"/>
        <item m="1" x="4360"/>
        <item m="1" x="2635"/>
        <item m="1" x="5998"/>
        <item m="1" x="1131"/>
        <item m="1" x="4047"/>
        <item m="1" x="4291"/>
        <item m="1" x="2590"/>
        <item m="1" x="4186"/>
        <item m="1" x="6976"/>
        <item m="1" x="2028"/>
        <item m="1" x="6227"/>
        <item m="1" x="1952"/>
        <item m="1" x="1780"/>
        <item m="1" x="2041"/>
        <item m="1" x="1655"/>
        <item m="1" x="1547"/>
        <item m="1" x="5782"/>
        <item m="1" x="7243"/>
        <item m="1" x="4480"/>
        <item m="1" x="957"/>
        <item m="1" x="5196"/>
        <item m="1" x="797"/>
        <item m="1" x="7275"/>
        <item m="1" x="2336"/>
        <item m="1" x="6506"/>
        <item m="1" x="7917"/>
        <item m="1" x="2895"/>
        <item m="1" x="6907"/>
        <item m="1" x="2870"/>
        <item m="1" x="7419"/>
        <item m="1" x="6822"/>
        <item m="1" x="2497"/>
        <item m="1" x="6783"/>
        <item m="1" x="3325"/>
        <item m="1" x="7458"/>
        <item m="1" x="3170"/>
        <item m="1" x="3025"/>
        <item m="1" x="2008"/>
        <item m="1" x="3672"/>
        <item m="1" x="2062"/>
        <item m="1" x="6259"/>
        <item m="1" x="1894"/>
        <item m="1" x="6106"/>
        <item m="1" x="2632"/>
        <item m="1" x="6820"/>
        <item m="1" x="2495"/>
        <item m="1" x="6676"/>
        <item m="1" x="2360"/>
        <item m="1" x="6546"/>
        <item m="1" x="2223"/>
        <item m="1" x="2766"/>
        <item m="1" x="7979"/>
        <item m="1" x="3728"/>
        <item m="1" x="7855"/>
        <item m="1" x="3600"/>
        <item m="1" x="7727"/>
        <item m="1" x="5043"/>
        <item m="1" x="5456"/>
        <item m="1" x="6719"/>
        <item m="1" x="1951"/>
        <item m="1" x="5859"/>
        <item m="1" x="1472"/>
        <item m="1" x="5704"/>
        <item m="1" x="1312"/>
        <item m="1" x="5551"/>
        <item m="1" x="1141"/>
        <item m="1" x="3456"/>
        <item m="1" x="5388"/>
        <item m="1" x="7091"/>
        <item m="1" x="1067"/>
        <item m="1" x="2768"/>
        <item m="1" x="6944"/>
        <item m="1" x="4853"/>
        <item m="1" x="1814"/>
        <item m="1" x="6155"/>
        <item m="1" x="4614"/>
        <item m="1" x="2594"/>
        <item m="1" x="7196"/>
        <item m="1" x="3779"/>
        <item m="1" x="1779"/>
        <item m="1" x="280"/>
        <item m="1" x="6747"/>
        <item m="1" x="4696"/>
        <item m="1" x="2006"/>
        <item m="1" x="7593"/>
        <item m="1" x="3314"/>
        <item m="1" x="7965"/>
        <item m="1" x="1286"/>
        <item m="1" x="6780"/>
        <item m="1" x="2591"/>
        <item m="1" x="5528"/>
        <item m="1" x="5843"/>
        <item m="1" x="7449"/>
        <item m="1" x="3952"/>
        <item m="1" x="5262"/>
        <item m="1" x="3839"/>
        <item m="1" x="5684"/>
        <item m="1" x="1455"/>
        <item m="1" x="2059"/>
        <item m="1" x="4261"/>
        <item m="1" x="1612"/>
        <item m="1" x="7842"/>
        <item m="1" x="3588"/>
        <item m="1" x="7712"/>
        <item m="1" x="3443"/>
        <item m="1" x="7705"/>
        <item m="1" x="600"/>
        <item m="1" x="6918"/>
        <item m="1" x="3715"/>
        <item m="1" x="3685"/>
        <item m="1" x="3984"/>
        <item m="1" x="6345"/>
        <item m="1" x="139"/>
        <item m="1" x="2741"/>
        <item m="1" x="4163"/>
        <item m="1" x="2936"/>
        <item m="1" x="6219"/>
        <item m="1" x="1864"/>
        <item m="1" x="6290"/>
        <item m="1" x="1571"/>
        <item m="1" x="3150"/>
        <item m="1" x="6748"/>
        <item m="1" x="1534"/>
        <item m="1" x="5636"/>
        <item m="1" x="2220"/>
        <item m="1" x="1557"/>
        <item m="1" x="1402"/>
        <item m="1" x="5794"/>
        <item m="1" x="771"/>
        <item m="1" x="6678"/>
        <item m="1" x="3071"/>
        <item m="1" x="7582"/>
        <item m="1" x="4058"/>
        <item m="1" x="3943"/>
        <item m="1" x="3830"/>
        <item m="1" x="7950"/>
        <item m="1" x="3700"/>
        <item m="1" x="7833"/>
        <item m="1" x="3579"/>
        <item m="1" x="3620"/>
        <item m="1" x="7752"/>
        <item m="1" x="262"/>
        <item m="1" x="4103"/>
        <item m="1" x="2461"/>
        <item m="1" x="5661"/>
        <item m="1" x="7941"/>
        <item m="1" x="3691"/>
        <item m="1" x="5824"/>
        <item m="1" x="1594"/>
        <item m="1" x="2737"/>
        <item m="1" x="7826"/>
        <item m="1" x="4266"/>
        <item m="1" x="1555"/>
        <item m="1" x="4859"/>
        <item m="1" x="3696"/>
        <item m="1" x="1720"/>
        <item m="1" x="3794"/>
        <item m="1" x="721"/>
        <item m="1" x="680"/>
        <item m="1" x="2915"/>
        <item m="1" x="3821"/>
        <item m="1" x="1244"/>
        <item m="1" x="1930"/>
        <item m="1" x="1759"/>
        <item m="1" x="4141"/>
        <item m="1" x="1086"/>
        <item m="1" x="2874"/>
        <item m="1" x="7059"/>
        <item m="1" x="6140"/>
        <item m="1" x="4114"/>
        <item m="1" x="616"/>
        <item m="1" x="5915"/>
        <item m="1" x="2039"/>
        <item m="1" x="6613"/>
        <item m="1" x="2266"/>
        <item m="1" x="1576"/>
        <item m="1" x="1206"/>
        <item m="1" x="2183"/>
        <item m="1" x="6359"/>
        <item m="1" x="4042"/>
        <item m="1" x="4247"/>
        <item m="1" x="734"/>
        <item m="1" x="2964"/>
        <item m="1" x="6857"/>
        <item m="1" x="4157"/>
        <item m="1" x="1562"/>
        <item m="1" x="2343"/>
        <item m="1" x="1738"/>
        <item m="1" x="3359"/>
        <item m="1" x="6477"/>
        <item m="1" x="7493"/>
        <item m="1" x="241"/>
        <item m="1" x="4064"/>
        <item m="1" x="634"/>
        <item m="1" x="2251"/>
        <item m="1" x="2618"/>
        <item m="1" x="6810"/>
        <item m="1" x="6426"/>
        <item m="1" x="1516"/>
        <item m="1" x="7381"/>
        <item m="1" x="5969"/>
        <item m="1" x="1742"/>
        <item m="1" x="2372"/>
        <item m="1" x="1578"/>
        <item m="1" x="6560"/>
        <item m="1" x="1521"/>
        <item m="1" x="4237"/>
        <item m="1" x="2717"/>
        <item m="1" x="2630"/>
        <item m="1" x="6241"/>
        <item m="1" x="3438"/>
        <item m="1" x="3203"/>
        <item m="1" x="3092"/>
        <item m="1" x="7161"/>
        <item m="1" x="5663"/>
        <item m="1" x="1438"/>
        <item m="1" x="4034"/>
        <item m="1" x="7938"/>
        <item m="1" x="582"/>
        <item m="1" x="2078"/>
        <item m="1" x="7738"/>
        <item m="1" x="3471"/>
        <item m="1" x="7605"/>
        <item m="1" x="3327"/>
        <item m="1" x="7460"/>
        <item m="1" x="3172"/>
        <item m="1" x="7333"/>
        <item m="1" x="3027"/>
        <item m="1" x="7198"/>
        <item m="1" x="3727"/>
        <item m="1" x="7854"/>
        <item m="1" x="3599"/>
        <item m="1" x="1042"/>
        <item m="1" x="3455"/>
        <item m="1" x="2061"/>
        <item m="1" x="128"/>
        <item m="1" x="2054"/>
        <item m="1" x="2017"/>
        <item m="1" x="2235"/>
        <item m="1" x="6410"/>
        <item m="1" x="6910"/>
        <item m="1" x="3453"/>
        <item m="1" x="7590"/>
        <item m="1" x="1893"/>
        <item m="1" x="6258"/>
        <item m="1" x="3159"/>
        <item m="1" x="7321"/>
        <item m="1" x="3018"/>
        <item m="1" x="7192"/>
        <item m="1" x="2868"/>
        <item m="1" x="233"/>
        <item m="1" x="7051"/>
        <item m="1" x="7592"/>
        <item m="1" x="3586"/>
        <item m="1" x="3037"/>
        <item m="1" x="1404"/>
        <item m="1" x="4149"/>
        <item m="1" x="1756"/>
        <item m="1" x="4007"/>
        <item m="1" x="3634"/>
        <item m="1" x="243"/>
        <item m="1" x="1854"/>
        <item m="1" x="2457"/>
        <item m="1" x="5608"/>
        <item m="1" x="4353"/>
        <item m="1" x="2375"/>
        <item m="1" x="735"/>
        <item m="1" x="4877"/>
        <item m="1" x="7264"/>
        <item m="1" x="712"/>
        <item m="1" x="1343"/>
        <item m="1" x="7110"/>
        <item m="1" x="2785"/>
        <item m="1" x="2937"/>
        <item m="1" x="1777"/>
        <item m="1" x="1979"/>
        <item m="1" x="6846"/>
        <item m="1" x="3129"/>
        <item m="1" x="7448"/>
        <item m="1" x="240"/>
        <item m="1" x="5891"/>
        <item m="1" x="3786"/>
        <item m="1" x="1489"/>
        <item m="1" x="3910"/>
        <item m="1" x="2875"/>
        <item m="1" x="7197"/>
        <item m="1" x="2522"/>
        <item m="1" x="7710"/>
        <item m="1" x="3440"/>
        <item m="1" x="7579"/>
        <item m="1" x="3302"/>
        <item m="1" x="3313"/>
        <item m="1" x="6647"/>
        <item m="1" x="7964"/>
        <item m="1" x="3838"/>
        <item m="1" x="7323"/>
        <item m="1" x="3161"/>
        <item m="1" x="5790"/>
        <item m="1" x="7405"/>
        <item m="1" x="2651"/>
        <item m="1" x="5771"/>
        <item m="1" x="1084"/>
        <item m="1" x="6960"/>
        <item m="1" x="2095"/>
        <item m="1" x="421"/>
        <item m="1" x="7210"/>
        <item m="1" x="496"/>
        <item m="1" x="4723"/>
        <item m="1" x="362"/>
        <item m="1" x="4591"/>
        <item m="1" x="5343"/>
        <item m="1" x="941"/>
        <item m="1" x="5185"/>
        <item m="1" x="787"/>
        <item m="1" x="5031"/>
        <item m="1" x="624"/>
        <item m="1" x="4873"/>
        <item m="1" x="488"/>
        <item m="1" x="4719"/>
        <item m="1" x="1238"/>
        <item m="1" x="5479"/>
        <item m="1" x="5176"/>
        <item m="1" x="781"/>
        <item m="1" x="5024"/>
        <item m="1" x="4869"/>
        <item m="1" x="5630"/>
        <item m="1" x="1229"/>
        <item m="1" x="5475"/>
        <item m="1" x="3714"/>
        <item m="1" x="7841"/>
        <item m="1" x="3587"/>
        <item m="1" x="5327"/>
        <item m="1" x="5017"/>
        <item m="1" x="316"/>
        <item m="1" x="7163"/>
        <item m="1" x="7367"/>
        <item m="1" x="3223"/>
        <item m="1" x="7509"/>
        <item m="1" x="2494"/>
        <item m="1" x="4676"/>
        <item m="1" x="7447"/>
        <item m="1" x="2899"/>
        <item m="1" x="204"/>
        <item m="1" x="3391"/>
        <item m="1" x="1000"/>
        <item m="1" x="3214"/>
        <item m="1" x="6703"/>
        <item m="1" x="6987"/>
        <item m="1" x="300"/>
        <item m="1" x="6753"/>
        <item m="1" x="2298"/>
        <item m="1" x="2111"/>
        <item m="1" x="353"/>
        <item m="1" x="4041"/>
        <item m="1" x="3933"/>
        <item m="1" x="4312"/>
        <item m="1" x="3429"/>
        <item m="1" x="7244"/>
        <item m="1" x="6823"/>
        <item m="1" x="3374"/>
        <item m="1" x="3072"/>
        <item m="1" x="7574"/>
        <item m="1" x="1213"/>
        <item m="1" x="437"/>
        <item m="1" x="5148"/>
        <item m="1" x="7704"/>
        <item m="1" x="3578"/>
        <item m="1" x="7832"/>
        <item m="1" x="6101"/>
        <item m="1" x="90"/>
        <item m="1" x="4426"/>
        <item m="1" x="3820"/>
        <item m="1" x="7940"/>
        <item m="1" x="7936"/>
        <item m="1" x="146"/>
        <item m="1" x="4498"/>
        <item m="1" x="4194"/>
        <item m="1" x="2636"/>
        <item m="1" x="4668"/>
        <item m="1" x="4817"/>
        <item m="1" x="2900"/>
        <item m="1" x="305"/>
        <item m="1" x="7559"/>
        <item m="1" x="7711"/>
        <item m="1" x="3442"/>
        <item m="1" x="7581"/>
        <item m="1" x="3304"/>
        <item m="1" x="7440"/>
        <item m="1" x="3942"/>
        <item m="1" x="6925"/>
        <item m="1" x="7696"/>
        <item m="1" x="3240"/>
        <item m="1" x="4931"/>
        <item m="1" x="2769"/>
        <item m="1" x="1816"/>
        <item m="1" x="1817"/>
        <item m="1" x="2670"/>
        <item m="1" x="2671"/>
        <item m="1" x="2415"/>
        <item m="1" x="5097"/>
        <item m="1" x="677"/>
        <item m="1" x="2916"/>
        <item m="1" x="7092"/>
        <item m="1" x="2199"/>
        <item m="1" x="4588"/>
        <item m="1" x="3885"/>
        <item m="1" x="6945"/>
        <item m="1" x="4155"/>
        <item m="1" x="6798"/>
        <item m="1" x="535"/>
        <item m="1" x="426"/>
        <item m="1" x="4505"/>
        <item m="1" x="134"/>
        <item m="1" x="927"/>
        <item m="1" x="3991"/>
        <item m="1" x="6468"/>
        <item m="1" x="239"/>
        <item m="1" x="225"/>
        <item m="1" x="4799"/>
        <item m="1" x="4368"/>
        <item m="1" x="4260"/>
        <item m="1" x="184"/>
        <item m="1" x="4530"/>
        <item m="1" x="291"/>
        <item m="1" x="4656"/>
        <item m="1" x="873"/>
        <item m="1" x="4401"/>
        <item m="1" x="5121"/>
        <item m="1" x="5928"/>
        <item m="1" x="380"/>
        <item m="1" x="4752"/>
        <item m="1" x="522"/>
        <item m="1" x="4914"/>
        <item m="1" x="662"/>
        <item m="1" x="5079"/>
        <item m="1" x="834"/>
        <item m="1" x="5240"/>
        <item m="1" x="994"/>
        <item m="1" x="3570"/>
        <item m="1" x="5907"/>
        <item m="1" x="2035"/>
        <item m="1" x="697"/>
        <item m="1" x="3784"/>
        <item m="1" x="7928"/>
        <item m="1" x="565"/>
        <item m="1" x="4303"/>
        <item m="1" x="82"/>
        <item m="1" x="4413"/>
        <item m="1" x="4542"/>
        <item m="1" x="195"/>
        <item m="1" x="268"/>
        <item m="1" x="4622"/>
        <item m="1" x="4768"/>
        <item m="1" x="2016"/>
        <item m="1" x="4948"/>
        <item m="1" x="4610"/>
        <item m="1" x="4467"/>
        <item m="1" x="2826"/>
        <item m="1" x="394"/>
        <item m="1" x="6858"/>
        <item m="1" x="6933"/>
        <item m="1" x="2685"/>
        <item m="1" x="7326"/>
        <item m="1" x="5503"/>
        <item m="1" x="3485"/>
        <item m="1" x="1878"/>
        <item m="1" x="4516"/>
        <item m="1" x="279"/>
        <item m="1" x="6049"/>
        <item m="1" x="2963"/>
        <item m="1" x="5026"/>
        <item m="1" x="1016"/>
        <item m="1" x="5381"/>
        <item m="1" x="979"/>
        <item m="1" x="3430"/>
        <item m="1" x="7818"/>
        <item m="1" x="1064"/>
        <item m="1" x="819"/>
        <item m="1" x="5519"/>
        <item m="1" x="6493"/>
        <item m="1" x="6203"/>
        <item m="1" x="1019"/>
        <item m="1" x="5836"/>
        <item m="1" x="207"/>
        <item m="1" x="4207"/>
        <item m="1" x="536"/>
        <item m="1" x="4769"/>
        <item m="1" x="1153"/>
        <item m="1" x="4080"/>
        <item m="1" x="7934"/>
        <item m="1" x="4641"/>
        <item m="1" x="678"/>
        <item m="1" x="4932"/>
        <item m="1" x="5098"/>
        <item m="1" x="852"/>
        <item m="1" x="5261"/>
        <item m="1" x="4105"/>
        <item m="1" x="2032"/>
        <item m="1" x="2852"/>
        <item m="1" x="1277"/>
        <item m="1" x="4897"/>
        <item m="1" x="4794"/>
        <item m="1" x="644"/>
        <item m="1" x="7078"/>
        <item m="1" x="5219"/>
        <item m="1" x="251"/>
        <item m="1" x="4604"/>
        <item m="1" x="4586"/>
        <item m="1" x="4666"/>
        <item m="1" x="515"/>
        <item m="1" x="4745"/>
        <item m="1" x="375"/>
        <item m="1" x="4488"/>
        <item m="1" x="3980"/>
        <item m="1" x="7867"/>
        <item m="1" x="3360"/>
        <item m="1" x="7009"/>
        <item m="1" x="1549"/>
        <item m="1" x="4431"/>
        <item m="1" x="100"/>
        <item m="1" x="4318"/>
        <item m="1" x="4201"/>
        <item m="1" x="4096"/>
        <item m="1" x="3975"/>
        <item m="1" x="315"/>
        <item m="1" x="4552"/>
        <item m="1" x="203"/>
        <item m="1" x="4425"/>
        <item m="1" x="89"/>
        <item m="1" x="4311"/>
        <item m="1" x="4193"/>
        <item m="1" x="4086"/>
        <item m="1" x="7438"/>
        <item m="1" x="7187"/>
        <item m="1" x="2673"/>
        <item m="1" x="6588"/>
        <item m="1" x="2268"/>
        <item m="1" x="6443"/>
        <item m="1" x="4881"/>
        <item m="1" x="633"/>
        <item m="1" x="5048"/>
        <item m="1" x="803"/>
        <item m="1" x="5202"/>
        <item m="1" x="1911"/>
        <item m="1" x="4125"/>
        <item m="1" x="2953"/>
        <item m="1" x="3880"/>
        <item m="1" x="3760"/>
        <item m="1" x="99"/>
        <item m="1" x="4200"/>
        <item m="1" x="4095"/>
        <item m="1" x="4317"/>
        <item m="1" x="3974"/>
        <item m="1" x="3867"/>
        <item m="1" x="88"/>
        <item m="1" x="4192"/>
        <item m="1" x="1837"/>
        <item m="1" x="6238"/>
        <item m="1" x="509"/>
        <item m="1" x="7125"/>
        <item m="1" x="4738"/>
        <item m="1" x="5063"/>
        <item m="1" x="3491"/>
        <item m="1" x="2113"/>
        <item m="1" x="4013"/>
        <item m="1" x="1102"/>
        <item m="1" x="7036"/>
        <item m="1" x="3184"/>
        <item m="1" x="1668"/>
        <item m="1" x="2754"/>
        <item m="1" x="35"/>
        <item m="1" x="7792"/>
        <item m="1" x="7211"/>
        <item m="1" x="7341"/>
        <item m="1" x="4254"/>
        <item m="1" x="4091"/>
        <item m="1" x="3752"/>
        <item m="1" x="2814"/>
        <item m="1" x="2653"/>
        <item m="1" x="7836"/>
        <item m="1" x="3894"/>
        <item m="1" x="1429"/>
        <item m="1" x="5655"/>
        <item m="1" x="1259"/>
        <item m="1" x="5499"/>
        <item m="1" x="304"/>
        <item m="1" x="4465"/>
        <item m="1" x="5347"/>
        <item m="1" x="3536"/>
        <item m="1" x="1023"/>
        <item m="1" x="5267"/>
        <item m="1" x="860"/>
        <item m="1" x="4540"/>
        <item m="1" x="449"/>
        <item m="1" x="3204"/>
        <item m="1" x="7494"/>
        <item m="1" x="7079"/>
        <item m="1" x="5423"/>
        <item m="1" x="3053"/>
        <item m="1" x="7314"/>
        <item m="1" x="5104"/>
        <item m="1" x="7811"/>
        <item m="1" x="4904"/>
        <item m="1" x="5035"/>
        <item m="1" x="4411"/>
        <item m="1" x="7356"/>
        <item m="1" x="193"/>
        <item m="1" x="2386"/>
        <item m="1" x="6573"/>
        <item m="1" x="6291"/>
        <item m="1" x="2097"/>
        <item m="1" x="4939"/>
        <item m="1" x="541"/>
        <item m="1" x="4773"/>
        <item m="1" x="1331"/>
        <item m="1" x="5571"/>
        <item m="1" x="1156"/>
        <item m="1" x="5405"/>
        <item m="1" x="4085"/>
        <item m="1" x="7226"/>
        <item m="1" x="303"/>
        <item m="1" x="3964"/>
        <item m="1" x="687"/>
        <item m="1" x="2853"/>
        <item m="1" x="1003"/>
        <item m="1" x="5247"/>
        <item m="1" x="7758"/>
        <item m="1" x="3626"/>
        <item m="1" x="7620"/>
        <item m="1" x="3492"/>
        <item m="1" x="5303"/>
        <item m="1" x="4181"/>
        <item m="1" x="4072"/>
        <item m="1" x="1384"/>
        <item m="1" x="2952"/>
        <item m="1" x="2036"/>
        <item m="1" x="3534"/>
        <item m="1" x="4727"/>
        <item m="1" x="4100"/>
        <item m="1" x="503"/>
        <item m="1" x="4529"/>
        <item m="1" x="7551"/>
        <item m="1" x="1150"/>
        <item m="1" x="4152"/>
        <item m="1" x="5386"/>
        <item m="1" x="1139"/>
        <item m="1" x="5549"/>
        <item m="1" x="1310"/>
        <item m="1" x="5702"/>
        <item m="1" x="4921"/>
        <item m="1" x="840"/>
        <item m="1" x="5087"/>
        <item m="1" x="667"/>
        <item m="1" x="290"/>
        <item m="1" x="7555"/>
        <item m="1" x="6478"/>
        <item m="1" x="3999"/>
        <item m="1" x="1020"/>
        <item m="1" x="6706"/>
        <item m="1" x="2388"/>
        <item m="1" x="6574"/>
        <item m="1" x="1610"/>
        <item m="1" x="5071"/>
        <item m="1" x="825"/>
        <item m="1" x="4399"/>
        <item m="1" x="2252"/>
        <item m="1" x="6082"/>
        <item m="1" x="52"/>
        <item m="1" x="5962"/>
        <item m="1" x="69"/>
        <item m="1" x="6089"/>
        <item m="1" x="182"/>
        <item m="1" x="5229"/>
        <item m="1" x="424"/>
        <item m="1" x="20"/>
        <item m="1" x="4732"/>
        <item m="1" x="2212"/>
        <item m="1" x="5372"/>
        <item m="1" x="1124"/>
        <item m="1" x="1757"/>
        <item m="1" x="3561"/>
        <item m="1" x="7047"/>
        <item m="1" x="914"/>
        <item m="1" x="5437"/>
        <item m="1" x="3996"/>
        <item m="1" x="4595"/>
        <item m="1" x="4361"/>
        <item m="1" x="969"/>
        <item m="1" x="5209"/>
        <item m="1" x="2684"/>
        <item m="1" x="2724"/>
        <item m="1" x="4227"/>
        <item m="1" x="3744"/>
        <item m="1" x="7212"/>
        <item m="1" x="7342"/>
        <item m="1" x="3185"/>
        <item m="1" x="7872"/>
        <item m="1" x="4288"/>
        <item m="1" x="5981"/>
        <item m="1" x="984"/>
        <item m="1" x="4123"/>
        <item m="1" x="1593"/>
        <item m="1" x="5325"/>
        <item m="1" x="2359"/>
        <item m="1" x="3164"/>
        <item m="1" x="1264"/>
        <item m="1" x="1436"/>
        <item m="1" x="5823"/>
        <item m="1" x="1912"/>
        <item m="1" x="550"/>
        <item m="1" x="6675"/>
        <item m="1" x="5822"/>
        <item m="1" x="1435"/>
        <item m="1" x="5660"/>
        <item m="1" x="1263"/>
        <item m="1" x="5505"/>
        <item m="1" x="1108"/>
        <item m="1" x="5355"/>
        <item m="1" x="950"/>
        <item m="1" x="5193"/>
        <item m="1" x="1739"/>
        <item m="1" x="5966"/>
        <item m="1" x="1575"/>
        <item m="1" x="5807"/>
        <item m="1" x="1420"/>
        <item m="1" x="5648"/>
        <item m="1" x="5101"/>
        <item m="1" x="5490"/>
        <item m="1" x="4479"/>
        <item m="1" x="145"/>
        <item m="1" x="1248"/>
        <item m="1" x="6230"/>
        <item m="1" x="247"/>
        <item m="1" x="3039"/>
        <item m="1" x="5168"/>
        <item m="1" x="5339"/>
        <item m="1" x="1095"/>
        <item m="1" x="2323"/>
        <item m="1" x="118"/>
        <item m="1" x="895"/>
        <item m="1" x="1867"/>
        <item m="1" x="4337"/>
        <item m="1" x="3467"/>
        <item m="1" x="2004"/>
        <item m="1" x="2079"/>
        <item m="1" x="3682"/>
        <item m="1" x="3844"/>
        <item m="1" x="1623"/>
        <item m="1" x="7739"/>
        <item m="1" x="7606"/>
        <item m="1" x="3472"/>
        <item m="1" x="3328"/>
        <item m="1" x="6545"/>
        <item m="1" x="2198"/>
        <item m="1" x="5757"/>
        <item m="1" x="3087"/>
        <item m="1" x="6044"/>
        <item m="1" x="4224"/>
        <item m="1" x="1890"/>
        <item m="1" x="7567"/>
        <item m="1" x="7584"/>
        <item m="1" x="4651"/>
        <item m="1" x="1732"/>
        <item m="1" x="6382"/>
        <item m="1" x="7682"/>
        <item m="1" x="6103"/>
        <item m="1" x="1723"/>
        <item m="1" x="5946"/>
        <item m="1" x="1556"/>
        <item m="1" x="1914"/>
        <item m="1" x="6276"/>
        <item m="1" x="6126"/>
        <item m="1" x="1886"/>
        <item m="1" x="3038"/>
        <item m="1" x="2614"/>
        <item m="1" x="630"/>
        <item m="1" x="2451"/>
        <item m="1" x="4908"/>
        <item m="1" x="7720"/>
        <item m="1" x="6806"/>
        <item m="1" x="3545"/>
        <item m="1" x="114"/>
        <item m="1" x="2479"/>
        <item m="1" x="6228"/>
        <item m="1" x="2599"/>
        <item m="1" x="5883"/>
        <item m="1" x="1685"/>
        <item m="1" x="6387"/>
        <item m="1" x="1546"/>
        <item m="1" x="1391"/>
        <item m="1" x="6791"/>
        <item m="1" x="7817"/>
        <item m="1" x="5478"/>
        <item m="1" x="6649"/>
        <item m="1" x="7461"/>
        <item m="1" x="5050"/>
        <item m="1" x="2337"/>
        <item m="1" x="3782"/>
        <item m="1" x="1224"/>
        <item m="1" x="5635"/>
        <item m="1" x="1401"/>
        <item m="1" x="5793"/>
        <item m="1" x="172"/>
        <item m="1" x="846"/>
        <item m="1" x="6930"/>
        <item m="1" x="6512"/>
        <item m="1" x="1234"/>
        <item m="1" x="6624"/>
        <item m="1" x="2606"/>
        <item m="1" x="3854"/>
        <item m="1" x="2471"/>
        <item m="1" x="2205"/>
        <item m="1" x="6533"/>
        <item m="1" x="2029"/>
        <item m="1" x="2346"/>
        <item m="1" x="1709"/>
        <item m="1" x="5934"/>
        <item m="1" x="6656"/>
        <item m="1" x="2751"/>
        <item m="1" x="5628"/>
        <item m="1" x="5772"/>
        <item m="1" x="4844"/>
        <item m="1" x="5781"/>
        <item m="1" x="7109"/>
        <item m="1" x="6036"/>
        <item m="1" x="1841"/>
        <item m="1" x="2040"/>
        <item m="1" x="4001"/>
        <item m="1" x="4108"/>
        <item m="1" x="6398"/>
        <item m="1" x="6091"/>
        <item m="1" x="796"/>
        <item m="1" x="5042"/>
        <item m="1" x="4876"/>
        <item m="1" x="4450"/>
        <item m="1" x="6660"/>
        <item m="1" x="5312"/>
        <item m="1" x="4707"/>
        <item m="1" x="2460"/>
        <item m="1" x="2043"/>
        <item m="1" x="6243"/>
        <item m="1" x="1880"/>
        <item m="1" x="2222"/>
        <item m="1" x="1173"/>
        <item m="1" x="2729"/>
        <item m="1" x="116"/>
        <item m="1" x="1254"/>
        <item m="1" x="1863"/>
        <item m="1" x="6225"/>
        <item m="1" x="2026"/>
        <item m="1" x="6385"/>
        <item m="1" x="2203"/>
        <item m="1" x="1541"/>
        <item m="1" x="6373"/>
        <item m="1" x="6520"/>
        <item m="1" x="2190"/>
        <item m="1" x="6743"/>
        <item m="1" x="5545"/>
        <item m="1" x="4528"/>
        <item m="1" x="744"/>
        <item m="1" x="4806"/>
        <item m="1" x="1564"/>
        <item m="1" x="181"/>
        <item m="1" x="6639"/>
        <item m="1" x="2462"/>
        <item m="1" x="6781"/>
        <item m="1" x="2592"/>
        <item m="1" x="3024"/>
        <item m="1" x="4670"/>
        <item m="1" x="74"/>
        <item m="1" x="4294"/>
        <item m="1" x="2885"/>
        <item m="1" x="430"/>
        <item m="1" x="4659"/>
        <item m="1" x="401"/>
        <item m="1" x="4405"/>
        <item m="1" x="187"/>
        <item m="1" x="4534"/>
        <item m="1" x="296"/>
        <item m="1" x="2575"/>
        <item m="1" x="3610"/>
        <item m="1" x="3988"/>
        <item m="1" x="4665"/>
        <item m="1" x="6494"/>
        <item m="1" x="2196"/>
        <item m="1" x="7238"/>
        <item m="1" x="2058"/>
        <item m="1" x="2512"/>
        <item m="1" x="6690"/>
        <item m="1" x="2373"/>
        <item m="1" x="6561"/>
        <item m="1" x="2236"/>
        <item m="1" x="2063"/>
        <item m="1" x="6260"/>
        <item m="1" x="2782"/>
        <item m="1" x="6957"/>
        <item m="1" x="2633"/>
        <item m="1" x="2361"/>
        <item m="1" x="6547"/>
        <item m="1" x="2224"/>
        <item m="1" x="6399"/>
        <item m="1" x="2913"/>
        <item m="1" x="7090"/>
        <item m="1" x="2767"/>
        <item m="1" x="6943"/>
        <item m="1" x="3102"/>
        <item m="1" x="1513"/>
        <item m="1" x="474"/>
        <item m="1" x="6380"/>
        <item m="1" x="4888"/>
        <item m="1" x="7823"/>
        <item m="1" x="6486"/>
        <item m="1" x="7057"/>
        <item m="1" x="2872"/>
        <item m="1" x="7195"/>
        <item m="1" x="2735"/>
        <item m="1" x="2148"/>
        <item m="1" x="6908"/>
        <item m="1" x="7619"/>
        <item m="1" x="555"/>
        <item m="1" x="4448"/>
        <item m="1" x="2965"/>
        <item m="1" x="6255"/>
        <item m="1" x="3825"/>
        <item m="1" x="3004"/>
        <item m="1" x="2698"/>
        <item m="1" x="281"/>
        <item m="1" x="3888"/>
        <item m="1" x="4571"/>
        <item m="1" x="4517"/>
        <item m="1" x="175"/>
        <item m="1" x="6633"/>
        <item m="1" x="4482"/>
        <item m="1" x="4385"/>
        <item m="1" x="5054"/>
        <item m="1" x="4332"/>
        <item m="1" x="2616"/>
        <item m="1" x="6524"/>
        <item m="1" x="81"/>
        <item m="1" x="4302"/>
        <item m="1" x="4182"/>
        <item m="1" x="564"/>
        <item m="1" x="4798"/>
        <item m="1" x="425"/>
        <item m="1" x="4389"/>
        <item m="1" x="183"/>
        <item m="1" x="4400"/>
        <item m="1" x="70"/>
        <item m="1" x="4289"/>
        <item m="1" x="696"/>
        <item m="1" x="4947"/>
        <item m="1" x="551"/>
        <item m="1" x="4783"/>
        <item m="1" x="410"/>
        <item m="1" x="4640"/>
        <item m="1" x="1680"/>
        <item m="1" x="1994"/>
        <item m="1" x="3769"/>
        <item m="1" x="392"/>
        <item m="1" x="685"/>
        <item m="1" x="6844"/>
        <item m="1" x="5102"/>
        <item m="1" x="278"/>
        <item m="1" x="3463"/>
        <item m="1" x="7721"/>
        <item m="1" x="3449"/>
        <item m="1" x="539"/>
        <item m="1" x="68"/>
        <item m="1" x="4398"/>
        <item m="1" x="4771"/>
        <item m="1" x="6305"/>
        <item m="1" x="2459"/>
        <item m="1" x="6789"/>
        <item m="1" x="7578"/>
        <item m="1" x="3301"/>
        <item m="1" x="6787"/>
        <item m="1" x="7699"/>
        <item m="1" x="2073"/>
        <item m="1" x="5603"/>
        <item m="1" x="1754"/>
        <item m="1" x="7804"/>
        <item m="1" x="4002"/>
        <item m="1" x="4356"/>
        <item m="1" x="2467"/>
        <item m="1" x="5679"/>
        <item m="1" x="1450"/>
        <item m="1" x="5839"/>
        <item m="1" x="5995"/>
        <item m="1" x="1280"/>
        <item m="1" x="1607"/>
        <item m="1" x="2114"/>
        <item m="1" x="5522"/>
        <item m="1" x="1927"/>
        <item m="1" x="1120"/>
        <item m="1" x="5368"/>
        <item m="1" x="6253"/>
        <item m="1" x="6135"/>
        <item m="1" x="5227"/>
        <item m="1" x="983"/>
        <item m="1" x="5385"/>
        <item m="1" x="1138"/>
        <item m="1" x="4613"/>
        <item m="1" x="384"/>
        <item m="1" x="4754"/>
        <item m="1" x="526"/>
        <item m="1" x="4919"/>
        <item m="1" x="5245"/>
        <item m="1" x="1001"/>
        <item m="1" x="4508"/>
        <item m="1" x="270"/>
        <item m="1" x="4627"/>
        <item m="1" x="397"/>
        <item m="1" x="4937"/>
        <item m="1" x="823"/>
        <item m="1" x="5069"/>
        <item m="1" x="6808"/>
        <item m="1" x="2481"/>
        <item m="1" x="3051"/>
        <item m="1" x="1502"/>
        <item m="1" x="3337"/>
        <item m="1" x="3275"/>
        <item m="1" x="3790"/>
        <item m="1" x="3997"/>
        <item m="1" x="652"/>
        <item m="1" x="2649"/>
        <item m="1" x="4515"/>
        <item m="1" x="7633"/>
        <item m="1" x="464"/>
        <item m="1" x="7503"/>
        <item m="1" x="5980"/>
        <item m="1" x="5467"/>
        <item m="1" x="3434"/>
        <item m="1" x="3641"/>
        <item m="1" x="111"/>
        <item m="1" x="7900"/>
        <item m="1" x="1283"/>
        <item m="1" x="6055"/>
        <item m="1" x="4328"/>
        <item m="1" x="3937"/>
        <item m="1" x="2975"/>
        <item m="1" x="4437"/>
        <item m="1" x="5314"/>
        <item m="1" x="1410"/>
        <item m="1" x="4436"/>
        <item m="1" x="6516"/>
        <item m="1" x="5961"/>
        <item m="1" x="7521"/>
        <item m="1" x="887"/>
        <item m="1" x="7437"/>
        <item m="1" x="63"/>
        <item m="1" x="4476"/>
        <item m="1" x="5502"/>
        <item m="1" x="1908"/>
        <item m="1" x="6271"/>
        <item m="1" x="6117"/>
        <item m="1" x="1736"/>
        <item m="1" x="1570"/>
        <item m="1" x="5805"/>
        <item m="1" x="5438"/>
        <item m="1" x="3544"/>
        <item m="1" x="4950"/>
        <item m="1" x="553"/>
        <item m="1" x="2052"/>
        <item m="1" x="699"/>
        <item m="1" x="3419"/>
        <item m="1" x="875"/>
        <item m="1" x="1035"/>
        <item m="1" x="5280"/>
        <item m="1" x="1809"/>
        <item m="1" x="2231"/>
        <item m="1" x="6406"/>
        <item m="1" x="5123"/>
        <item m="1" x="930"/>
        <item m="1" x="5136"/>
        <item m="1" x="720"/>
        <item m="1" x="4963"/>
        <item m="1" x="567"/>
        <item m="1" x="4801"/>
        <item m="1" x="428"/>
        <item m="1" x="4658"/>
        <item m="1" x="1187"/>
        <item m="1" x="2572"/>
        <item m="1" x="2587"/>
        <item m="1" x="2163"/>
        <item m="1" x="2985"/>
        <item m="1" x="4785"/>
        <item m="1" x="6476"/>
        <item m="1" x="7257"/>
        <item m="1" x="3011"/>
        <item m="1" x="1018"/>
        <item m="1" x="5311"/>
        <item m="1" x="5745"/>
        <item m="1" x="338"/>
        <item m="1" x="7147"/>
        <item m="1" x="5263"/>
        <item m="1" x="854"/>
        <item m="1" x="1553"/>
        <item m="1" x="5941"/>
        <item m="1" x="1366"/>
        <item m="1" x="3447"/>
        <item m="1" x="6558"/>
        <item m="1" x="6541"/>
        <item m="1" x="3133"/>
        <item m="1" x="1652"/>
        <item m="1" x="2603"/>
        <item m="1" x="1717"/>
        <item m="1" x="5099"/>
        <item m="1" x="679"/>
        <item m="1" x="5434"/>
        <item m="1" x="5184"/>
        <item m="1" x="4934"/>
        <item m="1" x="1486"/>
        <item m="1" x="5718"/>
        <item m="1" x="1327"/>
        <item m="1" x="5567"/>
        <item m="1" x="5243"/>
        <item m="1" x="837"/>
        <item m="1" x="5082"/>
        <item m="1" x="1622"/>
        <item m="1" x="5855"/>
        <item m="1" x="1467"/>
        <item m="1" x="5699"/>
        <item m="1" x="1305"/>
        <item m="1" x="2216"/>
        <item m="1" x="7773"/>
        <item m="1" x="5788"/>
        <item m="1" x="2355"/>
        <item m="1" x="1843"/>
        <item m="1" x="4575"/>
        <item m="1" x="6452"/>
        <item m="1" x="3379"/>
        <item m="1" x="2000"/>
        <item m="1" x="7206"/>
        <item m="1" x="5884"/>
        <item m="1" x="2034"/>
        <item m="1" x="4287"/>
        <item m="1" x="4173"/>
        <item m="1" x="5137"/>
        <item m="1" x="5889"/>
        <item m="1" x="1078"/>
        <item m="1" x="1113"/>
        <item m="1" x="6235"/>
        <item m="1" x="4065"/>
        <item m="1" x="4443"/>
        <item m="1" x="5544"/>
        <item m="1" x="1137"/>
        <item m="1" x="5384"/>
        <item m="1" x="1775"/>
        <item m="1" x="4424"/>
        <item m="1" x="86"/>
        <item m="1" x="4308"/>
        <item m="1" x="4190"/>
        <item m="1" x="4082"/>
        <item m="1" x="3960"/>
        <item m="1" x="1872"/>
        <item m="1" x="301"/>
        <item m="1" x="1365"/>
        <item m="1" x="3247"/>
        <item m="1" x="4538"/>
        <item m="1" x="3510"/>
        <item m="1" x="4104"/>
        <item m="1" x="469"/>
        <item m="1" x="3572"/>
        <item m="1" x="7695"/>
        <item m="1" x="517"/>
        <item m="1" x="6469"/>
        <item m="1" x="2560"/>
        <item m="1" x="7698"/>
        <item m="1" x="471"/>
        <item m="1" x="2749"/>
        <item m="1" x="3270"/>
        <item m="1" x="1360"/>
        <item m="1" x="6214"/>
        <item m="1" x="1014"/>
        <item m="1" x="4409"/>
        <item m="1" x="4694"/>
        <item m="1" x="7798"/>
        <item m="1" x="3138"/>
        <item m="1" x="491"/>
        <item m="1" x="4005"/>
        <item m="1" x="5030"/>
        <item m="1" x="6370"/>
        <item m="1" x="5602"/>
        <item m="1" x="786"/>
        <item m="1" x="333"/>
        <item m="1" x="3254"/>
        <item m="1" x="4788"/>
        <item m="1" x="556"/>
        <item m="1" x="4954"/>
        <item m="1" x="704"/>
        <item m="1" x="1772"/>
        <item m="1" x="569"/>
        <item m="1" x="5126"/>
        <item m="1" x="2598"/>
        <item m="1" x="4721"/>
        <item m="1" x="3905"/>
        <item m="1" x="5743"/>
        <item m="1" x="4570"/>
        <item m="1" x="4644"/>
        <item m="1" x="4057"/>
        <item m="1" x="414"/>
        <item m="1" x="4109"/>
        <item m="1" x="5462"/>
        <item m="1" x="282"/>
        <item m="1" x="7702"/>
        <item m="1" x="3428"/>
        <item m="1" x="715"/>
        <item m="1" x="4323"/>
        <item m="1" x="219"/>
        <item m="1" x="7825"/>
        <item m="1" x="51"/>
        <item m="1" x="3571"/>
        <item m="1" x="4068"/>
        <item m="1" x="7649"/>
        <item m="1" x="6625"/>
        <item m="1" x="7544"/>
        <item m="1" x="6646"/>
        <item m="1" x="5605"/>
        <item m="1" x="4525"/>
        <item m="1" x="7287"/>
        <item m="1" x="7689"/>
        <item m="1" x="7063"/>
        <item m="1" x="336"/>
        <item m="1" x="1385"/>
        <item m="1" x="4973"/>
        <item m="1" x="4747"/>
        <item m="1" x="287"/>
        <item m="1" x="6239"/>
        <item m="1" x="4117"/>
        <item m="1" x="2601"/>
        <item m="1" x="5165"/>
        <item m="1" x="4518"/>
        <item m="1" x="1022"/>
        <item m="1" x="619"/>
        <item m="1" x="2973"/>
        <item m="1" x="4299"/>
        <item m="1" x="6198"/>
        <item m="1" x="4861"/>
        <item m="1" x="5622"/>
        <item m="1" x="78"/>
        <item m="1" x="357"/>
        <item m="1" x="482"/>
        <item m="1" x="4689"/>
        <item m="1" x="1529"/>
        <item m="1" x="5765"/>
        <item m="1" x="4638"/>
        <item m="1" x="408"/>
        <item m="1" x="2320"/>
        <item m="1" x="276"/>
        <item m="1" x="2469"/>
        <item m="1" x="7427"/>
        <item m="1" x="5310"/>
        <item m="1" x="6915"/>
        <item m="1" x="5315"/>
        <item m="1" x="5003"/>
        <item m="1" x="4474"/>
        <item m="1" x="6085"/>
        <item m="1" x="4248"/>
        <item m="1" x="28"/>
        <item m="1" x="4357"/>
        <item m="1" x="177"/>
        <item m="1" x="4394"/>
        <item m="1" x="64"/>
        <item m="1" x="4283"/>
        <item m="1" x="4170"/>
        <item m="1" x="7650"/>
        <item m="1" x="4446"/>
        <item m="1" x="2863"/>
        <item m="1" x="4439"/>
        <item m="1" x="546"/>
        <item m="1" x="486"/>
        <item m="1" x="6119"/>
        <item m="1" x="5779"/>
        <item m="1" x="2586"/>
        <item m="1" x="5266"/>
        <item m="1" x="2414"/>
        <item m="1" x="3289"/>
        <item m="1" x="4468"/>
        <item m="1" x="5931"/>
        <item m="1" x="4778"/>
        <item m="1" x="404"/>
        <item m="1" x="4634"/>
        <item m="1" x="166"/>
        <item m="1" x="4381"/>
        <item m="1" x="859"/>
        <item m="1" x="264"/>
        <item m="1" x="686"/>
        <item m="1" x="389"/>
        <item m="1" x="4763"/>
        <item m="1" x="3796"/>
        <item m="1" x="3683"/>
        <item m="1" x="5610"/>
        <item m="1" x="4715"/>
        <item m="1" x="4772"/>
        <item m="1" x="4926"/>
        <item m="1" x="672"/>
        <item m="1" x="4938"/>
        <item m="1" x="530"/>
        <item m="1" x="5103"/>
        <item m="1" x="398"/>
        <item m="1" x="7663"/>
        <item m="1" x="3385"/>
        <item m="1" x="5172"/>
        <item m="1" x="4628"/>
        <item m="1" x="830"/>
        <item m="1" x="3531"/>
        <item m="1" x="540"/>
        <item m="1" x="4501"/>
        <item m="1" x="5450"/>
        <item m="1" x="487"/>
        <item m="1" x="1002"/>
        <item m="1" x="5548"/>
        <item m="1" x="6616"/>
        <item m="1" x="7524"/>
        <item m="1" x="2478"/>
        <item m="1" x="4755"/>
        <item m="1" x="738"/>
        <item m="1" x="3569"/>
        <item m="1" x="50"/>
        <item m="1" x="640"/>
        <item m="1" x="5057"/>
        <item m="1" x="4363"/>
        <item m="1" x="5404"/>
        <item m="1" x="5086"/>
        <item m="1" x="5246"/>
        <item m="1" x="839"/>
        <item m="1" x="4477"/>
        <item m="1" x="4445"/>
        <item m="1" x="5228"/>
        <item m="1" x="4009"/>
        <item m="1" x="2708"/>
        <item m="1" x="4129"/>
        <item m="1" x="358"/>
        <item m="1" x="2219"/>
        <item m="1" x="666"/>
        <item m="1" x="7262"/>
        <item m="1" x="3090"/>
        <item m="1" x="7380"/>
        <item m="1" x="3239"/>
        <item m="1" x="6339"/>
        <item m="1" x="4280"/>
        <item m="1" x="170"/>
        <item m="1" x="129"/>
        <item m="1" x="441"/>
        <item m="1" x="4418"/>
        <item m="1" x="371"/>
        <item m="1" x="5361"/>
        <item m="1" x="959"/>
        <item m="1" x="5198"/>
        <item m="1" x="799"/>
        <item m="1" x="5044"/>
        <item m="1" x="631"/>
        <item m="1" x="4879"/>
        <item m="1" x="498"/>
        <item m="1" x="4725"/>
        <item m="1" x="1255"/>
        <item m="1" x="5495"/>
        <item m="1" x="5187"/>
        <item m="1" x="789"/>
        <item m="1" x="7366"/>
        <item m="1" x="3069"/>
        <item m="1" x="7898"/>
        <item m="1" x="3639"/>
        <item m="1" x="7771"/>
        <item m="1" x="3508"/>
        <item m="1" x="7636"/>
        <item m="1" x="3357"/>
        <item m="1" x="7492"/>
        <item m="1" x="3202"/>
        <item m="1" x="3877"/>
        <item m="1" x="5033"/>
        <item m="1" x="6630"/>
        <item m="1" x="824"/>
        <item m="1" x="4920"/>
        <item m="1" x="527"/>
        <item m="1" x="3879"/>
        <item m="1" x="4902"/>
        <item m="1" x="5070"/>
        <item m="1" x="3845"/>
        <item m="1" x="4166"/>
        <item m="1" x="4874"/>
        <item m="1" x="5337"/>
        <item m="1" x="4714"/>
        <item m="1" x="3741"/>
        <item m="1" x="6755"/>
        <item m="1" x="7869"/>
        <item m="1" x="2832"/>
        <item m="1" x="7887"/>
        <item m="1" x="3123"/>
        <item m="1" x="163"/>
        <item m="1" x="61"/>
        <item m="1" x="4277"/>
        <item m="1" x="359"/>
        <item m="1" x="653"/>
        <item m="1" x="3489"/>
        <item m="1" x="7618"/>
        <item m="1" x="3340"/>
        <item m="1" x="4162"/>
        <item m="1" x="533"/>
        <item m="1" x="4766"/>
        <item m="1" x="3759"/>
        <item m="1" x="5682"/>
        <item m="1" x="4718"/>
        <item m="1" x="2441"/>
        <item m="1" x="3865"/>
        <item m="1" x="7991"/>
        <item m="1" x="7870"/>
        <item m="1" x="3972"/>
        <item m="1" x="4199"/>
        <item m="1" x="4092"/>
        <item m="1" x="3979"/>
        <item m="1" x="3503"/>
        <item m="1" x="3521"/>
        <item m="1" x="7507"/>
        <item m="1" x="7782"/>
        <item m="1" x="3647"/>
        <item m="1" x="7905"/>
        <item m="1" x="2935"/>
        <item m="1" x="7654"/>
        <item m="1" x="3373"/>
        <item m="1" x="3221"/>
        <item m="1" x="3625"/>
        <item m="1" x="3547"/>
        <item m="1" x="3693"/>
        <item m="1" x="3527"/>
        <item m="1" x="2434"/>
        <item m="1" x="7660"/>
        <item m="1" x="1284"/>
        <item m="1" x="4620"/>
        <item m="1" x="5525"/>
        <item m="1" x="2318"/>
        <item m="1" x="7188"/>
        <item m="1" x="7915"/>
        <item m="1" x="3125"/>
        <item m="1" x="5770"/>
        <item m="1" x="1295"/>
        <item m="1" x="1123"/>
        <item m="1" x="6996"/>
        <item m="1" x="2306"/>
        <item m="1" x="1406"/>
        <item m="1" x="851"/>
        <item m="1" x="5371"/>
        <item m="1" x="1452"/>
        <item m="1" x="37"/>
        <item m="1" x="2453"/>
        <item m="1" x="5645"/>
        <item m="1" x="4271"/>
        <item m="1" x="3863"/>
        <item m="1" x="7948"/>
        <item m="1" x="3698"/>
        <item m="1" x="1239"/>
        <item m="1" x="5480"/>
        <item m="1" x="5965"/>
        <item m="1" x="2827"/>
        <item m="1" x="7148"/>
        <item m="1" x="1383"/>
        <item m="1" x="266"/>
        <item m="1" x="3739"/>
        <item m="1" x="1090"/>
        <item m="1" x="59"/>
        <item m="1" x="85"/>
        <item m="1" x="4307"/>
        <item m="1" x="4275"/>
        <item m="1" x="3651"/>
        <item m="1" x="1307"/>
        <item m="1" x="143"/>
        <item m="1" x="1091"/>
        <item m="1" x="3006"/>
        <item m="1" x="4159"/>
        <item m="1" x="5963"/>
        <item m="1" x="158"/>
        <item m="1" x="4506"/>
        <item m="1" x="7783"/>
        <item m="1" x="3648"/>
        <item m="1" x="7906"/>
        <item m="1" x="3774"/>
        <item m="1" x="3522"/>
        <item m="1" x="3929"/>
        <item m="1" x="3890"/>
        <item m="1" x="2850"/>
        <item m="1" x="4639"/>
        <item m="1" x="4503"/>
        <item m="1" x="4373"/>
        <item m="1" x="45"/>
        <item m="1" x="2304"/>
        <item m="1" x="5621"/>
        <item m="1" x="161"/>
        <item m="1" x="7533"/>
        <item m="1" x="7978"/>
        <item m="1" x="3962"/>
        <item m="1" x="968"/>
        <item m="1" x="1592"/>
        <item m="1" x="277"/>
        <item m="1" x="4083"/>
        <item m="1" x="2438"/>
        <item m="1" x="1811"/>
        <item m="1" x="7655"/>
        <item m="1" x="1533"/>
        <item m="1" x="684"/>
        <item m="1" x="982"/>
        <item m="1" x="4376"/>
        <item m="1" x="2581"/>
        <item m="1" x="3852"/>
        <item m="1" x="3726"/>
        <item m="1" x="6611"/>
        <item m="1" x="3597"/>
        <item m="1" x="7853"/>
        <item m="1" x="3556"/>
        <item m="1" x="3116"/>
        <item m="1" x="660"/>
        <item m="1" x="4265"/>
        <item m="1" x="4912"/>
        <item m="1" x="561"/>
        <item m="1" x="3836"/>
        <item m="1" x="1992"/>
        <item m="1" x="3823"/>
        <item m="1" x="7669"/>
        <item m="1" x="7508"/>
        <item m="1" x="7680"/>
        <item m="1" x="772"/>
        <item m="1" x="4081"/>
        <item m="1" x="4189"/>
        <item m="1" x="7255"/>
        <item m="1" x="6879"/>
        <item m="1" x="6772"/>
        <item m="1" x="3876"/>
        <item m="1" x="3878"/>
        <item m="1" x="3358"/>
        <item m="1" x="3640"/>
        <item m="1" x="3509"/>
        <item m="1" x="7637"/>
        <item m="1" x="7899"/>
        <item m="1" x="4608"/>
        <item m="1" x="7772"/>
        <item m="1" x="256"/>
        <item m="1" x="3950"/>
        <item m="1" x="3959"/>
        <item m="1" x="6053"/>
        <item m="1" x="3887"/>
        <item m="1" x="4070"/>
        <item m="1" x="142"/>
        <item m="1" x="807"/>
        <item m="1" x="3768"/>
        <item m="1" x="1121"/>
        <item m="1" x="4624"/>
        <item m="1" x="4179"/>
        <item m="1" x="2797"/>
        <item m="1" x="66"/>
        <item m="1" x="7034"/>
        <item m="1" x="3222"/>
        <item m="1" x="6188"/>
        <item m="1" x="4285"/>
        <item m="1" x="6770"/>
        <item m="1" x="6618"/>
        <item m="1" x="3758"/>
        <item m="1" x="7886"/>
        <item m="1" x="3624"/>
        <item m="1" x="7757"/>
        <item m="1" x="3490"/>
        <item m="1" x="4093"/>
        <item m="1" x="4364"/>
        <item m="1" x="6785"/>
        <item m="1" x="4038"/>
        <item m="1" x="3742"/>
        <item m="1" x="7992"/>
        <item m="1" x="4492"/>
        <item m="1" x="150"/>
        <item m="1" x="5062"/>
        <item m="1" x="817"/>
        <item m="1" x="7871"/>
        <item m="1" x="7933"/>
        <item m="1" x="6752"/>
        <item m="1" x="3609"/>
        <item m="1" x="4895"/>
        <item m="1" x="3669"/>
        <item m="1" x="762"/>
        <item m="1" x="4094"/>
        <item m="1" x="4055"/>
        <item m="1" x="168"/>
        <item m="1" x="643"/>
        <item m="1" x="7963"/>
        <item m="1" x="160"/>
        <item m="1" x="1973"/>
        <item m="1" x="4460"/>
        <item m="1" x="3932"/>
        <item m="1" x="1909"/>
        <item m="1" x="5006"/>
        <item m="1" x="3940"/>
        <item m="1" x="3828"/>
        <item m="1" x="2437"/>
        <item m="1" x="4084"/>
        <item m="1" x="6491"/>
        <item m="1" x="4171"/>
        <item m="1" x="6745"/>
        <item m="1" x="3864"/>
        <item m="1" x="4191"/>
        <item m="1" x="4383"/>
        <item m="1" x="5773"/>
        <item m="1" x="4259"/>
        <item m="1" x="2835"/>
        <item m="1" x="7977"/>
        <item m="1" x="3452"/>
        <item m="1" x="4160"/>
        <item m="1" x="4039"/>
        <item m="1" x="7724"/>
        <item m="1" x="7962"/>
        <item m="1" x="3711"/>
        <item m="1" x="3853"/>
        <item m="1" x="7517"/>
        <item m="1" x="2709"/>
        <item m="1" x="507"/>
        <item m="1" x="4736"/>
        <item m="1" x="1071"/>
        <item m="1" x="3680"/>
        <item m="1" x="5225"/>
        <item m="1" x="911"/>
        <item m="1" x="156"/>
        <item m="1" x="43"/>
        <item m="1" x="1961"/>
        <item m="1" x="5767"/>
        <item m="1" x="7865"/>
        <item m="1" x="80"/>
        <item m="1" x="4263"/>
        <item m="1" x="7693"/>
        <item m="1" x="6906"/>
        <item m="1" x="261"/>
        <item m="1" x="2854"/>
        <item m="1" x="4033"/>
        <item m="1" x="7178"/>
        <item m="1" x="2557"/>
        <item m="1" x="2666"/>
        <item m="1" x="953"/>
        <item m="1" x="2567"/>
        <item m="1" x="2315"/>
        <item m="1" x="886"/>
        <item m="1" x="3813"/>
        <item m="1" x="324"/>
        <item m="1" x="306"/>
        <item m="1" x="554"/>
        <item m="1" x="4371"/>
        <item m="1" x="6503"/>
        <item m="1" x="2319"/>
        <item m="1" x="438"/>
        <item m="1" x="4669"/>
        <item m="1" x="7221"/>
        <item m="1" x="7791"/>
        <item m="1" x="4496"/>
        <item m="1" x="4484"/>
        <item m="1" x="2446"/>
        <item m="1" x="580"/>
        <item m="1" x="4818"/>
        <item m="1" x="7037"/>
        <item m="1" x="6892"/>
        <item m="1" x="2721"/>
        <item m="1" x="122"/>
        <item m="1" x="54"/>
        <item m="1" x="3973"/>
        <item m="1" x="924"/>
        <item m="1" x="7472"/>
        <item m="1" x="3862"/>
        <item m="1" x="6619"/>
        <item m="1" x="3245"/>
        <item m="1" x="4268"/>
        <item m="1" x="578"/>
        <item m="1" x="6749"/>
        <item m="1" x="4962"/>
        <item m="1" x="4543"/>
        <item m="1" x="196"/>
        <item m="1" x="4414"/>
        <item m="1" x="5135"/>
        <item m="1" x="566"/>
        <item m="1" x="4298"/>
        <item m="1" x="77"/>
        <item m="1" x="4022"/>
        <item m="1" x="2167"/>
        <item m="1" x="4657"/>
        <item m="1" x="292"/>
        <item m="1" x="2312"/>
        <item m="1" x="719"/>
        <item m="1" x="1309"/>
        <item m="1" x="7600"/>
        <item m="1" x="4800"/>
        <item m="1" x="5116"/>
        <item m="1" x="3743"/>
        <item m="1" x="7988"/>
        <item m="1" x="7911"/>
        <item m="1" x="7522"/>
        <item m="1" x="1172"/>
        <item m="1" x="7021"/>
        <item m="1" x="2848"/>
        <item m="1" x="7532"/>
        <item m="1" x="3738"/>
        <item m="1" x="7735"/>
        <item m="1" x="5943"/>
        <item m="1" x="6585"/>
        <item m="1" x="940"/>
        <item m="1" x="3874"/>
        <item m="1" x="7032"/>
        <item m="1" x="2701"/>
        <item m="1" x="1372"/>
        <item m="1" x="2431"/>
        <item m="1" x="7422"/>
        <item m="1" x="6882"/>
        <item m="1" x="3866"/>
        <item m="1" x="4045"/>
        <item m="1" x="7602"/>
        <item m="1" x="3322"/>
        <item m="1" x="259"/>
        <item m="1" x="7808"/>
        <item m="1" x="4176"/>
        <item m="1" x="4366"/>
        <item m="1" x="2023"/>
        <item m="1" x="6606"/>
        <item m="1" x="7563"/>
        <item m="1" x="5025"/>
        <item m="1" x="1469"/>
        <item m="1" x="4494"/>
        <item m="1" x="3253"/>
        <item m="1" x="874"/>
        <item m="1" x="393"/>
        <item m="1" x="4621"/>
        <item m="1" x="267"/>
        <item m="1" x="4504"/>
        <item m="1" x="159"/>
        <item m="1" x="4374"/>
        <item m="1" x="833"/>
        <item m="1" x="5078"/>
        <item m="1" x="661"/>
        <item m="1" x="521"/>
        <item m="1" x="4751"/>
        <item m="1" x="379"/>
        <item m="1" x="4609"/>
        <item m="1" x="257"/>
        <item m="1" x="4493"/>
        <item m="1" x="978"/>
        <item m="1" x="5218"/>
        <item m="1" x="818"/>
        <item m="1" x="4896"/>
        <item m="1" x="508"/>
        <item m="1" x="4737"/>
        <item m="1" x="372"/>
        <item m="1" x="4598"/>
        <item m="1" x="1117"/>
        <item m="1" x="5365"/>
        <item m="1" x="962"/>
        <item m="1" x="5201"/>
        <item m="1" x="802"/>
        <item m="1" x="7162"/>
        <item m="1" x="4531"/>
        <item m="1" x="4770"/>
        <item m="1" x="1326"/>
        <item m="1" x="3276"/>
        <item m="1" x="537"/>
        <item m="1" x="2561"/>
        <item m="1" x="3848"/>
        <item m="1" x="7975"/>
        <item m="1" x="3723"/>
        <item m="1" x="7553"/>
        <item m="1" x="5838"/>
        <item m="1" x="6046"/>
        <item m="1" x="4933"/>
        <item m="1" x="4917"/>
        <item m="1" x="6194"/>
        <item m="1" x="1080"/>
        <item m="1" x="7135"/>
        <item m="1" x="4949"/>
        <item m="1" x="552"/>
        <item m="1" x="4784"/>
        <item m="1" x="411"/>
        <item m="1" x="4642"/>
        <item m="1" x="5419"/>
        <item m="1" x="5978"/>
        <item m="1" x="996"/>
        <item m="1" x="1154"/>
        <item m="1" x="5402"/>
        <item m="1" x="5242"/>
        <item m="1" x="5037"/>
        <item m="1" x="5566"/>
        <item m="1" x="5885"/>
        <item m="1" x="5122"/>
        <item m="1" x="853"/>
        <item m="1" x="5279"/>
        <item m="1" x="5678"/>
        <item m="1" x="7850"/>
        <item m="1" x="3450"/>
        <item m="1" x="4637"/>
        <item m="1" x="4699"/>
        <item m="1" x="1015"/>
        <item m="1" x="698"/>
        <item m="1" x="6202"/>
        <item m="1" x="1466"/>
        <item m="1" x="5081"/>
        <item m="1" x="7722"/>
        <item m="1" x="3595"/>
        <item m="1" x="6758"/>
        <item m="1" x="2443"/>
        <item m="1" x="2563"/>
        <item m="1" x="6886"/>
        <item m="1" x="7415"/>
        <item m="1" x="3137"/>
        <item m="1" x="7300"/>
        <item m="1" x="2990"/>
        <item m="1" x="2712"/>
        <item m="1" x="4487"/>
        <item m="1" x="147"/>
        <item m="1" x="7297"/>
        <item m="1" x="2988"/>
        <item m="1" x="872"/>
        <item m="1" x="5180"/>
        <item m="1" x="525"/>
        <item m="1" x="436"/>
        <item m="1" x="850"/>
        <item m="1" x="3533"/>
        <item m="1" x="7925"/>
        <item m="1" x="2840"/>
        <item m="1" x="5698"/>
        <item m="1" x="4066"/>
        <item m="1" x="5096"/>
        <item m="1" x="3265"/>
        <item m="1" x="836"/>
        <item m="1" x="1300"/>
        <item m="1" x="3712"/>
        <item m="1" x="1083"/>
        <item m="1" x="7067"/>
        <item m="1" x="6056"/>
        <item m="1" x="7020"/>
        <item m="1" x="2719"/>
        <item m="1" x="7993"/>
        <item m="1" x="4067"/>
        <item m="1" x="7677"/>
        <item m="1" x="383"/>
        <item m="1" x="1393"/>
        <item m="1" x="4765"/>
        <item m="1" x="1693"/>
        <item m="1" x="4611"/>
        <item m="1" x="514"/>
        <item m="1" x="6890"/>
        <item m="1" x="3653"/>
        <item m="1" x="5521"/>
        <item m="1" x="34"/>
        <item m="1" x="7164"/>
        <item m="1" x="3709"/>
        <item m="1" x="4158"/>
        <item m="1" x="3736"/>
        <item m="1" x="4015"/>
        <item m="1" x="6177"/>
        <item m="1" x="7960"/>
        <item m="1" x="1119"/>
        <item m="1" x="5460"/>
        <item m="1" x="3136"/>
        <item m="1" x="655"/>
        <item m="1" x="1419"/>
        <item m="1" x="7837"/>
        <item m="1" x="5400"/>
        <item m="1" x="3583"/>
        <item m="1" x="2987"/>
        <item m="1" x="6302"/>
        <item m="1" x="5120"/>
        <item m="1" x="695"/>
        <item m="1" x="4946"/>
        <item m="1" x="993"/>
        <item m="1" x="5239"/>
        <item m="1" x="617"/>
        <item m="1" x="4905"/>
        <item m="1" x="407"/>
        <item m="1" x="4781"/>
        <item m="1" x="7160"/>
        <item m="1" x="832"/>
        <item m="1" x="659"/>
        <item m="1" x="6489"/>
        <item m="1" x="3518"/>
        <item m="1" x="5543"/>
        <item m="1" x="1136"/>
        <item m="1" x="5383"/>
        <item m="1" x="981"/>
        <item m="1" x="5221"/>
        <item m="1" x="821"/>
        <item m="1" x="5065"/>
        <item m="1" x="1606"/>
        <item m="1" x="1449"/>
        <item m="1" x="964"/>
        <item m="1" x="5204"/>
        <item m="1" x="5697"/>
        <item m="1" x="1589"/>
        <item m="1" x="2187"/>
        <item m="1" x="6218"/>
        <item m="1" x="5583"/>
        <item m="1" x="1304"/>
        <item m="1" x="1380"/>
        <item m="1" x="110"/>
        <item m="1" x="2332"/>
        <item m="1" x="1697"/>
        <item m="1" x="3892"/>
        <item m="1" x="5922"/>
        <item m="1" x="1540"/>
        <item m="1" x="3776"/>
        <item m="1" x="6221"/>
        <item m="1" x="973"/>
        <item m="1" x="1302"/>
        <item m="1" x="7410"/>
        <item m="1" x="4929"/>
        <item m="1" x="7848"/>
        <item m="1" x="6114"/>
        <item m="1" x="1465"/>
        <item m="1" x="5501"/>
        <item m="1" x="4021"/>
        <item m="1" x="7015"/>
        <item m="1" x="5174"/>
        <item m="1" x="3563"/>
        <item m="1" x="5061"/>
        <item m="1" x="4866"/>
        <item m="1" x="5914"/>
        <item m="1" x="6116"/>
        <item m="1" x="3291"/>
        <item m="1" x="5837"/>
        <item m="1" x="3139"/>
        <item m="1" x="4051"/>
        <item m="1" x="4053"/>
        <item m="1" x="1605"/>
        <item m="1" x="403"/>
        <item m="1" x="4169"/>
        <item m="1" x="483"/>
        <item m="1" x="3134"/>
        <item m="1" x="5903"/>
        <item m="1" x="1382"/>
        <item m="1" x="3413"/>
        <item m="1" x="2412"/>
        <item m="1" x="2294"/>
        <item m="1" x="2433"/>
        <item m="1" x="528"/>
        <item m="1" x="4393"/>
        <item m="1" x="5484"/>
        <item m="1" x="6504"/>
        <item m="1" x="2316"/>
        <item m="1" x="1448"/>
        <item m="1" x="5676"/>
        <item m="1" x="647"/>
        <item m="1" x="7604"/>
        <item m="1" x="87"/>
        <item m="1" x="5471"/>
        <item m="1" x="2138"/>
        <item m="1" x="1328"/>
        <item m="1" x="545"/>
        <item m="1" x="1214"/>
        <item m="1" x="3283"/>
        <item m="1" x="6674"/>
        <item m="1" x="5560"/>
        <item m="1" x="3737"/>
        <item m="1" x="510"/>
        <item m="1" x="1112"/>
        <item m="1" x="4582"/>
        <item m="1" x="4858"/>
        <item m="1" x="4740"/>
        <item m="1" x="4380"/>
        <item m="1" x="165"/>
        <item m="1" x="58"/>
        <item m="1" x="4274"/>
        <item m="1" x="3016"/>
        <item m="1" x="294"/>
        <item m="1" x="447"/>
        <item m="1" x="2020"/>
        <item m="1" x="1904"/>
        <item m="1" x="1122"/>
        <item m="1" x="549"/>
        <item m="1" x="5052"/>
        <item m="1" x="4886"/>
        <item m="1" x="1262"/>
        <item m="1" x="5504"/>
        <item m="1" x="1107"/>
        <item m="1" x="949"/>
        <item m="1" x="792"/>
        <item m="1" x="5039"/>
        <item m="1" x="1170"/>
        <item m="1" x="6804"/>
        <item m="1" x="5418"/>
        <item m="1" x="5260"/>
        <item m="1" x="5367"/>
        <item m="1" x="5077"/>
        <item m="1" x="4911"/>
        <item m="1" x="5747"/>
        <item m="1" x="364"/>
        <item m="1" x="1247"/>
        <item m="1" x="5489"/>
        <item m="1" x="1094"/>
        <item m="1" x="5338"/>
        <item m="1" x="936"/>
        <item m="1" x="176"/>
        <item m="1" x="4524"/>
        <item m="1" x="5820"/>
        <item m="1" x="1430"/>
        <item m="1" x="5656"/>
        <item m="1" x="1260"/>
        <item m="1" x="286"/>
        <item m="1" x="3948"/>
        <item m="1" x="816"/>
        <item m="1" x="5217"/>
        <item m="1" x="5349"/>
        <item m="1" x="1104"/>
        <item m="1" x="1907"/>
        <item m="1" x="5804"/>
        <item m="1" x="1242"/>
        <item m="1" x="1409"/>
        <item m="1" x="5644"/>
        <item m="1" x="6250"/>
        <item m="1" x="5182"/>
        <item m="1" x="1722"/>
        <item m="1" x="1400"/>
        <item m="1" x="1889"/>
        <item m="1" x="6098"/>
        <item m="1" x="928"/>
        <item m="1" x="1716"/>
        <item m="1" x="5940"/>
        <item m="1" x="1552"/>
        <item m="1" x="1233"/>
        <item m="1" x="5633"/>
        <item m="1" x="1044"/>
        <item m="1" x="3622"/>
        <item m="1" x="7754"/>
        <item m="1" x="3487"/>
        <item m="1" x="7616"/>
        <item m="1" x="3339"/>
        <item m="1" x="7473"/>
        <item m="1" x="3183"/>
        <item m="1" x="7329"/>
        <item m="1" x="4309"/>
        <item m="1" x="4633"/>
        <item m="1" x="272"/>
        <item m="1" x="5477"/>
        <item m="1" x="1088"/>
        <item m="1" x="5331"/>
        <item m="1" x="2980"/>
        <item m="1" x="2310"/>
        <item m="1" x="4509"/>
        <item m="1" x="3713"/>
        <item m="1" x="5363"/>
        <item m="1" x="1753"/>
        <item m="1" x="961"/>
        <item m="1" x="5518"/>
        <item m="1" x="2932"/>
        <item m="1" x="1986"/>
        <item m="1" x="7106"/>
        <item m="1" x="1115"/>
        <item m="1" x="2967"/>
        <item m="1" x="5954"/>
        <item m="1" x="1272"/>
        <item m="1" x="5513"/>
        <item m="1" x="1991"/>
        <item m="1" x="7152"/>
        <item m="1" x="1275"/>
        <item m="1" x="5675"/>
        <item m="1" x="773"/>
        <item m="1" x="1116"/>
        <item m="1" x="2857"/>
        <item m="1" x="5517"/>
        <item m="1" x="1276"/>
        <item m="1" x="7332"/>
        <item m="1" x="3026"/>
        <item m="1" x="3558"/>
        <item m="1" x="1586"/>
        <item m="1" x="801"/>
        <item m="1" x="5046"/>
        <item m="1" x="5818"/>
        <item m="1" x="4188"/>
        <item m="1" x="5200"/>
        <item m="1" x="7136"/>
        <item m="1" x="6058"/>
        <item m="1" x="5944"/>
        <item m="1" x="7436"/>
        <item m="1" x="805"/>
        <item m="1" x="3303"/>
        <item m="1" x="7943"/>
        <item m="1" x="7442"/>
        <item m="1" x="6912"/>
        <item m="1" x="6377"/>
        <item m="1" x="5784"/>
        <item m="1" x="5183"/>
        <item m="1" x="2809"/>
        <item m="1" x="6988"/>
        <item m="1" x="4153"/>
        <item m="1" x="6207"/>
        <item m="1" x="1209"/>
        <item m="1" x="7290"/>
        <item m="1" x="2672"/>
        <item m="1" x="7974"/>
        <item m="1" x="7315"/>
        <item m="1" x="2839"/>
        <item m="1" x="6731"/>
        <item m="1" x="2542"/>
        <item m="1" x="1427"/>
        <item m="1" x="5654"/>
        <item m="1" x="1257"/>
        <item m="1" x="5497"/>
        <item m="1" x="3926"/>
        <item m="1" x="2977"/>
        <item m="1" x="3699"/>
        <item m="1" x="7949"/>
        <item m="1" x="7831"/>
        <item m="1" x="5346"/>
        <item m="1" x="753"/>
        <item m="1" x="1674"/>
        <item m="1" x="164"/>
        <item m="1" x="6847"/>
        <item m="1" x="1101"/>
        <item m="1" x="944"/>
        <item m="1" x="2956"/>
        <item m="1" x="7429"/>
        <item m="1" x="2523"/>
        <item m="1" x="4198"/>
        <item m="1" x="1861"/>
        <item m="1" x="7540"/>
        <item m="1" x="529"/>
        <item m="1" x="6705"/>
        <item m="1" x="2387"/>
        <item m="1" x="3033"/>
        <item m="1" x="186"/>
        <item m="1" x="7388"/>
        <item m="1" x="3168"/>
        <item m="1" x="4703"/>
        <item m="1" x="3106"/>
        <item m="1" x="7457"/>
        <item m="1" x="793"/>
        <item m="1" x="674"/>
        <item m="1" x="5095"/>
        <item m="1" x="4945"/>
        <item m="1" x="1877"/>
        <item m="1" x="6118"/>
        <item m="1" x="5562"/>
        <item m="1" x="7259"/>
        <item m="1" x="6889"/>
        <item m="1" x="6973"/>
        <item m="1" x="2798"/>
        <item m="1" x="2654"/>
        <item m="1" x="7126"/>
        <item m="1" x="3724"/>
        <item m="1" x="7404"/>
        <item m="1" x="4797"/>
        <item m="1" x="4961"/>
        <item m="1" x="2954"/>
        <item m="1" x="6191"/>
        <item m="1" x="4392"/>
        <item m="1" x="3237"/>
        <item m="1" x="2511"/>
        <item m="1" x="6831"/>
        <item m="1" x="2668"/>
        <item m="1" x="3088"/>
        <item m="1" x="3261"/>
        <item m="1" x="5238"/>
        <item m="1" x="5189"/>
        <item m="1" x="5958"/>
        <item m="1" x="1567"/>
        <item m="1" x="7260"/>
        <item m="1" x="2933"/>
        <item m="1" x="7107"/>
        <item m="1" x="519"/>
        <item m="1" x="4010"/>
        <item m="1" x="3151"/>
        <item m="1" x="7018"/>
        <item m="1" x="2780"/>
        <item m="1" x="6956"/>
        <item m="1" x="4511"/>
        <item m="1" x="3353"/>
        <item m="1" x="5036"/>
        <item m="1" x="3153"/>
        <item m="1" x="1860"/>
        <item m="1" x="4325"/>
        <item m="1" x="3371"/>
        <item m="1" x="3826"/>
        <item m="1" x="3938"/>
        <item m="1" x="7089"/>
        <item m="1" x="2354"/>
        <item m="1" x="3439"/>
        <item m="1" x="2911"/>
        <item m="1" x="7882"/>
        <item m="1" x="6902"/>
        <item m="1" x="57"/>
        <item m="1" x="995"/>
        <item m="1" x="5401"/>
        <item m="1" x="355"/>
        <item m="1" x="4054"/>
        <item m="1" x="7240"/>
        <item m="1" x="173"/>
        <item m="1" x="6059"/>
        <item m="1" x="3584"/>
        <item m="1" x="7839"/>
        <item m="1" x="7505"/>
        <item m="1" x="922"/>
        <item m="1" x="5646"/>
        <item m="1" x="1093"/>
        <item m="1" x="1197"/>
        <item m="1" x="7709"/>
        <item m="1" x="2631"/>
        <item m="1" x="6347"/>
        <item m="1" x="6871"/>
        <item m="1" x="7030"/>
        <item m="1" x="7828"/>
        <item m="1" x="4777"/>
        <item m="1" x="3951"/>
        <item m="1" x="896"/>
        <item m="1" x="4180"/>
        <item m="1" x="5494"/>
        <item m="1" x="400"/>
        <item m="1" x="3837"/>
        <item m="1" x="275"/>
        <item m="1" x="2765"/>
        <item m="1" x="2844"/>
        <item m="1" x="7530"/>
        <item m="1" x="2715"/>
        <item m="1" x="7723"/>
        <item m="1" x="3451"/>
        <item m="1" x="7589"/>
        <item m="1" x="3310"/>
        <item m="1" x="7961"/>
        <item m="1" x="3710"/>
        <item m="1" x="4384"/>
        <item m="1" x="7807"/>
        <item m="1" x="3919"/>
        <item m="1" x="2564"/>
        <item m="1" x="1981"/>
        <item m="1" x="3540"/>
        <item m="1" x="1997"/>
        <item m="1" x="180"/>
        <item m="1" x="4397"/>
        <item m="1" x="67"/>
        <item m="1" x="4286"/>
        <item m="1" x="4172"/>
        <item m="1" x="4056"/>
        <item m="1" x="3559"/>
        <item m="1" x="3408"/>
        <item m="1" x="1075"/>
        <item m="1" x="4750"/>
        <item m="1" x="4558"/>
        <item m="1" x="4915"/>
        <item m="1" x="7830"/>
        <item m="1" x="3576"/>
        <item m="1" x="7769"/>
        <item m="1" x="4301"/>
        <item m="1" x="4276"/>
        <item m="1" x="5487"/>
        <item m="1" x="1227"/>
        <item m="1" x="7672"/>
        <item m="1" x="6088"/>
        <item m="1" x="378"/>
        <item m="1" x="4040"/>
        <item m="1" x="4607"/>
        <item m="1" x="6210"/>
        <item m="1" x="4871"/>
        <item m="1" x="7490"/>
        <item m="1" x="4156"/>
        <item m="1" x="3395"/>
        <item m="1" x="44"/>
        <item m="1" x="3294"/>
        <item m="1" x="4003"/>
        <item m="1" x="4372"/>
        <item m="1" x="6220"/>
        <item m="1" x="1714"/>
        <item m="1" x="6438"/>
        <item m="1" x="5469"/>
        <item m="1" x="476"/>
        <item m="1" x="149"/>
        <item m="1" x="3679"/>
        <item m="1" x="157"/>
        <item m="1" x="769"/>
        <item m="1" x="459"/>
        <item m="1" x="5925"/>
        <item m="1" x="391"/>
        <item m="1" x="5776"/>
        <item m="1" x="2706"/>
        <item m="1" x="6217"/>
        <item m="1" x="255"/>
        <item m="1" x="4619"/>
        <item m="1" x="3675"/>
        <item m="1" x="4594"/>
        <item m="1" x="1696"/>
        <item m="1" x="752"/>
        <item m="1" x="2986"/>
        <item m="1" x="7591"/>
        <item m="1" x="5960"/>
        <item m="1" x="4512"/>
        <item m="1" x="4161"/>
        <item m="1" x="520"/>
        <item m="1" x="6621"/>
        <item m="1" x="1411"/>
        <item m="1" x="5335"/>
        <item m="1" x="5643"/>
        <item m="1" x="4255"/>
        <item m="1" x="5001"/>
        <item m="1" x="3149"/>
        <item m="1" x="3801"/>
        <item m="1" x="2168"/>
        <item m="1" x="4310"/>
        <item m="1" x="3941"/>
        <item m="1" x="4264"/>
        <item m="1" x="3963"/>
        <item m="1" x="4568"/>
        <item m="1" x="95"/>
        <item m="1" x="6509"/>
        <item m="1" x="3181"/>
        <item m="1" x="2321"/>
        <item m="1" x="1774"/>
        <item m="1" x="1069"/>
        <item m="1" x="6629"/>
        <item m="1" x="5298"/>
        <item m="1" x="783"/>
        <item m="1" x="6064"/>
        <item m="1" x="1243"/>
        <item m="1" x="3013"/>
        <item m="1" x="5170"/>
        <item m="1" x="340"/>
        <item m="1" x="3118"/>
        <item m="1" x="2454"/>
        <item m="1" x="3886"/>
        <item m="1" x="244"/>
        <item m="1" x="3539"/>
        <item m="1" x="5138"/>
        <item m="1" x="3246"/>
        <item m="1" x="6510"/>
        <item m="1" x="1221"/>
        <item m="1" x="623"/>
        <item m="1" x="5933"/>
        <item m="1" x="1545"/>
        <item m="1" x="1045"/>
        <item m="1" x="7537"/>
        <item m="1" x="5485"/>
        <item m="1" x="373"/>
        <item m="1" x="6765"/>
        <item m="1" x="6122"/>
        <item m="1" x="5161"/>
        <item m="1" x="5894"/>
        <item m="1" x="423"/>
        <item m="1" x="3356"/>
        <item m="1" x="912"/>
        <item m="1" x="1118"/>
        <item m="1" x="5366"/>
        <item m="1" x="3893"/>
        <item m="1" x="7053"/>
        <item m="1" x="3986"/>
        <item m="1" x="7815"/>
        <item m="1" x="7557"/>
        <item m="1" x="3789"/>
        <item m="1" x="4219"/>
        <item m="1" x="6166"/>
        <item m="1" x="1418"/>
        <item m="1" x="1588"/>
        <item m="1" x="5780"/>
        <item m="1" x="4281"/>
        <item m="1" x="4202"/>
        <item m="1" x="4135"/>
        <item m="1" x="1796"/>
        <item m="1" x="4804"/>
        <item m="1" x="7916"/>
        <item m="1" x="4113"/>
        <item m="1" x="700"/>
        <item m="1" x="1059"/>
        <item m="1" x="3928"/>
        <item m="1" x="7694"/>
        <item m="1" x="7153"/>
        <item m="1" x="2313"/>
        <item m="1" x="6754"/>
        <item m="1" x="620"/>
        <item m="1" x="3427"/>
        <item m="1" x="811"/>
        <item m="1" x="829"/>
        <item m="1" x="4653"/>
        <item m="1" x="4270"/>
        <item m="1" x="1963"/>
        <item m="1" x="1151"/>
        <item m="1" x="7935"/>
        <item m="1" x="7790"/>
        <item m="1" x="1621"/>
        <item m="1" x="124"/>
        <item m="1" x="7990"/>
        <item m="1" x="4167"/>
        <item m="1" x="402"/>
        <item m="1" x="206"/>
        <item m="1" x="1235"/>
        <item m="1" x="4513"/>
        <item m="1" x="3804"/>
        <item m="1" x="7868"/>
        <item m="1" x="3740"/>
        <item m="1" x="7989"/>
        <item m="1" x="3035"/>
        <item m="1" x="7339"/>
        <item m="1" x="4654"/>
        <item m="1" x="7024"/>
        <item m="1" x="7737"/>
        <item m="1" x="3608"/>
        <item m="1" x="3902"/>
        <item m="1" x="3324"/>
        <item m="1" x="3818"/>
        <item m="1" x="7736"/>
        <item m="1" x="2578"/>
        <item m="1" x="3468"/>
        <item m="1" x="806"/>
        <item m="1" x="440"/>
        <item m="1" x="3319"/>
        <item m="1" x="1278"/>
        <item m="1" x="725"/>
        <item m="1" x="1950"/>
        <item m="1" x="3469"/>
        <item m="1" x="3323"/>
        <item m="1" x="6115"/>
        <item m="1" x="639"/>
        <item m="1" x="141"/>
        <item m="1" x="2174"/>
        <item m="1" x="289"/>
        <item m="1" x="7603"/>
        <item m="1" x="3660"/>
        <item m="1" x="5514"/>
        <item m="1" x="3424"/>
        <item m="1" x="3785"/>
        <item m="1" x="3065"/>
        <item m="1" x="931"/>
        <item m="1" x="1718"/>
        <item m="1" x="4726"/>
        <item m="1" x="1168"/>
        <item m="1" x="479"/>
        <item m="1" x="4527"/>
        <item m="1" x="179"/>
        <item m="1" x="3850"/>
        <item m="1" x="7976"/>
        <item m="1" x="3961"/>
        <item m="1" x="871"/>
        <item m="1" x="5539"/>
        <item m="1" x="3851"/>
        <item m="1" x="7914"/>
        <item m="1" x="7542"/>
        <item m="1" x="3657"/>
        <item m="1" x="5997"/>
        <item m="1" x="4430"/>
        <item m="1" x="3725"/>
        <item m="1" x="7852"/>
        <item m="1" x="3596"/>
        <item m="1" x="7673"/>
        <item m="1" x="7851"/>
        <item m="1" x="7971"/>
        <item m="1" x="5049"/>
        <item m="1" x="7956"/>
        <item m="1" x="7180"/>
        <item m="1" x="1103"/>
        <item m="1" x="1669"/>
        <item m="1" x="3939"/>
        <item m="1" x="7840"/>
        <item m="1" x="3585"/>
        <item m="1" x="3574"/>
        <item m="1" x="1390"/>
        <item m="1" x="3775"/>
        <item m="1" x="4069"/>
        <item m="1" x="1074"/>
        <item m="1" x="7622"/>
        <item m="1" x="4322"/>
        <item m="1" x="1517"/>
        <item m="1" x="6100"/>
        <item m="1" x="1569"/>
        <item m="1" x="4025"/>
        <item m="1" x="5147"/>
        <item m="1" x="4120"/>
        <item m="1" x="2112"/>
        <item m="1" x="3949"/>
        <item m="1" x="3835"/>
        <item m="1" x="5075"/>
        <item m="1" x="657"/>
        <item m="1" x="1446"/>
        <item m="1" x="7409"/>
        <item m="1" x="377"/>
        <item m="1" x="6066"/>
        <item m="1" x="3827"/>
        <item m="1" x="3901"/>
        <item m="1" x="4893"/>
        <item m="1" x="641"/>
        <item m="1" x="5058"/>
        <item m="1" x="813"/>
        <item m="1" x="5214"/>
        <item m="1" x="975"/>
        <item m="1" x="4490"/>
        <item m="1" x="254"/>
        <item m="1" x="4606"/>
        <item m="1" x="3131"/>
        <item m="1" x="3658"/>
        <item m="1" x="505"/>
        <item m="1" x="4734"/>
        <item m="1" x="4597"/>
        <item m="1" x="694"/>
        <item m="1" x="6216"/>
        <item m="1" x="1554"/>
        <item m="1" x="2050"/>
        <item m="1" x="5473"/>
        <item m="1" x="439"/>
        <item m="1" x="6525"/>
        <item m="1" x="7302"/>
        <item m="1" x="7556"/>
        <item m="1" x="6775"/>
        <item m="1" x="3783"/>
        <item m="1" x="2734"/>
        <item m="1" x="5789"/>
        <item m="1" x="4833"/>
        <item m="1" x="5618"/>
        <item m="1" x="879"/>
        <item m="1" x="3249"/>
        <item m="1" x="210"/>
        <item m="1" x="2860"/>
        <item m="1" x="1884"/>
        <item m="1" x="2992"/>
        <item m="1" x="466"/>
        <item m="1" x="409"/>
        <item m="1" x="4782"/>
        <item m="1" x="3819"/>
        <item m="1" x="369"/>
        <item m="1" x="1076"/>
        <item m="1" x="4578"/>
        <item m="1" x="2693"/>
        <item m="1" x="1548"/>
        <item m="1" x="4386"/>
        <item m="1" x="232"/>
        <item m="1" x="4346"/>
        <item m="1" x="4514"/>
        <item m="1" x="5397"/>
        <item m="1" x="3405"/>
        <item m="1" x="4913"/>
        <item m="1" x="2516"/>
        <item m="1" x="3399"/>
        <item m="1" x="3895"/>
        <item m="1" x="3899"/>
        <item m="1" x="1226"/>
        <item m="1" x="5639"/>
        <item m="1" x="625"/>
        <item m="1" x="7029"/>
        <item m="1" x="5938"/>
        <item m="1" x="6453"/>
        <item m="1" x="3661"/>
        <item m="1" x="5236"/>
        <item m="1" x="4717"/>
        <item m="1" x="795"/>
        <item m="1" x="171"/>
        <item m="1" x="62"/>
        <item m="1" x="4278"/>
        <item m="1" x="676"/>
        <item m="1" x="4930"/>
        <item m="1" x="4767"/>
        <item m="1" x="534"/>
        <item m="1" x="5041"/>
        <item m="1" x="6672"/>
        <item m="1" x="5333"/>
        <item m="1" x="4667"/>
        <item m="1" x="6392"/>
        <item m="1" x="3755"/>
        <item m="1" x="5641"/>
        <item m="1" x="4539"/>
        <item m="1" x="955"/>
        <item m="1" x="4456"/>
        <item m="1" x="169"/>
        <item m="1" x="5913"/>
        <item m="1" x="5739"/>
        <item m="1" x="1357"/>
        <item m="1" x="1185"/>
        <item m="1" x="5594"/>
        <item m="1" x="5433"/>
        <item m="1" x="1033"/>
        <item m="1" x="5277"/>
        <item m="1" x="868"/>
        <item m="1" x="5113"/>
        <item m="1" x="1648"/>
        <item m="1" x="5880"/>
        <item m="1" x="1499"/>
        <item m="1" x="5582"/>
        <item m="1" x="1166"/>
        <item m="1" x="5416"/>
        <item m="1" x="1013"/>
        <item m="1" x="5256"/>
        <item m="1" x="6022"/>
        <item m="1" x="1636"/>
        <item m="1" x="5730"/>
        <item m="1" x="5869"/>
        <item m="1" x="1484"/>
        <item m="1" x="5716"/>
        <item m="1" x="1323"/>
        <item m="1" x="548"/>
        <item m="1" x="5619"/>
        <item m="1" x="4335"/>
        <item m="1" x="327"/>
        <item m="1" x="2158"/>
        <item m="1" x="3665"/>
        <item m="1" x="6206"/>
        <item m="1" x="5422"/>
        <item m="1" x="1875"/>
        <item m="1" x="6187"/>
        <item m="1" x="6084"/>
        <item m="1" x="6870"/>
        <item m="1" x="1106"/>
        <item m="1" x="4131"/>
        <item m="1" x="1342"/>
        <item m="1" x="2726"/>
        <item m="1" x="4178"/>
        <item m="1" x="562"/>
        <item m="1" x="4796"/>
        <item m="1" x="422"/>
        <item m="1" x="4652"/>
        <item m="1" x="119"/>
        <item m="1" x="4340"/>
        <item m="1" x="1500"/>
        <item m="1" x="1706"/>
        <item m="1" x="167"/>
        <item m="1" x="4779"/>
        <item m="1" x="405"/>
        <item m="1" x="4635"/>
        <item m="1" x="5379"/>
        <item m="1" x="814"/>
        <item m="1" x="5215"/>
        <item m="1" x="976"/>
        <item m="1" x="642"/>
        <item m="1" x="1114"/>
        <item m="1" x="5034"/>
        <item m="1" x="5942"/>
        <item m="1" x="629"/>
        <item m="1" x="5930"/>
        <item m="1" x="5059"/>
        <item m="1" x="1274"/>
        <item m="1" x="4735"/>
        <item m="1" x="5516"/>
        <item m="1" x="4894"/>
        <item m="1" x="506"/>
        <item m="1" x="5362"/>
        <item m="1" x="274"/>
        <item m="1" x="4636"/>
        <item m="1" x="406"/>
        <item m="1" x="6421"/>
        <item m="1" x="7365"/>
        <item m="1" x="3005"/>
        <item m="1" x="1223"/>
        <item m="1" x="4012"/>
        <item m="1" x="6222"/>
        <item m="1" x="3320"/>
        <item m="1" x="5313"/>
        <item m="1" x="7276"/>
        <item m="1" x="2955"/>
        <item m="1" x="7127"/>
        <item m="1" x="2799"/>
        <item m="1" x="6974"/>
        <item m="1" x="2655"/>
        <item m="1" x="7662"/>
        <item m="1" x="3384"/>
        <item m="1" x="7523"/>
        <item m="1" x="3238"/>
        <item m="1" x="7379"/>
        <item m="1" x="2934"/>
        <item m="1" x="7108"/>
        <item m="1" x="2781"/>
        <item m="1" x="7653"/>
        <item m="1" x="6123"/>
        <item m="1" x="3372"/>
        <item m="1" x="7378"/>
        <item m="1" x="7506"/>
        <item m="1" x="2704"/>
        <item m="1" x="3220"/>
        <item m="1" x="6368"/>
        <item m="1" x="3542"/>
        <item m="1" x="790"/>
        <item m="1" x="5653"/>
        <item m="1" x="632"/>
        <item m="1" x="4880"/>
        <item m="1" x="800"/>
        <item m="1" x="5045"/>
        <item m="1" x="960"/>
        <item m="1" x="5199"/>
        <item m="1" x="1256"/>
        <item m="1" x="5496"/>
        <item m="1" x="5345"/>
        <item m="1" x="1100"/>
        <item m="1" x="943"/>
        <item m="1" x="5188"/>
        <item m="1" x="4510"/>
        <item m="1" x="4382"/>
        <item m="1" x="848"/>
        <item m="1" x="2400"/>
        <item m="1" x="563"/>
        <item m="1" x="1133"/>
        <item m="1" x="4909"/>
        <item m="1" x="4748"/>
        <item m="1" x="518"/>
        <item m="1" x="5076"/>
        <item m="1" x="658"/>
        <item m="1" x="991"/>
        <item m="1" x="5237"/>
        <item m="1" x="831"/>
        <item m="1" x="4502"/>
        <item m="1" x="265"/>
        <item m="1" x="4617"/>
        <item m="1" x="4927"/>
        <item m="1" x="673"/>
        <item m="1" x="5094"/>
        <item m="1" x="2554"/>
        <item m="1" x="5119"/>
        <item m="1" x="1566"/>
        <item m="1" x="5334"/>
        <item m="1" x="7668"/>
        <item m="1" x="5801"/>
        <item m="1" x="766"/>
        <item m="1" x="4232"/>
        <item m="1" x="3157"/>
        <item m="1" x="4396"/>
        <item m="1" x="4712"/>
        <item m="1" x="810"/>
        <item m="1" x="1098"/>
        <item m="1" x="1394"/>
        <item m="1" x="6072"/>
        <item m="1" x="1092"/>
        <item m="1" x="3526"/>
        <item m="1" x="4146"/>
        <item m="1" x="4403"/>
        <item m="1" x="7313"/>
        <item m="1" x="5481"/>
        <item m="1" x="4573"/>
        <item m="1" x="6790"/>
        <item m="1" x="5755"/>
        <item m="1" x="3089"/>
        <item m="1" x="7261"/>
        <item m="1" x="5047"/>
        <item m="1" x="302"/>
        <item m="1" x="192"/>
        <item m="1" x="4410"/>
        <item m="1" x="4300"/>
        <item m="1" x="178"/>
        <item m="1" x="4395"/>
        <item m="1" x="65"/>
        <item m="1" x="4284"/>
        <item m="1" x="547"/>
        <item m="1" x="273"/>
        <item m="1" x="288"/>
        <item m="1" x="4526"/>
        <item m="1" x="2401"/>
        <item m="1" x="5835"/>
        <item m="1" x="4630"/>
        <item m="1" x="6165"/>
        <item m="1" x="6200"/>
        <item m="1" x="4780"/>
        <item m="1" x="849"/>
        <item m="1" x="226"/>
        <item m="1" x="933"/>
        <item m="1" x="920"/>
        <item m="1" x="2324"/>
        <item m="1" x="4928"/>
        <item m="1" x="72"/>
        <item m="1" x="7515"/>
        <item m="1" x="5023"/>
        <item m="1" x="531"/>
        <item m="1" x="4764"/>
        <item m="1" x="390"/>
        <item m="1" x="4618"/>
        <item m="1" x="1152"/>
        <item m="1" x="5399"/>
        <item m="1" x="5177"/>
        <item m="1" x="718"/>
        <item m="1" x="1543"/>
        <item m="1" x="6201"/>
        <item m="1" x="5328"/>
        <item m="1" x="1715"/>
        <item m="1" x="5905"/>
        <item m="1" x="7561"/>
        <item m="1" x="5631"/>
        <item m="1" x="6042"/>
        <item m="1" x="4584"/>
        <item m="1" x="5939"/>
        <item m="1" x="2989"/>
        <item m="1" x="1874"/>
        <item m="1" x="4819"/>
        <item m="1" x="3068"/>
        <item m="1" x="7241"/>
        <item m="1" x="2912"/>
        <item m="1" x="7897"/>
        <item m="1" x="2173"/>
        <item m="1" x="2166"/>
        <item m="1" x="5786"/>
        <item m="1" x="1397"/>
        <item m="1" x="1551"/>
        <item m="1" x="2331"/>
        <item m="1" x="5010"/>
        <item m="1" x="4910"/>
        <item m="1" x="693"/>
        <item m="1" x="2993"/>
        <item m="1" x="4749"/>
        <item m="1" x="7171"/>
        <item m="1" x="4964"/>
        <item m="1" x="5540"/>
        <item m="1" x="913"/>
        <item m="1" x="396"/>
        <item m="1" x="3234"/>
        <item m="1" x="577"/>
        <item m="1" x="6081"/>
        <item m="1" x="1798"/>
        <item m="1" x="4226"/>
        <item m="1" x="4097"/>
        <item m="1" x="4545"/>
        <item m="1" x="4857"/>
        <item m="1" x="2010"/>
        <item m="1" x="2211"/>
        <item m="1" x="1036"/>
        <item m="1" x="1134"/>
        <item m="1" x="7569"/>
        <item m="1" x="714"/>
        <item m="1" x="7354"/>
        <item m="1" x="7575"/>
        <item m="1" x="4147"/>
        <item m="1" x="3911"/>
        <item m="1" x="5380"/>
        <item m="1" x="6887"/>
        <item m="1" x="1833"/>
        <item m="1" x="3757"/>
        <item m="1" x="3638"/>
        <item m="1" x="7770"/>
        <item m="1" x="3507"/>
        <item m="1" x="7491"/>
        <item m="1" x="3201"/>
        <item m="1" x="532"/>
        <item m="1" x="3050"/>
        <item m="1" x="3812"/>
        <item m="1" x="977"/>
        <item m="1" x="5908"/>
        <item m="1" x="675"/>
        <item m="1" x="664"/>
        <item m="1" x="5216"/>
        <item m="1" x="815"/>
        <item m="1" x="1447"/>
        <item m="1" x="7169"/>
        <item m="1" x="4863"/>
        <item m="1" x="7043"/>
        <item m="1" x="966"/>
        <item m="1" x="5924"/>
        <item m="1" x="3677"/>
        <item m="1" x="1196"/>
        <item m="1" x="1407"/>
        <item m="1" x="3623"/>
        <item m="1" x="5920"/>
        <item m="1" x="3141"/>
        <item m="1" x="2819"/>
        <item m="1" x="1058"/>
        <item m="1" x="7895"/>
        <item m="1" x="7292"/>
        <item m="1" x="5642"/>
        <item m="1" x="4293"/>
        <item m="1" x="4336"/>
        <item m="1" x="5482"/>
        <item m="1" x="7690"/>
        <item m="1" x="1219"/>
        <item m="1" x="4560"/>
        <item m="1" x="5257"/>
        <item m="1" x="1996"/>
        <item m="1" x="2001"/>
        <item m="1" x="2009"/>
        <item m="1" x="7417"/>
        <item m="1" x="5159"/>
        <item m="1" x="956"/>
        <item m="1" x="7552"/>
        <item m="1" x="6529"/>
        <item m="1" x="5541"/>
        <item m="1" x="7955"/>
        <item m="1" x="1836"/>
        <item m="1" x="2309"/>
        <item m="1" x="249"/>
        <item m="1" x="1887"/>
        <item m="1" x="6096"/>
        <item m="1" x="1240"/>
        <item m="1" x="2013"/>
        <item m="1" x="2577"/>
        <item m="1" x="2197"/>
        <item m="1" x="6381"/>
        <item m="1" x="4868"/>
        <item m="1" x="2866"/>
        <item m="1" x="2024"/>
        <item m="1" x="5546"/>
        <item m="1" x="2295"/>
        <item m="1" x="3464"/>
        <item m="1" x="5904"/>
        <item m="1" x="3287"/>
        <item m="1" x="4435"/>
        <item m="1" x="4119"/>
        <item m="1" x="5787"/>
        <item m="1" x="6223"/>
        <item m="1" x="3773"/>
        <item m="1" x="113"/>
        <item m="1" x="4824"/>
        <item m="1" x="3925"/>
        <item m="1" x="2580"/>
        <item m="1" x="5559"/>
        <item m="1" x="1148"/>
        <item m="1" x="5396"/>
        <item m="1" x="1960"/>
        <item m="1" x="6163"/>
        <item m="1" x="5852"/>
        <item m="1" x="1464"/>
        <item m="1" x="5695"/>
        <item m="1" x="1296"/>
        <item m="1" x="5537"/>
        <item m="1" x="2108"/>
        <item m="1" x="6301"/>
        <item m="1" x="1942"/>
        <item m="1" x="6153"/>
        <item m="1" x="1771"/>
        <item m="1" x="5992"/>
        <item m="1" x="5671"/>
        <item m="1" x="1068"/>
        <item m="1" x="3437"/>
        <item m="1" x="7577"/>
        <item m="1" x="3300"/>
        <item m="1" x="3936"/>
        <item m="1" x="3824"/>
        <item m="1" x="7947"/>
        <item m="1" x="7829"/>
        <item m="1" x="6926"/>
        <item m="1" x="6196"/>
        <item m="1" x="6234"/>
        <item m="1" x="763"/>
        <item m="1" x="6877"/>
        <item m="1" x="5476"/>
        <item m="1" x="5364"/>
        <item m="1" x="386"/>
        <item m="1" x="3528"/>
        <item m="1" x="7167"/>
        <item m="1" x="2162"/>
        <item m="1" x="4145"/>
        <item m="1" x="5632"/>
        <item m="1" x="1398"/>
        <item m="1" x="152"/>
        <item m="1" x="6233"/>
        <item m="1" x="743"/>
        <item m="1" x="79"/>
        <item m="1" x="1871"/>
        <item m="1" x="6080"/>
        <item m="1" x="1704"/>
        <item m="1" x="5929"/>
        <item m="1" x="1544"/>
        <item m="1" x="5627"/>
        <item m="1" x="1034"/>
        <item m="1" x="2033"/>
        <item m="1" x="4553"/>
        <item m="1" x="1230"/>
        <item m="1" x="2470"/>
        <item m="1" x="4352"/>
        <item m="1" x="2342"/>
        <item m="1" x="6393"/>
        <item m="1" x="7022"/>
        <item m="1" x="5625"/>
        <item m="1" x="5160"/>
        <item m="1" x="335"/>
        <item m="1" x="1532"/>
        <item m="1" x="3695"/>
        <item m="1" x="4142"/>
        <item m="1" x="2156"/>
        <item m="1" x="6154"/>
        <item m="1" x="6528"/>
        <item m="1" x="3822"/>
        <item m="1" x="1055"/>
        <item m="1" x="7679"/>
        <item m="1" x="1572"/>
        <item m="1" x="101"/>
        <item m="1" x="2879"/>
        <item m="1" x="7652"/>
        <item m="1" x="2195"/>
        <item m="1" x="2858"/>
        <item m="1" x="91"/>
        <item m="1" x="3426"/>
        <item m="1" x="7617"/>
        <item m="1" x="4269"/>
        <item m="1" x="6087"/>
        <item m="1" x="1468"/>
        <item m="1" x="4225"/>
        <item m="1" x="4850"/>
        <item m="1" x="6231"/>
        <item m="1" x="579"/>
        <item m="1" x="5738"/>
        <item m="1" x="2417"/>
        <item m="1" x="856"/>
        <item m="1" x="2583"/>
        <item m="1" x="3930"/>
        <item m="1" x="2171"/>
        <item m="1" x="2155"/>
        <item m="1" x="2322"/>
        <item m="1" x="1201"/>
        <item m="1" x="6375"/>
        <item m="1" x="224"/>
        <item m="1" x="4600"/>
        <item m="1" x="5748"/>
        <item m="1" x="1167"/>
        <item m="1" x="4550"/>
        <item m="1" x="568"/>
        <item m="1" x="7794"/>
        <item m="1" x="4884"/>
        <item m="1" x="2477"/>
        <item m="1" x="4203"/>
        <item m="1" x="4098"/>
        <item m="1" x="3978"/>
        <item m="1" x="3875"/>
        <item m="1" x="3754"/>
        <item m="1" x="94"/>
        <item m="1" x="4314"/>
        <item m="1" x="4196"/>
        <item m="1" x="4090"/>
        <item m="1" x="3969"/>
        <item m="1" x="7558"/>
        <item m="1" x="3260"/>
        <item m="1" x="7786"/>
        <item m="1" x="5326"/>
        <item m="1" x="2558"/>
        <item m="1" x="6626"/>
        <item m="1" x="2731"/>
        <item m="1" x="3720"/>
        <item m="1" x="6654"/>
        <item m="1" x="7389"/>
        <item m="1" x="3107"/>
        <item m="1" x="6287"/>
        <item m="1" x="2612"/>
        <item m="1" x="1184"/>
        <item m="1" x="7568"/>
        <item m="1" x="3946"/>
        <item m="1" x="3904"/>
        <item m="1" x="1857"/>
        <item m="1" x="4331"/>
        <item m="1" x="6557"/>
        <item m="1" x="7012"/>
        <item m="1" x="236"/>
        <item m="1" x="7685"/>
        <item m="1" x="3381"/>
        <item m="1" x="4901"/>
        <item m="1" x="1846"/>
        <item m="1" x="2193"/>
        <item m="1" x="7923"/>
        <item m="1" x="4864"/>
        <item m="1" x="3182"/>
        <item m="1" x="2910"/>
        <item m="1" x="4544"/>
        <item m="1" x="123"/>
        <item m="1" x="4576"/>
        <item m="1" x="7145"/>
        <item m="1" x="4071"/>
        <item m="1" x="4421"/>
        <item m="1" x="490"/>
        <item m="1" x="4486"/>
        <item m="1" x="1488"/>
        <item m="1" x="6500"/>
        <item m="1" x="222"/>
        <item m="1" x="5486"/>
        <item m="1" x="6354"/>
        <item m="1" x="3099"/>
        <item m="1" x="3891"/>
        <item m="1" x="5921"/>
        <item m="1" x="103"/>
        <item m="1" x="626"/>
        <item m="1" x="7062"/>
        <item m="1" x="6645"/>
        <item m="1" x="2325"/>
        <item m="1" x="992"/>
        <item m="1" x="1376"/>
        <item m="1" x="2779"/>
        <item m="1" x="4827"/>
        <item m="1" x="2334"/>
        <item m="1" x="4470"/>
        <item m="1" x="4432"/>
        <item m="1" x="4239"/>
        <item m="1" x="3410"/>
        <item m="1" x="6929"/>
        <item m="1" x="5791"/>
        <item m="1" x="6346"/>
        <item m="1" x="2137"/>
        <item m="1" x="3010"/>
        <item m="1" x="6517"/>
        <item m="1" x="3535"/>
        <item m="1" x="7755"/>
        <item m="1" x="3488"/>
        <item m="1" x="6883"/>
        <item m="1" x="337"/>
        <item m="1" x="4341"/>
        <item m="1" x="6897"/>
        <item m="1" x="220"/>
        <item m="1" x="6102"/>
        <item m="1" x="7810"/>
        <item m="1" x="4195"/>
        <item m="1" x="326"/>
        <item m="1" x="6247"/>
        <item m="1" x="4574"/>
        <item m="1" x="6078"/>
        <item m="1" x="6788"/>
        <item m="1" x="5957"/>
        <item m="1" x="4404"/>
        <item m="1" x="2172"/>
        <item m="1" x="1301"/>
        <item m="1" x="2579"/>
        <item m="1" x="2466"/>
        <item m="1" x="1344"/>
        <item m="1" x="5093"/>
        <item m="1" x="2728"/>
        <item m="1" x="5777"/>
        <item m="1" x="4802"/>
        <item m="1" x="5241"/>
        <item m="1" x="2727"/>
        <item m="1" x="7432"/>
        <item m="1" x="1993"/>
        <item m="1" x="1995"/>
        <item m="1" x="6643"/>
        <item m="1" x="2249"/>
        <item m="1" x="2492"/>
        <item m="1" x="3506"/>
        <item m="1" x="7635"/>
        <item m="1" x="6771"/>
        <item m="1" x="683"/>
        <item m="1" x="2748"/>
        <item m="1" x="5118"/>
        <item m="1" x="5398"/>
        <item m="1" x="4693"/>
        <item m="1" x="2884"/>
        <item m="1" x="1279"/>
        <item m="1" x="1433"/>
        <item m="1" x="926"/>
        <item m="1" x="3412"/>
        <item m="1" x="5290"/>
        <item m="1" x="523"/>
        <item m="1" x="6843"/>
        <item m="1" x="2597"/>
        <item m="1" x="7676"/>
        <item m="1" x="7122"/>
        <item m="1" x="2829"/>
        <item m="1" x="4569"/>
        <item m="1" x="1735"/>
        <item m="1" x="5322"/>
        <item m="1" x="4870"/>
        <item m="1" x="663"/>
        <item m="1" x="5080"/>
        <item m="1" x="835"/>
        <item m="1" x="7781"/>
        <item m="1" x="5175"/>
        <item m="1" x="5979"/>
        <item m="1" x="2051"/>
        <item m="1" x="1392"/>
        <item m="1" x="6786"/>
        <item m="1" x="645"/>
        <item m="1" x="5382"/>
        <item m="1" x="4972"/>
        <item m="1" x="1303"/>
        <item m="1" x="1135"/>
        <item m="1" x="5542"/>
        <item m="1" x="429"/>
        <item m="1" x="218"/>
        <item m="1" x="1838"/>
        <item m="1" x="4551"/>
        <item m="1" x="2448"/>
        <item m="1" x="5015"/>
        <item m="1" x="6057"/>
        <item m="1" x="5264"/>
        <item m="1" x="4213"/>
        <item m="1" x="4549"/>
        <item m="1" x="980"/>
        <item m="1" x="2047"/>
        <item m="1" x="2053"/>
        <item m="1" x="4816"/>
        <item m="1" x="3817"/>
        <item m="1" x="5677"/>
        <item m="1" x="5060"/>
        <item m="1" x="4132"/>
        <item m="1" x="138"/>
        <item m="1" x="7756"/>
        <item m="1" x="6023"/>
        <item m="1" x="2740"/>
        <item m="1" x="804"/>
        <item m="1" x="5203"/>
        <item m="1" x="3994"/>
        <item m="1" x="2893"/>
        <item m="1" x="318"/>
        <item m="1" x="6043"/>
        <item m="1" x="6316"/>
        <item m="1" x="999"/>
        <item m="1" x="6914"/>
        <item m="1" x="330"/>
        <item m="1" x="465"/>
        <item m="1" x="5435"/>
        <item m="1" x="7885"/>
        <item m="1" x="2217"/>
        <item m="1" x="2585"/>
        <item m="1" x="3285"/>
        <item m="1" x="7134"/>
        <item m="1" x="5819"/>
        <item m="1" x="5524"/>
        <item m="1" x="5906"/>
        <item m="1" x="7847"/>
        <item m="1" x="3235"/>
        <item m="1" x="4236"/>
        <item m="1" x="4825"/>
        <item m="1" x="599"/>
        <item m="1" x="5370"/>
        <item m="1" x="4989"/>
        <item m="1" x="5291"/>
        <item m="1" x="5584"/>
        <item m="1" x="5856"/>
        <item m="1" x="6137"/>
        <item m="1" x="6657"/>
        <item m="1" x="6916"/>
        <item m="1" x="7189"/>
        <item m="1" x="6779"/>
        <item m="1" x="6638"/>
        <item m="1" x="6514"/>
        <item m="1" x="6364"/>
        <item m="1" x="6212"/>
        <item m="1" x="6063"/>
        <item m="1" x="5910"/>
        <item m="1" x="5766"/>
        <item m="1" x="5616"/>
        <item m="1" x="7190"/>
        <item m="1" x="7049"/>
        <item m="1" x="6904"/>
        <item m="1" x="6769"/>
        <item m="1" x="6505"/>
        <item m="1" x="5208"/>
        <item m="1" x="808"/>
        <item m="1" x="3383"/>
        <item m="1" x="1306"/>
        <item m="1" x="3404"/>
        <item m="1" x="736"/>
        <item m="1" x="5803"/>
        <item m="1" x="1408"/>
        <item m="1" x="5223"/>
        <item m="1" x="5292"/>
        <item m="1" x="7920"/>
        <item m="1" x="4417"/>
        <item m="1" x="828"/>
        <item m="1" x="6488"/>
        <item m="1" x="7396"/>
        <item m="1" x="2600"/>
        <item m="1" x="5019"/>
        <item m="1" x="5740"/>
        <item m="1" x="820"/>
        <item m="1" x="5220"/>
        <item m="1" x="5520"/>
        <item m="1" x="5500"/>
        <item m="1" x="780"/>
        <item m="1" x="637"/>
        <item m="1" x="4379"/>
        <item m="1" x="7204"/>
        <item m="1" x="5038"/>
        <item m="1" x="2145"/>
        <item m="1" x="4583"/>
        <item m="1" x="4988"/>
        <item m="1" x="6777"/>
        <item m="1" x="602"/>
        <item m="1" x="4561"/>
        <item m="1" x="4898"/>
        <item m="1" x="5064"/>
        <item m="1" x="7353"/>
        <item m="1" x="3200"/>
        <item m="1" x="3772"/>
        <item m="1" x="4438"/>
        <item m="1" x="855"/>
        <item m="1" x="5192"/>
        <item m="1" x="6757"/>
        <item m="1" x="4981"/>
        <item m="1" x="5841"/>
        <item m="1" x="1453"/>
        <item m="1" x="7425"/>
        <item m="1" x="3293"/>
        <item m="1" x="4842"/>
        <item m="1" x="963"/>
        <item m="1" x="5190"/>
        <item m="1" x="945"/>
        <item m="1" x="5348"/>
        <item m="1" x="5659"/>
        <item m="1" x="1988"/>
        <item m="1" x="5155"/>
        <item m="1" x="5007"/>
        <item m="1" x="7666"/>
        <item m="1" x="5526"/>
        <item m="1" x="1434"/>
        <item m="1" x="5354"/>
        <item m="1" x="1663"/>
        <item m="1" x="7146"/>
        <item m="1" x="461"/>
        <item m="1" x="967"/>
        <item m="1" x="5647"/>
        <item m="1" x="3431"/>
        <item m="1" x="4860"/>
        <item m="1" x="3692"/>
        <item m="1" x="1220"/>
        <item m="1" x="4442"/>
        <item m="1" x="4483"/>
        <item m="1" x="6193"/>
        <item m="1" x="201"/>
        <item m="1" x="60"/>
        <item m="1" x="7571"/>
        <item m="1" x="2218"/>
        <item m="1" x="5806"/>
        <item m="1" x="740"/>
        <item m="1" x="590"/>
        <item m="1" x="494"/>
        <item m="1" x="3180"/>
        <item m="1" x="4688"/>
        <item m="1" x="1047"/>
        <item m="1" x="3719"/>
        <item m="1" x="6337"/>
        <item m="1" x="5523"/>
        <item m="1" x="4210"/>
        <item m="1" x="3814"/>
        <item m="1" x="3889"/>
        <item m="1" x="5634"/>
        <item m="1" x="2574"/>
        <item m="1" x="5900"/>
        <item m="1" x="1388"/>
        <item m="1" x="4841"/>
        <item m="1" x="7042"/>
        <item m="1" x="5457"/>
        <item m="1" x="7202"/>
        <item m="1" x="5882"/>
        <item m="1" x="5278"/>
        <item m="1" x="2710"/>
        <item m="1" x="1470"/>
        <item m="1" x="2877"/>
        <item m="1" x="5350"/>
        <item m="1" x="4491"/>
        <item m="1" x="2838"/>
        <item m="1" x="5753"/>
        <item m="1" x="5369"/>
        <item m="1" x="5778"/>
        <item m="1" x="4944"/>
        <item m="1" x="2031"/>
        <item m="1" x="997"/>
        <item m="1" x="6182"/>
        <item m="1" x="4953"/>
        <item m="1" x="703"/>
        <item m="1" x="7048"/>
        <item m="1" x="4523"/>
        <item m="1" x="5993"/>
        <item m="1" x="1389"/>
        <item m="1" x="2604"/>
        <item m="1" x="6168"/>
        <item m="1" x="4297"/>
        <item m="1" x="5638"/>
        <item m="1" x="84"/>
        <item m="1" x="4612"/>
        <item m="1" x="5009"/>
        <item m="1" x="4577"/>
        <item m="1" x="1691"/>
        <item m="1" x="5157"/>
        <item m="1" x="665"/>
        <item m="1" x="229"/>
        <item m="1" x="137"/>
        <item m="1" x="5756"/>
        <item m="1" x="4787"/>
        <item m="1" x="4993"/>
        <item m="1" x="5444"/>
        <item m="1" x="1048"/>
        <item m="1" x="1189"/>
        <item m="1" x="6612"/>
        <item m="1" x="758"/>
        <item m="1" x="5752"/>
        <item m="1" x="7661"/>
        <item m="1" x="6350"/>
        <item m="1" x="7158"/>
        <item m="1" x="413"/>
        <item m="1" x="4643"/>
        <item m="1" x="3022"/>
        <item m="1" x="5595"/>
        <item m="1" x="611"/>
        <item m="1" x="4321"/>
        <item m="1" x="4258"/>
        <item m="1" x="737"/>
        <item m="1" x="342"/>
        <item m="1" x="5395"/>
        <item m="1" x="5309"/>
        <item m="1" x="782"/>
        <item m="1" x="6878"/>
        <item m="1" x="3849"/>
        <item m="1" x="6394"/>
        <item m="1" x="1708"/>
        <item m="1" x="4112"/>
        <item m="1" x="6268"/>
        <item m="1" x="1650"/>
        <item m="1" x="1987"/>
        <item m="1" x="7194"/>
        <item m="1" x="354"/>
        <item m="1" x="4212"/>
        <item m="1" x="155"/>
        <item m="1" x="1574"/>
        <item m="1" x="751"/>
        <item m="1" x="4500"/>
        <item m="1" x="1678"/>
        <item m="1" x="2869"/>
        <item m="1" x="4762"/>
        <item m="1" x="388"/>
        <item m="1" x="4615"/>
        <item m="1" x="263"/>
        <item m="1" x="4370"/>
        <item m="1" x="42"/>
        <item m="1" x="30"/>
        <item m="1" x="6927"/>
        <item m="1" x="3931"/>
        <item m="1" x="7055"/>
        <item m="1" x="246"/>
        <item m="1" x="2076"/>
        <item m="1" x="495"/>
        <item m="1" x="1707"/>
        <item m="1" x="4593"/>
        <item m="1" x="4878"/>
        <item m="1" x="4746"/>
        <item m="1" x="516"/>
        <item m="1" x="4907"/>
        <item m="1" x="656"/>
        <item m="1" x="376"/>
        <item m="1" x="4605"/>
        <item m="1" x="253"/>
        <item m="1" x="4489"/>
        <item m="1" x="4262"/>
        <item m="1" x="148"/>
        <item m="1" x="4581"/>
        <item m="1" x="3815"/>
        <item m="1" x="812"/>
        <item m="1" x="908"/>
        <item m="1" x="958"/>
        <item m="1" x="3163"/>
        <item m="1" x="1070"/>
        <item m="1" x="7670"/>
        <item m="1" x="4741"/>
        <item m="1" x="4481"/>
        <item m="1" x="370"/>
        <item m="1" x="4892"/>
        <item m="1" x="4733"/>
        <item m="1" x="4856"/>
        <item m="1" x="6071"/>
        <item m="1" x="3678"/>
        <item m="1" x="6048"/>
        <item m="1" x="4846"/>
        <item m="1" x="6152"/>
        <item m="1" x="7797"/>
        <item m="1" x="314"/>
        <item m="1" x="504"/>
        <item m="1" x="798"/>
        <item m="1" x="248"/>
        <item m="1" x="6608"/>
        <item m="1" x="1855"/>
        <item m="1" x="7186"/>
        <item m="1" x="4596"/>
        <item m="1" x="5197"/>
        <item m="1" x="7456"/>
        <item m="1" x="788"/>
        <item m="1" x="6874"/>
        <item m="1" x="5032"/>
        <item m="1" x="3753"/>
        <item m="1" x="3023"/>
        <item m="1" x="497"/>
        <item m="1" x="4724"/>
        <item m="1" x="363"/>
        <item m="1" x="909"/>
        <item m="1" x="4205"/>
        <item m="1" x="1099"/>
        <item m="1" x="4592"/>
        <item m="1" x="918"/>
        <item m="1" x="3947"/>
        <item m="1" x="7434"/>
        <item m="1" x="6507"/>
        <item m="1" x="6632"/>
        <item m="1" x="230"/>
        <item m="1" x="1231"/>
        <item m="1" x="5673"/>
        <item m="1" x="636"/>
        <item m="1" x="4434"/>
        <item m="1" x="4838"/>
        <item m="1" x="6251"/>
        <item m="1" x="2232"/>
        <item m="1" x="1195"/>
        <item m="1" x="1755"/>
        <item m="1" x="4720"/>
        <item m="1" x="4655"/>
        <item m="1" x="4032"/>
        <item m="1" x="2713"/>
        <item m="1" x="2859"/>
        <item m="1" x="1666"/>
        <item m="1" x="942"/>
        <item m="1" x="5344"/>
        <item m="1" x="4541"/>
        <item m="1" x="194"/>
        <item m="1" x="4412"/>
        <item m="1" x="7222"/>
        <item m="1" x="7166"/>
        <item m="1" x="6455"/>
        <item m="1" x="4837"/>
        <item m="1" x="5775"/>
        <item m="1" x="7330"/>
        <item m="1" x="1524"/>
        <item m="1" x="739"/>
        <item m="1" x="3257"/>
        <item m="1" x="5320"/>
        <item m="1" x="202"/>
        <item m="1" x="4975"/>
        <item m="1" x="1998"/>
        <item m="1" x="5186"/>
        <item m="1" x="5552"/>
        <item m="1" x="1142"/>
        <item m="1" x="5389"/>
        <item m="1" x="986"/>
        <item m="1" x="5231"/>
        <item m="1" x="826"/>
        <item m="1" x="5072"/>
        <item m="1" x="654"/>
        <item m="1" x="4903"/>
        <item m="1" x="1456"/>
        <item m="1" x="5685"/>
        <item m="1" x="1287"/>
        <item m="1" x="5529"/>
        <item m="1" x="1126"/>
        <item m="1" x="4994"/>
        <item m="1" x="1525"/>
        <item m="1" x="5917"/>
        <item m="1" x="1065"/>
        <item m="1" x="3656"/>
        <item m="1" x="442"/>
        <item m="1" x="4671"/>
        <item m="1" x="3566"/>
        <item m="1" x="3000"/>
        <item m="1" x="7548"/>
        <item m="1" x="7406"/>
        <item m="1" x="1587"/>
        <item m="1" x="309"/>
        <item m="1" x="4440"/>
        <item m="1" x="427"/>
        <item m="1" x="2881"/>
        <item m="1" x="5308"/>
        <item m="1" x="2305"/>
        <item m="1" x="475"/>
        <item m="1" x="5164"/>
        <item m="1" x="5299"/>
        <item m="1" x="4546"/>
        <item m="1" x="4706"/>
        <item m="1" x="954"/>
        <item m="1" x="3318"/>
        <item m="1" x="6456"/>
        <item m="1" x="197"/>
        <item m="1" x="3921"/>
        <item m="1" x="3165"/>
        <item m="1" x="2265"/>
        <item m="1" x="21"/>
        <item m="1" x="6756"/>
        <item m="1" x="7678"/>
        <item m="1" x="5163"/>
        <item m="1" x="6954"/>
        <item m="1" x="905"/>
        <item m="1" x="4590"/>
        <item m="1" x="4375"/>
        <item m="1" x="234"/>
        <item m="1" x="4306"/>
        <item m="1" x="7325"/>
        <item m="1" x="4419"/>
        <item m="1" x="728"/>
        <item m="1" x="83"/>
        <item m="1" x="1079"/>
        <item m="1" x="4623"/>
        <item m="1" x="1386"/>
        <item m="1" x="4133"/>
        <item m="1" x="1428"/>
        <item m="1" x="2979"/>
        <item m="1" x="4632"/>
        <item m="1" x="4760"/>
        <item m="1" x="5318"/>
        <item m="1" x="7809"/>
        <item m="1" x="3020"/>
        <item m="1" x="7631"/>
        <item m="1" x="6318"/>
        <item m="1" x="2555"/>
        <item m="1" x="4305"/>
        <item m="1" x="500"/>
        <item m="1" x="7183"/>
        <item m="1" x="1847"/>
        <item m="1" x="5911"/>
        <item m="1" x="7395"/>
        <item m="1" x="6440"/>
        <item m="1" x="7587"/>
        <item m="1" x="3913"/>
        <item m="1" x="49"/>
        <item m="1" x="3216"/>
        <item m="1" x="4965"/>
        <item m="1" x="3636"/>
        <item m="1" x="151"/>
        <item m="1" x="2894"/>
        <item m="1" x="4469"/>
        <item m="1" x="759"/>
        <item m="1" x="6702"/>
        <item m="1" x="570"/>
        <item m="1" x="6767"/>
        <item m="1" x="5306"/>
        <item m="1" x="7471"/>
        <item m="1" x="6614"/>
        <item m="1" x="3792"/>
        <item m="1" x="5452"/>
        <item m="1" x="904"/>
        <item m="1" x="4807"/>
        <item m="1" x="431"/>
        <item m="1" x="4660"/>
        <item m="1" x="297"/>
        <item m="1" x="4535"/>
        <item m="1" x="188"/>
        <item m="1" x="3873"/>
        <item m="1" x="4406"/>
        <item m="1" x="705"/>
        <item m="1" x="2833"/>
        <item m="1" x="5127"/>
        <item m="1" x="4955"/>
        <item m="1" x="5330"/>
        <item m="1" x="2092"/>
        <item m="1" x="1218"/>
        <item m="1" x="5474"/>
        <item m="1" x="5870"/>
        <item m="1" x="5498"/>
        <item m="1" x="1258"/>
        <item m="1" x="765"/>
        <item m="1" x="7319"/>
        <item m="1" x="3918"/>
        <item m="1" x="7749"/>
        <item m="1" x="3766"/>
        <item m="1" x="7894"/>
        <item m="1" x="2200"/>
        <item m="1" x="722"/>
        <item m="1" x="3987"/>
        <item m="1" x="73"/>
        <item m="1" x="5268"/>
        <item m="1" x="4519"/>
        <item m="1" x="1024"/>
        <item m="1" x="4645"/>
        <item m="1" x="7428"/>
        <item m="1" x="6776"/>
        <item m="1" x="3288"/>
        <item m="1" x="7814"/>
        <item m="1" x="283"/>
        <item m="1" x="4851"/>
        <item m="1" x="4789"/>
        <item m="1" x="557"/>
        <item m="1" x="6738"/>
        <item m="1" x="415"/>
        <item m="1" x="7562"/>
        <item m="1" x="4916"/>
        <item m="1" x="6034"/>
        <item m="1" x="468"/>
        <item m="1" x="3179"/>
        <item m="1" x="399"/>
        <item m="1" x="4229"/>
        <item m="1" x="7165"/>
        <item m="1" x="3130"/>
        <item m="1" x="4940"/>
        <item m="1" x="524"/>
        <item m="1" x="3144"/>
        <item m="1" x="542"/>
        <item m="1" x="948"/>
        <item m="1" x="7272"/>
        <item m="1" x="6917"/>
        <item m="1" x="6778"/>
        <item m="1" x="4774"/>
        <item m="1" x="7816"/>
        <item m="1" x="946"/>
        <item m="1" x="842"/>
        <item m="1" x="5089"/>
        <item m="1" x="668"/>
        <item m="1" x="5249"/>
        <item m="1" x="1005"/>
        <item m="1" x="5407"/>
        <item m="1" x="1158"/>
        <item m="1" x="4629"/>
        <item m="1" x="7454"/>
        <item m="1" x="4753"/>
        <item m="1" x="4756"/>
        <item m="1" x="1313"/>
        <item m="1" x="231"/>
        <item m="1" x="5459"/>
        <item m="1" x="4273"/>
        <item m="1" x="4887"/>
        <item m="1" x="6327"/>
        <item m="1" x="2317"/>
        <item m="1" x="7168"/>
        <item m="1" x="1906"/>
        <item m="1" x="382"/>
        <item m="1" x="6232"/>
        <item m="1" x="6353"/>
        <item m="1" x="1590"/>
        <item m="1" x="5821"/>
        <item m="1" x="1431"/>
        <item m="1" x="5657"/>
        <item m="1" x="6330"/>
        <item m="1" x="4029"/>
        <item m="1" x="2707"/>
        <item m="1" x="7376"/>
        <item m="1" x="612"/>
        <item m="1" x="1211"/>
        <item m="1" x="4221"/>
        <item m="1" x="3336"/>
        <item m="1" x="2416"/>
        <item m="1" x="31"/>
        <item m="1" x="3847"/>
        <item m="1" x="3084"/>
        <item m="1" x="3861"/>
        <item m="1" x="6497"/>
        <item m="1" x="6875"/>
        <item m="1" x="1364"/>
        <item m="1" x="2452"/>
        <item m="1" x="7295"/>
        <item m="1" x="7423"/>
        <item m="1" x="3262"/>
        <item m="1" x="4027"/>
        <item m="1" x="1379"/>
        <item m="1" x="7318"/>
        <item m="1" x="7397"/>
        <item m="1" x="1876"/>
        <item m="1" x="717"/>
        <item m="1" x="368"/>
        <item m="1" x="4151"/>
        <item m="1" x="511"/>
        <item m="1" x="3195"/>
        <item m="1" x="2356"/>
        <item m="1" x="3400"/>
        <item m="1" x="3554"/>
        <item m="1" x="98"/>
        <item m="1" x="3548"/>
        <item m="1" x="7141"/>
        <item m="1" x="7726"/>
        <item m="1" x="2533"/>
        <item m="1" x="1852"/>
        <item m="1" x="293"/>
        <item m="1" x="4742"/>
        <item m="1" x="6099"/>
        <item m="1" x="5945"/>
        <item m="1" x="2201"/>
        <item m="1" x="3909"/>
        <item m="1" x="1791"/>
        <item m="1" x="2157"/>
        <item m="1" x="4089"/>
        <item m="1" x="1684"/>
        <item m="1" x="3263"/>
        <item m="1" x="6352"/>
        <item m="1" x="5067"/>
        <item m="1" x="1608"/>
        <item m="1" x="7056"/>
        <item m="1" x="7293"/>
        <item m="1" x="4216"/>
        <item m="1" x="7913"/>
        <item m="1" x="1856"/>
        <item m="1" x="3797"/>
        <item m="1" x="7664"/>
        <item m="1" x="5458"/>
        <item m="1" x="38"/>
        <item m="1" x="2984"/>
        <item m="1" x="6888"/>
        <item m="1" x="1681"/>
        <item m="1" x="501"/>
        <item m="1" x="7175"/>
        <item m="1" x="4899"/>
        <item m="1" x="7155"/>
        <item m="1" x="3663"/>
        <item m="1" x="4044"/>
        <item m="1" x="135"/>
        <item m="1" x="7350"/>
        <item m="1" x="3562"/>
        <item m="1" x="7124"/>
        <item m="1" x="2834"/>
        <item m="1" x="489"/>
        <item m="1" x="3484"/>
        <item m="1" x="1329"/>
        <item m="1" x="2444"/>
        <item m="1" x="4739"/>
        <item m="1" x="381"/>
        <item m="1" x="6061"/>
        <item m="1" x="2730"/>
        <item m="1" x="313"/>
        <item m="1" x="1752"/>
        <item m="1" x="7017"/>
        <item m="1" x="499"/>
        <item m="1" x="7572"/>
        <item m="1" x="4211"/>
        <item m="1" x="1851"/>
        <item m="1" x="6427"/>
        <item m="1" x="2080"/>
        <item m="1" x="2253"/>
        <item m="1" x="6575"/>
        <item m="1" x="6548"/>
        <item m="1" x="6707"/>
        <item m="1" x="4698"/>
        <item m="1" x="7796"/>
        <item m="1" x="4292"/>
        <item m="1" x="1946"/>
        <item m="1" x="2389"/>
        <item m="1" x="112"/>
        <item m="1" x="6848"/>
        <item m="1" x="7182"/>
        <item m="1" x="2362"/>
        <item m="1" x="2524"/>
        <item m="1" x="4354"/>
        <item m="1" x="6799"/>
        <item m="1" x="4852"/>
        <item m="1" x="478"/>
        <item m="1" x="3618"/>
        <item m="1" x="130"/>
        <item m="1" x="1682"/>
        <item m="1" x="4256"/>
        <item m="1" x="6832"/>
        <item m="1" x="6975"/>
        <item m="1" x="2513"/>
        <item m="1" x="6691"/>
        <item m="1" x="2374"/>
        <item m="1" x="2237"/>
        <item m="1" x="6562"/>
        <item m="1" x="2496"/>
        <item m="1" x="5596"/>
        <item m="1" x="325"/>
        <item m="1" x="4690"/>
        <item m="1" x="2613"/>
        <item m="1" x="3421"/>
        <item m="1" x="6357"/>
        <item m="1" x="6867"/>
        <item m="1" x="7599"/>
        <item m="1" x="6254"/>
        <item m="1" x="809"/>
        <item m="1" x="2634"/>
        <item m="1" x="2783"/>
        <item m="1" x="6958"/>
        <item m="1" x="6821"/>
        <item m="1" x="4035"/>
        <item m="1" x="260"/>
        <item m="1" x="3834"/>
        <item m="1" x="2656"/>
        <item m="1" x="2302"/>
        <item m="1" x="3971"/>
        <item m="1" x="1776"/>
        <item m="1" x="6274"/>
        <item m="1" x="6677"/>
        <item m="1" x="6365"/>
        <item m="1" x="5248"/>
        <item m="1" x="3859"/>
        <item m="1" x="646"/>
        <item m="1" x="7566"/>
        <item m="1" x="3070"/>
        <item m="1" x="2455"/>
        <item m="1" x="7957"/>
        <item m="1" x="5088"/>
        <item m="1" x="1471"/>
        <item m="1" x="7242"/>
        <item m="1" x="2914"/>
        <item m="1" x="2983"/>
        <item m="1" x="5282"/>
        <item m="1" x="2878"/>
        <item m="1" x="7881"/>
        <item m="1" x="1573"/>
        <item m="1" x="3406"/>
        <item m="1" x="6998"/>
        <item m="1" x="1311"/>
        <item m="1" x="5387"/>
        <item m="1" x="5959"/>
        <item m="1" x="1734"/>
        <item m="1" x="5720"/>
        <item m="1" x="1332"/>
        <item m="1" x="7088"/>
        <item m="1" x="7207"/>
        <item m="1" x="1377"/>
        <item m="1" x="5040"/>
        <item m="1" x="6289"/>
        <item m="1" x="6189"/>
        <item m="1" x="5572"/>
        <item m="1" x="1157"/>
        <item m="1" x="5406"/>
        <item m="1" x="2617"/>
        <item m="1" x="33"/>
        <item m="1" x="910"/>
        <item m="1" x="7547"/>
        <item m="1" x="6809"/>
        <item m="1" x="6371"/>
        <item m="1" x="5074"/>
        <item m="1" x="2576"/>
        <item m="1" x="1004"/>
        <item m="1" x="3846"/>
        <item m="1" x="190"/>
        <item m="1" x="132"/>
        <item m="1" x="6319"/>
        <item m="1" x="921"/>
        <item m="1" x="6052"/>
        <item m="1" x="5304"/>
        <item m="1" x="3551"/>
        <item m="1" x="1186"/>
        <item m="1" x="5662"/>
        <item m="1" x="3860"/>
        <item m="1" x="105"/>
        <item m="1" x="1870"/>
        <item m="1" x="1944"/>
        <item m="1" x="2491"/>
        <item m="1" x="6737"/>
        <item m="1" x="4453"/>
        <item m="1" x="841"/>
        <item m="1" x="5550"/>
        <item m="1" x="1140"/>
        <item m="1" x="4697"/>
        <item m="1" x="5858"/>
        <item m="1" x="1625"/>
        <item m="1" x="1454"/>
        <item m="1" x="4533"/>
        <item m="1" x="681"/>
        <item m="1" x="935"/>
        <item m="1" x="998"/>
        <item m="1" x="5230"/>
        <item m="1" x="3145"/>
        <item m="1" x="7031"/>
        <item m="1" x="3798"/>
        <item m="1" x="4701"/>
        <item m="1" x="2482"/>
        <item m="1" x="53"/>
        <item m="1" x="6662"/>
        <item m="1" x="985"/>
        <item m="1" x="5055"/>
        <item m="1" x="1611"/>
        <item m="1" x="5842"/>
        <item m="1" x="7149"/>
        <item m="1" x="1057"/>
        <item m="1" x="6105"/>
        <item m="1" x="4566"/>
        <item m="1" x="2849"/>
        <item m="1" x="2042"/>
        <item m="1" x="3052"/>
        <item m="1" x="7355"/>
        <item m="1" x="7225"/>
        <item m="1" x="768"/>
        <item m="1" x="5527"/>
        <item m="1" x="1125"/>
        <item m="1" x="1285"/>
        <item m="1" x="5683"/>
        <item m="1" x="6139"/>
        <item m="1" x="5373"/>
        <item m="1" x="1929"/>
        <item m="1" x="1758"/>
        <item m="1" x="1437"/>
        <item m="1" x="1265"/>
        <item m="1" x="5506"/>
        <item m="1" x="3922"/>
        <item m="1" x="2077"/>
        <item m="1" x="6275"/>
        <item m="1" x="4759"/>
        <item m="1" x="3286"/>
        <item m="1" x="1913"/>
        <item m="1" x="2718"/>
        <item m="1" x="2449"/>
        <item m="1" x="6074"/>
        <item m="1" x="724"/>
        <item m="1" x="6125"/>
        <item m="1" x="1741"/>
        <item m="1" x="7632"/>
        <item m="1" x="5117"/>
        <item m="1" x="3167"/>
        <item m="1" x="2003"/>
        <item m="1" x="7821"/>
        <item m="1" x="3568"/>
        <item m="1" x="3778"/>
        <item m="1" x="5703"/>
        <item m="1" x="7688"/>
        <item m="1" x="4497"/>
        <item m="1" x="3281"/>
        <item m="1" x="3809"/>
        <item m="1" x="285"/>
        <item m="1" x="1370"/>
        <item m="1" x="4507"/>
        <item m="1" x="7528"/>
        <item m="1" x="1619"/>
        <item m="1" x="692"/>
        <item m="1" x="5809"/>
        <item m="1" x="6409"/>
        <item m="1" x="7615"/>
        <item m="1" x="269"/>
        <item m="1" x="4686"/>
        <item m="1" x="144"/>
        <item m="1" x="5795"/>
        <item m="1" x="2149"/>
        <item m="1" x="3802"/>
        <item m="1" x="6543"/>
        <item m="1" x="5424"/>
        <item m="1" x="5051"/>
        <item m="1" x="3268"/>
        <item m="1" x="1501"/>
        <item m="1" x="2358"/>
        <item m="1" x="4731"/>
        <item m="1" x="1740"/>
        <item m="1" x="6242"/>
        <item m="1" x="2221"/>
        <item m="1" x="6256"/>
        <item m="1" x="6544"/>
        <item m="1" x="6397"/>
        <item m="1" x="7156"/>
        <item m="1" x="2413"/>
        <item m="1" x="2508"/>
        <item m="1" x="7142"/>
        <item m="1" x="5672"/>
        <item m="1" x="6124"/>
        <item m="1" x="7937"/>
        <item m="1" x="5936"/>
        <item m="1" x="2002"/>
        <item m="1" x="6090"/>
        <item m="1" x="7040"/>
        <item m="1" x="4923"/>
        <item m="1" x="6442"/>
        <item m="1" x="48"/>
        <item m="1" x="1879"/>
        <item m="1" x="5408"/>
        <item m="1" x="1006"/>
        <item m="1" x="5649"/>
        <item m="1" x="1249"/>
        <item m="1" x="2341"/>
        <item m="1" x="6659"/>
        <item m="1" x="1865"/>
        <item m="1" x="6086"/>
        <item m="1" x="2057"/>
        <item m="1" x="987"/>
        <item m="1" x="5968"/>
        <item m="1" x="5947"/>
        <item m="1" x="1724"/>
        <item m="1" x="6104"/>
        <item m="1" x="1891"/>
        <item m="1" x="2820"/>
        <item m="1" x="3308"/>
        <item m="1" x="3402"/>
        <item m="1" x="5352"/>
        <item m="1" x="7539"/>
        <item m="1" x="5932"/>
        <item m="1" x="6866"/>
        <item m="1" x="3687"/>
        <item m="1" x="5687"/>
        <item m="1" x="1289"/>
        <item m="1" x="5948"/>
        <item m="1" x="1725"/>
        <item m="1" x="1892"/>
        <item m="1" x="6257"/>
        <item m="1" x="2060"/>
        <item m="1" x="2345"/>
        <item m="1" x="6532"/>
        <item m="1" x="2204"/>
        <item m="1" x="6386"/>
        <item m="1" x="5353"/>
        <item m="1" x="7006"/>
        <item m="1" x="3425"/>
        <item m="1" x="5538"/>
        <item m="1" x="7648"/>
        <item m="1" x="3267"/>
        <item m="1" x="2605"/>
        <item m="1" x="838"/>
        <item m="1" x="4063"/>
        <item m="1" x="7573"/>
        <item m="1" x="6396"/>
        <item m="1" x="1945"/>
        <item m="1" x="7820"/>
        <item m="1" x="1232"/>
        <item m="1" x="6343"/>
        <item m="1" x="7543"/>
        <item m="1" x="1348"/>
        <item m="1" x="1620"/>
        <item m="1" x="3935"/>
        <item m="1" x="4018"/>
        <item m="1" x="7822"/>
        <item m="1" x="2314"/>
        <item m="1" x="1711"/>
        <item m="1" x="1710"/>
        <item m="1" x="5935"/>
        <item m="1" x="2344"/>
        <item m="1" x="6531"/>
        <item m="1" x="5802"/>
        <item m="1" x="1568"/>
        <item m="1" x="493"/>
        <item m="1" x="5359"/>
        <item m="1" x="3266"/>
        <item m="1" x="7924"/>
        <item m="1" x="6226"/>
        <item m="1" x="7128"/>
        <item m="1" x="2800"/>
        <item m="1" x="2657"/>
        <item m="1" x="1451"/>
        <item m="1" x="162"/>
        <item m="1" x="2027"/>
        <item m="1" x="4388"/>
        <item m="1" x="1474"/>
        <item m="1" x="5844"/>
        <item m="1" x="4805"/>
        <item m="1" x="7921"/>
        <item m="1" x="1781"/>
        <item m="1" x="5999"/>
        <item m="1" x="1613"/>
        <item m="1" x="7707"/>
        <item m="1" x="6636"/>
        <item m="1" x="971"/>
        <item m="1" x="5211"/>
        <item m="1" x="713"/>
        <item m="1" x="5512"/>
        <item m="1" x="1457"/>
        <item m="1" x="1288"/>
        <item m="1" x="5530"/>
        <item m="1" x="227"/>
        <item m="1" x="2019"/>
        <item m="1" x="5686"/>
        <item m="1" x="5425"/>
        <item m="1" x="1760"/>
        <item m="1" x="3686"/>
        <item m="1" x="7987"/>
        <item m="1" x="1174"/>
        <item m="1" x="6518"/>
        <item m="1" x="3277"/>
        <item m="1" x="1511"/>
        <item m="1" x="5507"/>
        <item m="1" x="1110"/>
        <item m="1" x="5357"/>
        <item m="1" x="46"/>
        <item m="1" x="3403"/>
        <item m="1" x="1577"/>
        <item m="1" x="6830"/>
        <item m="1" x="3816"/>
        <item m="1" x="1733"/>
        <item m="1" x="4233"/>
        <item m="1" x="5360"/>
        <item m="1" x="4107"/>
        <item m="1" x="7819"/>
        <item m="1" x="1038"/>
        <item m="1" x="1190"/>
        <item m="1" x="5783"/>
        <item m="1" x="5982"/>
        <item m="1" x="5207"/>
        <item m="1" x="649"/>
        <item m="1" x="2976"/>
        <item m="1" x="4473"/>
        <item m="1" x="608"/>
        <item m="1" x="1915"/>
        <item m="1" x="6127"/>
        <item m="1" x="1984"/>
        <item m="1" x="2233"/>
        <item m="1" x="6598"/>
        <item m="1" x="1282"/>
        <item m="1" x="6369"/>
        <item m="1" x="2181"/>
        <item m="1" x="4251"/>
        <item m="1" x="5573"/>
        <item m="1" x="2997"/>
        <item m="1" x="3564"/>
        <item m="1" x="2278"/>
        <item m="1" x="3433"/>
        <item m="1" x="4935"/>
        <item m="1" x="1744"/>
        <item m="1" x="2143"/>
        <item m="1" x="1333"/>
        <item m="1" x="3280"/>
        <item m="1" x="448"/>
        <item m="1" x="5950"/>
        <item m="1" x="1727"/>
        <item m="1" x="5970"/>
        <item m="1" x="1579"/>
        <item m="1" x="5811"/>
        <item m="1" x="7799"/>
        <item m="1" x="5421"/>
        <item m="1" x="1261"/>
        <item m="1" x="1188"/>
        <item m="1" x="6658"/>
        <item m="1" x="6199"/>
        <item m="1" x="5721"/>
        <item m="1" x="1169"/>
        <item m="1" x="3923"/>
        <item m="1" x="2764"/>
        <item m="1" x="4231"/>
        <item m="1" x="756"/>
        <item m="1" x="1980"/>
        <item m="1" x="3705"/>
        <item m="1" x="2150"/>
        <item m="1" x="1105"/>
        <item m="1" x="5845"/>
        <item m="1" x="4849"/>
        <item m="1" x="544"/>
        <item m="1" x="3401"/>
        <item m="1" x="1423"/>
        <item m="1" x="153"/>
        <item m="1" x="3670"/>
        <item m="1" x="5244"/>
        <item m="1" x="1251"/>
        <item m="1" x="2064"/>
        <item m="1" x="2550"/>
        <item m="1" x="1810"/>
        <item m="1" x="7701"/>
        <item m="1" x="4834"/>
        <item m="1" x="4019"/>
        <item m="1" x="671"/>
        <item m="1" x="6985"/>
        <item m="1" x="3920"/>
        <item m="1" x="1097"/>
        <item m="1" x="3505"/>
        <item m="1" x="3369"/>
        <item m="1" x="2784"/>
        <item m="1" x="4554"/>
        <item m="1" x="3407"/>
        <item m="1" x="2134"/>
        <item m="1" x="7912"/>
        <item m="1" x="770"/>
        <item m="1" x="6073"/>
        <item m="1" x="1699"/>
        <item m="1" x="5923"/>
        <item m="1" x="5768"/>
        <item m="1" x="6648"/>
        <item m="1" x="1799"/>
        <item m="1" x="6366"/>
        <item m="1" x="5375"/>
        <item m="1" x="1127"/>
        <item m="1" x="1859"/>
        <item m="1" x="2335"/>
        <item m="1" x="6068"/>
        <item m="1" x="5140"/>
        <item m="1" x="729"/>
        <item m="1" x="4966"/>
        <item m="1" x="571"/>
        <item m="1" x="4808"/>
        <item m="1" x="3232"/>
        <item m="1" x="4111"/>
        <item m="1" x="432"/>
        <item m="1" x="4661"/>
        <item m="1" x="298"/>
        <item m="1" x="4536"/>
        <item m="1" x="5283"/>
        <item m="1" x="1037"/>
        <item m="1" x="4532"/>
        <item m="1" x="1440"/>
        <item m="1" x="5665"/>
        <item m="1" x="6563"/>
        <item m="1" x="3091"/>
        <item m="1" x="7263"/>
        <item m="1" x="6959"/>
        <item m="1" x="1267"/>
        <item m="1" x="5826"/>
        <item m="1" x="1596"/>
        <item m="1" x="688"/>
        <item m="1" x="5105"/>
        <item m="1" x="861"/>
        <item m="1" x="1025"/>
        <item m="1" x="558"/>
        <item m="1" x="4790"/>
        <item m="1" x="416"/>
        <item m="1" x="706"/>
        <item m="1" x="4941"/>
        <item m="1" x="5269"/>
        <item m="1" x="4646"/>
        <item m="1" x="4956"/>
        <item m="1" x="5128"/>
        <item m="1" x="543"/>
        <item m="1" x="7767"/>
        <item m="1" x="3420"/>
        <item m="1" x="5569"/>
        <item m="1" x="1314"/>
        <item m="1" x="1473"/>
        <item m="1" x="5705"/>
        <item m="1" x="5553"/>
        <item m="1" x="5637"/>
        <item m="1" x="1143"/>
        <item m="1" x="1559"/>
        <item m="1" x="5461"/>
        <item m="1" x="7793"/>
        <item m="1" x="4601"/>
        <item m="1" x="669"/>
        <item m="1" x="5797"/>
        <item m="1" x="5144"/>
        <item m="1" x="1538"/>
        <item m="1" x="538"/>
        <item m="1" x="4704"/>
        <item m="1" x="4922"/>
        <item m="1" x="1403"/>
        <item m="1" x="5020"/>
        <item m="1" x="6425"/>
        <item m="1" x="843"/>
        <item m="1" x="5250"/>
        <item m="1" x="6895"/>
        <item m="1" x="5090"/>
        <item m="1" x="120"/>
        <item m="1" x="5733"/>
        <item m="1" x="6578"/>
        <item m="1" x="2940"/>
        <item m="1" x="6834"/>
        <item m="1" x="6963"/>
        <item m="1" x="5464"/>
        <item m="1" x="3777"/>
        <item m="1" x="1661"/>
        <item m="1" x="1077"/>
        <item m="1" x="2641"/>
        <item m="1" x="4562"/>
        <item m="1" x="5440"/>
        <item m="1" x="4329"/>
        <item m="1" x="7939"/>
        <item m="1" x="2981"/>
        <item m="1" x="5719"/>
        <item m="1" x="3362"/>
        <item m="1" x="6989"/>
        <item m="1" x="7496"/>
        <item m="1" x="2810"/>
        <item m="1" x="7230"/>
        <item m="1" x="7023"/>
        <item m="1" x="7520"/>
        <item m="1" x="4695"/>
        <item m="1" x="3594"/>
        <item m="1" x="5390"/>
        <item m="1" x="4969"/>
        <item m="1" x="4228"/>
        <item m="1" x="1640"/>
        <item m="1" x="5872"/>
        <item m="1" x="5109"/>
        <item m="1" x="2136"/>
        <item m="1" x="3117"/>
        <item m="1" x="3103"/>
        <item m="1" x="3592"/>
        <item m="1" x="1493"/>
        <item m="1" x="6490"/>
        <item m="1" x="2569"/>
        <item m="1" x="5273"/>
        <item m="1" x="2447"/>
        <item m="1" x="708"/>
        <item m="1" x="3684"/>
        <item m="1" x="865"/>
        <item m="1" x="2674"/>
        <item m="1" x="732"/>
        <item m="1" x="5587"/>
        <item m="1" x="5428"/>
        <item m="1" x="1178"/>
        <item m="1" x="4803"/>
        <item m="1" x="3321"/>
        <item m="1" x="5112"/>
        <item m="1" x="4786"/>
        <item m="1" x="5146"/>
        <item m="1" x="2802"/>
        <item m="1" x="3985"/>
        <item m="1" x="7510"/>
        <item m="1" x="7638"/>
        <item m="1" x="2109"/>
        <item m="1" x="1050"/>
        <item m="1" x="5294"/>
        <item m="1" x="891"/>
        <item m="1" x="1028"/>
        <item m="1" x="869"/>
        <item m="1" x="6717"/>
        <item m="1" x="6961"/>
        <item m="1" x="7004"/>
        <item m="1" x="2299"/>
        <item m="1" x="822"/>
        <item m="1" x="1330"/>
        <item m="1" x="3108"/>
        <item m="1" x="2468"/>
        <item m="1" x="5774"/>
        <item m="1" x="7986"/>
        <item m="1" x="6615"/>
        <item m="1" x="3900"/>
        <item m="1" x="1162"/>
        <item m="1" x="2638"/>
        <item m="1" x="2124"/>
        <item m="1" x="702"/>
        <item m="1" x="4814"/>
        <item m="1" x="5570"/>
        <item m="1" x="6824"/>
        <item m="1" x="5577"/>
        <item m="1" x="5012"/>
        <item m="1" x="1801"/>
        <item m="1" x="6015"/>
        <item m="1" x="3132"/>
        <item m="1" x="1351"/>
        <item m="1" x="1043"/>
        <item m="1" x="2568"/>
        <item m="1" x="215"/>
        <item m="1" x="5769"/>
        <item m="1" x="2902"/>
        <item m="1" x="7227"/>
        <item m="1" x="3054"/>
        <item m="1" x="6538"/>
        <item m="1" x="2351"/>
        <item m="1" x="6665"/>
        <item m="1" x="2485"/>
        <item m="1" x="6812"/>
        <item m="1" x="2621"/>
        <item m="1" x="6947"/>
        <item m="1" x="2771"/>
        <item m="1" x="7093"/>
        <item m="1" x="2917"/>
        <item m="1" x="1010"/>
        <item m="1" x="6402"/>
        <item m="1" x="2227"/>
        <item m="1" x="6552"/>
        <item m="1" x="2366"/>
        <item m="1" x="6681"/>
        <item m="1" x="2500"/>
        <item m="1" x="2756"/>
        <item m="1" x="7080"/>
        <item m="1" x="5413"/>
        <item m="1" x="1630"/>
        <item m="1" x="7026"/>
        <item m="1" x="4743"/>
        <item m="1" x="6935"/>
        <item m="1" x="4011"/>
        <item m="1" x="5142"/>
        <item m="1" x="1396"/>
        <item m="1" x="5253"/>
        <item m="1" x="4235"/>
        <item m="1" x="1319"/>
        <item m="1" x="4906"/>
        <item m="1" x="131"/>
        <item m="1" x="1089"/>
        <item m="1" x="6587"/>
        <item m="1" x="1925"/>
        <item m="1" x="2427"/>
        <item m="1" x="3154"/>
        <item m="1" x="6845"/>
        <item m="1" x="3681"/>
        <item m="1" x="3729"/>
        <item m="1" x="7856"/>
        <item m="1" x="5863"/>
        <item m="1" x="1480"/>
        <item m="1" x="5710"/>
        <item m="1" x="2610"/>
        <item m="1" x="6795"/>
        <item m="1" x="2475"/>
        <item m="1" x="6652"/>
        <item m="1" x="3186"/>
        <item m="1" x="3100"/>
        <item m="1" x="7069"/>
        <item m="1" x="2745"/>
        <item m="1" x="6922"/>
        <item m="1" x="2595"/>
        <item m="1" x="6784"/>
        <item m="1" x="3329"/>
        <item m="1" x="7462"/>
        <item m="1" x="3173"/>
        <item m="1" x="7334"/>
        <item m="1" x="3028"/>
        <item m="1" x="7199"/>
        <item m="1" x="2738"/>
        <item m="1" x="6911"/>
        <item m="1" x="2418"/>
        <item m="1" x="2889"/>
        <item m="1" x="7245"/>
        <item m="1" x="6094"/>
        <item m="1" x="1955"/>
        <item m="1" x="2918"/>
        <item m="1" x="200"/>
        <item m="1" x="4459"/>
        <item m="1" x="3380"/>
        <item m="1" x="4572"/>
        <item m="1" x="3993"/>
        <item m="1" x="6197"/>
        <item m="1" x="1849"/>
        <item m="1" x="4918"/>
        <item m="1" x="3538"/>
        <item m="1" x="7972"/>
        <item m="1" x="2176"/>
        <item m="1" x="4036"/>
        <item m="1" x="7324"/>
        <item m="1" x="295"/>
        <item m="1" x="3056"/>
        <item m="1" x="7358"/>
        <item m="1" x="7082"/>
        <item m="1" x="7843"/>
        <item m="1" x="3589"/>
        <item m="1" x="7713"/>
        <item m="1" x="7495"/>
        <item m="1" x="3206"/>
        <item m="1" x="6859"/>
        <item m="1" x="2178"/>
        <item m="1" x="6937"/>
        <item m="1" x="6482"/>
        <item m="1" x="3787"/>
        <item m="1" x="7094"/>
        <item m="1" x="7306"/>
        <item m="1" x="5565"/>
        <item m="1" x="2101"/>
        <item m="1" x="7071"/>
        <item m="1" x="3611"/>
        <item m="1" x="1241"/>
        <item m="1" x="726"/>
        <item m="1" x="4124"/>
        <item m="1" x="2256"/>
        <item m="1" x="3493"/>
        <item m="1" x="6338"/>
        <item m="1" x="7740"/>
        <item m="1" x="7880"/>
        <item m="1" x="2994"/>
        <item m="1" x="3224"/>
        <item m="1" x="3474"/>
        <item m="1" x="7223"/>
        <item m="1" x="3557"/>
        <item m="1" x="2939"/>
        <item m="1" x="2398"/>
        <item m="1" x="2904"/>
        <item m="1" x="2758"/>
        <item m="1" x="7229"/>
        <item m="1" x="2891"/>
        <item m="1" x="2772"/>
        <item m="1" x="6948"/>
        <item m="1" x="2622"/>
        <item m="1" x="6813"/>
        <item m="1" x="2486"/>
        <item m="1" x="6666"/>
        <item m="1" x="3205"/>
        <item m="1" x="7608"/>
        <item m="1" x="7357"/>
        <item m="1" x="3466"/>
        <item m="1" x="7692"/>
        <item m="1" x="345"/>
        <item m="1" x="3803"/>
        <item m="1" x="97"/>
        <item m="1" x="6949"/>
        <item m="1" x="5329"/>
        <item m="1" x="7806"/>
        <item m="1" x="6295"/>
        <item m="1" x="7215"/>
        <item m="1" x="6936"/>
        <item m="1" x="3188"/>
        <item m="1" x="2611"/>
        <item m="1" x="7477"/>
        <item m="1" x="7344"/>
        <item m="1" x="2757"/>
        <item m="1" x="6045"/>
        <item m="1" x="6766"/>
        <item m="1" x="4079"/>
        <item m="1" x="1793"/>
        <item m="1" x="3042"/>
        <item m="1" x="5021"/>
        <item m="1" x="2903"/>
        <item m="1" x="7621"/>
        <item m="1" x="3055"/>
        <item m="1" x="7228"/>
        <item m="1" x="7081"/>
        <item m="1" x="3343"/>
        <item m="1" x="7343"/>
        <item m="1" x="7070"/>
        <item m="1" x="2746"/>
        <item m="1" x="6923"/>
        <item m="1" x="2890"/>
        <item m="1" x="3041"/>
        <item m="1" x="7214"/>
        <item m="1" x="3187"/>
        <item m="1" x="3342"/>
        <item m="1" x="7476"/>
        <item m="1" x="6796"/>
        <item m="1" x="5085"/>
        <item m="1" x="7779"/>
        <item m="1" x="4709"/>
        <item m="1" x="3330"/>
        <item m="1" x="7463"/>
        <item m="1" x="3458"/>
        <item m="1" x="4020"/>
        <item m="1" x="7335"/>
        <item m="1" x="3174"/>
        <item m="1" x="7607"/>
        <item m="1" x="3473"/>
        <item m="1" x="4106"/>
        <item m="1" x="4815"/>
        <item m="1" x="7061"/>
        <item m="1" x="4355"/>
        <item m="1" x="1624"/>
        <item m="1" x="7665"/>
        <item m="1" x="2876"/>
        <item m="1" x="7910"/>
        <item m="1" x="4377"/>
        <item m="1" x="7684"/>
        <item m="1" x="3807"/>
        <item m="1" x="1399"/>
        <item m="1" x="3029"/>
        <item m="1" x="6038"/>
        <item m="1" x="2794"/>
        <item m="1" x="2096"/>
        <item m="1" x="1087"/>
        <item m="1" x="6422"/>
        <item m="1" x="2281"/>
        <item m="1" x="5857"/>
        <item m="1" x="3074"/>
        <item m="1" x="7095"/>
        <item m="1" x="3361"/>
        <item m="1" x="7256"/>
        <item m="1" x="3015"/>
        <item m="1" x="7200"/>
        <item m="1" x="7932"/>
        <item m="1" x="3444"/>
        <item m="1" x="757"/>
        <item m="1" x="934"/>
        <item m="1" x="7441"/>
        <item m="1" x="2683"/>
        <item m="1" x="2115"/>
        <item m="1" x="6458"/>
        <item m="1" x="7658"/>
        <item m="1" x="7368"/>
        <item m="1" x="2919"/>
        <item m="1" x="2773"/>
        <item m="1" x="3030"/>
        <item m="1" x="7201"/>
        <item m="1" x="3175"/>
        <item m="1" x="7336"/>
        <item m="1" x="6617"/>
        <item m="1" x="589"/>
        <item m="1" x="6700"/>
        <item m="1" x="3601"/>
        <item m="1" x="7728"/>
        <item m="1" x="3457"/>
        <item m="1" x="7594"/>
        <item m="1" x="7595"/>
        <item m="1" x="3316"/>
        <item m="1" x="7451"/>
        <item m="1" x="3162"/>
        <item m="1" x="3840"/>
        <item m="1" x="7966"/>
        <item m="1" x="3716"/>
        <item m="1" x="3273"/>
        <item m="1" x="1675"/>
        <item m="1" x="3552"/>
        <item m="1" x="2968"/>
        <item m="1" x="2147"/>
        <item m="1" x="1565"/>
        <item m="1" x="5084"/>
        <item m="1" x="4252"/>
        <item m="1" x="1954"/>
        <item m="1" x="7750"/>
        <item m="1" x="6158"/>
        <item m="1" x="6308"/>
        <item m="1" x="6802"/>
        <item m="1" x="2640"/>
        <item m="1" x="7450"/>
        <item m="1" x="1273"/>
        <item m="1" x="3315"/>
        <item m="1" x="1072"/>
        <item m="1" x="3800"/>
        <item m="1" x="2687"/>
        <item m="1" x="6428"/>
        <item m="1" x="2082"/>
        <item m="1" x="4758"/>
        <item m="1" x="3970"/>
        <item m="1" x="6445"/>
        <item m="1" x="4215"/>
        <item m="1" x="5222"/>
        <item m="1" x="1504"/>
        <item m="1" x="2996"/>
        <item m="1" x="3914"/>
        <item m="1" x="1367"/>
        <item m="1" x="3707"/>
        <item m="1" x="3382"/>
        <item m="1" x="3101"/>
        <item m="1" x="3299"/>
        <item m="1" x="2526"/>
        <item m="1" x="4023"/>
        <item m="1" x="6709"/>
        <item m="1" x="4128"/>
        <item m="1" x="463"/>
        <item m="1" x="5410"/>
        <item m="1" x="2403"/>
        <item m="1" x="2255"/>
        <item m="1" x="6430"/>
        <item m="1" x="2084"/>
        <item m="1" x="1081"/>
        <item m="1" x="2391"/>
        <item m="1" x="4230"/>
        <item m="1" x="1687"/>
        <item m="1" x="1476"/>
        <item m="1" x="2208"/>
        <item m="1" x="6389"/>
        <item m="1" x="2030"/>
        <item m="1" x="6320"/>
        <item m="1" x="1783"/>
        <item m="1" x="6002"/>
        <item m="1" x="2534"/>
        <item m="1" x="1966"/>
        <item m="1" x="6169"/>
        <item m="1" x="7716"/>
        <item m="1" x="6294"/>
        <item m="1" x="7560"/>
        <item m="1" x="5854"/>
        <item m="1" x="5846"/>
        <item m="1" x="6000"/>
        <item m="1" x="6577"/>
        <item m="1" x="1800"/>
        <item m="1" x="6566"/>
        <item m="1" x="6278"/>
        <item m="1" x="1917"/>
        <item m="1" x="6129"/>
        <item m="1" x="1746"/>
        <item m="1" x="5972"/>
        <item m="1" x="1581"/>
        <item m="1" x="5813"/>
        <item m="1" x="2376"/>
        <item m="1" x="6564"/>
        <item m="1" x="2239"/>
        <item m="1" x="6412"/>
        <item m="1" x="2066"/>
        <item m="1" x="6262"/>
        <item m="1" x="6109"/>
        <item m="1" x="1729"/>
        <item m="1" x="5952"/>
        <item m="1" x="2498"/>
        <item m="1" x="6679"/>
        <item m="1" x="2364"/>
        <item m="1" x="6550"/>
        <item m="1" x="1897"/>
        <item m="1" x="6280"/>
        <item m="1" x="2801"/>
        <item m="1" x="6977"/>
        <item m="1" x="2659"/>
        <item m="1" x="2755"/>
        <item m="1" x="6934"/>
        <item m="1" x="6229"/>
        <item m="1" x="2349"/>
        <item m="1" x="6093"/>
        <item m="1" x="1882"/>
        <item m="1" x="6245"/>
        <item m="1" x="2045"/>
        <item m="1" x="6400"/>
        <item m="1" x="2225"/>
        <item m="1" x="6536"/>
        <item m="1" x="2619"/>
        <item m="1" x="2608"/>
        <item m="1" x="6793"/>
        <item m="1" x="2473"/>
        <item m="1" x="2191"/>
        <item m="1" x="6374"/>
        <item m="1" x="1818"/>
        <item m="1" x="2377"/>
        <item m="1" x="6515"/>
        <item m="1" x="1222"/>
        <item m="1" x="2353"/>
        <item m="1" x="6693"/>
        <item m="1" x="6565"/>
        <item m="1" x="2100"/>
        <item m="1" x="4028"/>
        <item m="1" x="2240"/>
        <item m="1" x="2384"/>
        <item m="1" x="1527"/>
        <item m="1" x="1949"/>
        <item m="1" x="1316"/>
        <item m="1" x="4253"/>
        <item m="1" x="2241"/>
        <item m="1" x="2502"/>
        <item m="1" x="7312"/>
        <item m="1" x="6825"/>
        <item m="1" x="2501"/>
        <item m="1" x="6144"/>
        <item m="1" x="6589"/>
        <item m="1" x="4046"/>
        <item m="1" x="4030"/>
        <item m="1" x="2739"/>
        <item m="1" x="4223"/>
        <item m="1" x="6762"/>
        <item m="1" x="6413"/>
        <item m="1" x="3021"/>
        <item m="1" x="3553"/>
        <item m="1" x="2270"/>
        <item m="1" x="3305"/>
        <item m="1" x="2543"/>
        <item m="1" x="2786"/>
        <item m="1" x="4705"/>
        <item m="1" x="970"/>
        <item m="1" x="1649"/>
        <item m="1" x="5210"/>
        <item m="1" x="5374"/>
        <item m="1" x="4602"/>
        <item m="1" x="775"/>
        <item m="1" x="3196"/>
        <item m="1" x="1672"/>
        <item m="1" x="4037"/>
        <item m="1" x="6263"/>
        <item m="1" x="4257"/>
        <item m="1" x="1932"/>
        <item m="1" x="5861"/>
        <item m="1" x="6744"/>
        <item m="1" x="6014"/>
        <item m="1" x="1628"/>
        <item m="1" x="1477"/>
        <item m="1" x="2282"/>
        <item m="1" x="6457"/>
        <item m="1" x="5707"/>
        <item m="1" x="6807"/>
        <item m="1" x="2347"/>
        <item m="1" x="6842"/>
        <item m="1" x="6661"/>
        <item m="1" x="2175"/>
        <item m="1" x="6534"/>
        <item m="1" x="4143"/>
        <item m="1" x="2177"/>
        <item m="1" x="607"/>
        <item m="1" x="6946"/>
        <item m="1" x="2620"/>
        <item m="1" x="2046"/>
        <item m="1" x="6246"/>
        <item m="1" x="2770"/>
        <item m="1" x="6680"/>
        <item m="1" x="2226"/>
        <item m="1" x="6401"/>
        <item m="1" x="6650"/>
        <item m="1" x="2365"/>
        <item m="1" x="2607"/>
        <item m="1" x="2499"/>
        <item m="1" x="2752"/>
        <item m="1" x="6792"/>
        <item m="1" x="6062"/>
        <item m="1" x="6307"/>
        <item m="1" x="6001"/>
        <item m="1" x="1808"/>
        <item m="1" x="1985"/>
        <item m="1" x="6551"/>
        <item m="1" x="2472"/>
        <item m="1" x="4150"/>
        <item m="1" x="3415"/>
        <item m="1" x="6526"/>
        <item m="1" x="2637"/>
        <item m="1" x="1898"/>
        <item m="1" x="6110"/>
        <item m="1" x="6818"/>
        <item m="1" x="5799"/>
        <item m="1" x="7674"/>
        <item m="1" x="2303"/>
        <item m="1" x="7076"/>
        <item m="1" x="2480"/>
        <item m="1" x="6811"/>
        <item m="1" x="1387"/>
        <item m="1" x="4218"/>
        <item m="1" x="2562"/>
        <item m="1" x="1614"/>
        <item m="1" x="6521"/>
        <item m="1" x="1237"/>
        <item m="1" x="7487"/>
        <item m="1" x="1830"/>
        <item m="1" x="6501"/>
        <item m="1" x="7926"/>
        <item m="1" x="6896"/>
        <item m="1" x="6931"/>
        <item m="1" x="2338"/>
        <item m="1" x="6664"/>
        <item m="1" x="2067"/>
        <item m="1" x="3593"/>
        <item m="1" x="5847"/>
        <item m="1" x="2484"/>
        <item m="1" x="7105"/>
        <item m="1" x="1591"/>
        <item m="1" x="6405"/>
        <item m="1" x="1948"/>
        <item m="1" x="2750"/>
        <item m="1" x="3073"/>
        <item m="1" x="2615"/>
        <item m="1" x="2206"/>
        <item m="1" x="6388"/>
        <item m="1" x="2350"/>
        <item m="1" x="6537"/>
        <item m="1" x="2209"/>
        <item m="1" x="6390"/>
        <item m="1" x="2901"/>
        <item m="1" x="2609"/>
        <item m="1" x="6794"/>
        <item m="1" x="2474"/>
        <item m="1" x="4848"/>
        <item m="1" x="3036"/>
        <item m="1" x="2165"/>
        <item m="1" x="2744"/>
        <item m="1" x="742"/>
        <item m="1" x="6651"/>
        <item m="1" x="2339"/>
        <item m="1" x="6522"/>
        <item m="1" x="3040"/>
        <item m="1" x="7213"/>
        <item m="1" x="2888"/>
        <item m="1" x="7068"/>
        <item m="1" x="2639"/>
        <item m="1" x="6962"/>
        <item m="1" x="7111"/>
        <item m="1" x="2938"/>
        <item m="1" x="6414"/>
        <item m="1" x="6942"/>
        <item m="1" x="2897"/>
        <item m="1" x="2588"/>
        <item m="1" x="6921"/>
        <item m="1" x="2464"/>
        <item m="1" x="6641"/>
        <item m="1" x="2127"/>
        <item m="1" x="6141"/>
        <item m="1" x="1761"/>
        <item m="1" x="5983"/>
        <item m="1" x="1597"/>
        <item m="1" x="5827"/>
        <item m="1" x="1441"/>
        <item m="1" x="5666"/>
        <item m="1" x="1268"/>
        <item m="1" x="5508"/>
        <item m="1" x="2081"/>
        <item m="1" x="6277"/>
        <item m="1" x="1916"/>
        <item m="1" x="7209"/>
        <item m="1" x="2593"/>
        <item m="1" x="2185"/>
        <item m="1" x="3781"/>
        <item m="1" x="6721"/>
        <item m="1" x="419"/>
        <item m="1" x="2180"/>
        <item m="1" x="6128"/>
        <item m="1" x="1745"/>
        <item m="1" x="5971"/>
        <item m="1" x="1580"/>
        <item m="1" x="5812"/>
        <item m="1" x="1424"/>
        <item m="1" x="2886"/>
        <item m="1" x="5068"/>
        <item m="1" x="2463"/>
        <item m="1" x="2873"/>
        <item m="1" x="7058"/>
        <item m="1" x="1778"/>
        <item m="1" x="4139"/>
        <item m="1" x="6909"/>
        <item m="1" x="2582"/>
        <item m="1" x="916"/>
        <item m="1" x="4222"/>
        <item m="1" x="5651"/>
        <item m="1" x="6079"/>
        <item m="1" x="2602"/>
        <item m="1" x="7066"/>
        <item m="1" x="2742"/>
        <item m="1" x="6640"/>
        <item m="1" x="3169"/>
        <item m="1" x="6782"/>
        <item m="1" x="6773"/>
        <item m="1" x="3311"/>
        <item m="1" x="4875"/>
        <item m="1" x="4130"/>
        <item m="1" x="5916"/>
        <item m="1" x="6465"/>
        <item m="1" x="5053"/>
        <item m="1" x="5664"/>
        <item m="1" x="5825"/>
        <item m="1" x="1439"/>
        <item m="1" x="2269"/>
        <item m="1" x="1595"/>
        <item m="1" x="6642"/>
        <item m="1" x="6444"/>
        <item m="1" x="3047"/>
        <item m="1" x="1266"/>
        <item m="1" x="2099"/>
        <item m="1" x="2110"/>
        <item m="1" x="1665"/>
        <item m="1" x="7075"/>
        <item m="1" x="1175"/>
        <item m="1" x="7191"/>
        <item m="1" x="5732"/>
        <item m="1" x="2402"/>
        <item m="1" x="2733"/>
        <item m="1" x="3158"/>
        <item m="1" x="7320"/>
        <item m="1" x="4148"/>
        <item m="1" x="1349"/>
        <item m="1" x="5585"/>
        <item m="1" x="2238"/>
        <item m="1" x="4367"/>
        <item m="1" x="6919"/>
        <item m="1" x="2736"/>
        <item m="1" x="7475"/>
        <item m="1" x="3017"/>
        <item m="1" x="5195"/>
        <item m="1" x="7073"/>
        <item m="1" x="6411"/>
        <item m="1" x="7586"/>
        <item m="1" x="5426"/>
        <item m="1" x="126"/>
        <item m="1" x="2695"/>
        <item m="1" x="4017"/>
        <item m="1" x="4692"/>
        <item m="1" x="3197"/>
        <item m="1" x="4603"/>
        <item m="1" x="2065"/>
        <item m="1" x="5226"/>
        <item m="1" x="6213"/>
        <item m="1" x="6013"/>
        <item m="1" x="764"/>
        <item m="1" x="2978"/>
        <item m="1" x="4702"/>
        <item m="1" x="185"/>
        <item m="1" x="5213"/>
        <item m="1" x="7446"/>
        <item m="1" x="6559"/>
        <item m="1" x="1066"/>
        <item m="1" x="2705"/>
        <item m="1" x="4625"/>
        <item m="1" x="5106"/>
        <item m="1" x="862"/>
        <item m="1" x="1026"/>
        <item m="1" x="1638"/>
        <item m="1" x="5722"/>
        <item m="1" x="1491"/>
        <item m="1" x="5270"/>
        <item m="1" x="5574"/>
        <item m="1" x="1007"/>
        <item m="1" x="6092"/>
        <item m="1" x="1712"/>
        <item m="1" x="5937"/>
        <item m="1" x="2483"/>
        <item m="1" x="6663"/>
        <item m="1" x="1281"/>
        <item m="1" x="5251"/>
        <item m="1" x="3811"/>
        <item m="1" x="6067"/>
        <item m="1" x="5871"/>
        <item m="1" x="6261"/>
        <item m="1" x="1896"/>
        <item m="1" x="6108"/>
        <item m="1" x="1728"/>
        <item m="1" x="5951"/>
        <item m="1" x="1560"/>
        <item m="1" x="5798"/>
        <item m="1" x="2363"/>
        <item m="1" x="6549"/>
        <item m="1" x="2044"/>
        <item m="1" x="6244"/>
        <item m="1" x="1881"/>
        <item m="1" x="2694"/>
        <item m="1" x="4891"/>
        <item m="1" x="2267"/>
        <item m="1" x="6655"/>
        <item m="1" x="1475"/>
        <item m="1" x="5706"/>
        <item m="1" x="1315"/>
        <item m="1" x="6143"/>
        <item m="1" x="1931"/>
        <item m="1" x="6635"/>
        <item m="1" x="1144"/>
        <item m="1" x="1953"/>
        <item m="1" x="6157"/>
        <item m="1" x="2348"/>
        <item m="1" x="6535"/>
        <item m="1" x="7203"/>
        <item m="1" x="6317"/>
        <item m="1" x="6540"/>
        <item m="1" x="6485"/>
        <item m="1" x="5515"/>
        <item m="1" x="3735"/>
        <item m="1" x="7863"/>
        <item m="1" x="1598"/>
        <item m="1" x="6941"/>
        <item m="1" x="1159"/>
        <item m="1" x="5409"/>
        <item m="1" x="4882"/>
        <item m="1" x="7317"/>
        <item m="1" x="3147"/>
        <item m="1" x="7431"/>
        <item m="1" x="4677"/>
        <item m="1" x="3109"/>
        <item m="1" x="4391"/>
        <item m="1" x="4220"/>
        <item m="1" x="5860"/>
        <item m="1" x="7714"/>
        <item m="1" x="2098"/>
        <item m="1" x="3998"/>
        <item m="1" x="5417"/>
        <item m="1" x="4144"/>
        <item m="1" x="1334"/>
        <item m="1" x="1627"/>
        <item m="1" x="5391"/>
        <item m="1" x="1762"/>
        <item m="1" x="2207"/>
        <item m="1" x="7390"/>
        <item m="1" x="3094"/>
        <item m="1" x="7265"/>
        <item m="1" x="6819"/>
        <item m="1" x="3143"/>
        <item m="1" x="4631"/>
        <item m="1" x="6362"/>
        <item m="1" x="4116"/>
        <item m="1" x="1866"/>
        <item m="1" x="2941"/>
        <item m="1" x="7112"/>
        <item m="1" x="6964"/>
        <item m="1" x="2843"/>
        <item m="1" x="7369"/>
        <item m="1" x="5027"/>
        <item m="1" x="3652"/>
        <item m="1" x="2887"/>
        <item m="1" x="3375"/>
        <item m="1" x="334"/>
        <item m="1" x="3908"/>
        <item m="1" x="3225"/>
        <item m="1" x="7511"/>
        <item m="1" x="3075"/>
        <item m="1" x="4978"/>
        <item m="1" x="7474"/>
        <item m="1" x="1782"/>
        <item m="1" x="7340"/>
        <item m="1" x="1109"/>
        <item m="1" x="5356"/>
        <item m="1" x="5194"/>
        <item m="1" x="951"/>
        <item m="1" x="6142"/>
        <item m="1" x="5984"/>
        <item m="1" x="1458"/>
        <item m="1" x="5688"/>
        <item m="1" x="1290"/>
        <item m="1" x="5531"/>
        <item m="1" x="6292"/>
        <item m="1" x="5828"/>
        <item m="1" x="2254"/>
        <item m="1" x="2015"/>
        <item m="1" x="2714"/>
        <item m="1" x="366"/>
        <item m="1" x="492"/>
        <item m="1" x="2743"/>
        <item m="1" x="6920"/>
        <item m="1" x="3470"/>
        <item m="1" x="3326"/>
        <item m="1" x="7459"/>
        <item m="1" x="1743"/>
        <item m="1" x="4729"/>
        <item m="1" x="4475"/>
        <item m="1" x="7435"/>
        <item m="1" x="2135"/>
        <item m="1" x="727"/>
        <item m="1" x="7129"/>
        <item m="1" x="6978"/>
        <item m="1" x="2660"/>
        <item m="1" x="2957"/>
        <item m="1" x="7277"/>
        <item m="1" x="7382"/>
        <item m="1" x="3241"/>
        <item m="1" x="7525"/>
        <item m="1" x="3386"/>
        <item m="1" x="6835"/>
        <item m="1" x="2803"/>
        <item m="1" x="6075"/>
        <item m="1" x="1505"/>
        <item m="1" x="7759"/>
        <item m="1" x="3494"/>
        <item m="1" x="3344"/>
        <item m="1" x="7478"/>
        <item m="1" x="3189"/>
        <item m="1" x="7345"/>
        <item m="1" x="3043"/>
        <item m="1" x="7216"/>
        <item m="1" x="3745"/>
        <item m="1" x="7873"/>
        <item m="1" x="3612"/>
        <item m="1" x="7741"/>
        <item m="1" x="3475"/>
        <item m="1" x="7609"/>
        <item m="1" x="3602"/>
        <item m="1" x="7729"/>
        <item m="1" x="3459"/>
        <item m="1" x="7452"/>
        <item m="1" x="7464"/>
        <item m="1" x="3331"/>
        <item m="1" x="3590"/>
        <item m="1" x="3176"/>
        <item m="1" x="7337"/>
        <item m="1" x="3953"/>
        <item m="1" x="3317"/>
        <item m="1" x="7596"/>
        <item m="1" x="7844"/>
        <item m="1" x="7857"/>
        <item m="1" x="7980"/>
        <item m="1" x="3730"/>
        <item m="1" x="3855"/>
        <item m="1" x="648"/>
        <item m="1" x="1671"/>
        <item m="1" x="2787"/>
        <item m="1" x="6750"/>
        <item m="1" x="3445"/>
        <item m="1" x="6190"/>
        <item m="1" x="3171"/>
        <item m="1" x="3704"/>
        <item m="1" x="453"/>
        <item m="1" x="4678"/>
        <item m="1" x="7706"/>
        <item m="1" x="4829"/>
        <item m="1" x="3250"/>
        <item m="1" x="3831"/>
        <item m="1" x="3511"/>
        <item m="1" x="7951"/>
        <item m="1" x="7096"/>
        <item m="1" x="7945"/>
        <item m="1" x="6530"/>
        <item m="1" x="7157"/>
        <item m="1" x="1417"/>
        <item m="1" x="3667"/>
        <item m="1" x="3003"/>
        <item m="1" x="4708"/>
        <item m="1" x="3944"/>
        <item m="1" x="7774"/>
        <item m="1" x="1359"/>
        <item m="1" x="7176"/>
        <item m="1" x="4059"/>
        <item m="1" x="7583"/>
        <item m="1" x="7246"/>
        <item m="1" x="4451"/>
        <item m="1" x="605"/>
        <item m="1" x="4982"/>
        <item m="1" x="452"/>
        <item m="1" x="1528"/>
        <item m="1" x="2920"/>
        <item m="1" x="5258"/>
        <item m="1" x="2699"/>
        <item m="1" x="3642"/>
        <item m="1" x="4478"/>
        <item m="1" x="583"/>
        <item m="1" x="3009"/>
        <item m="1" x="4115"/>
        <item m="1" x="319"/>
        <item m="1" x="4555"/>
        <item m="1" x="208"/>
        <item m="1" x="4428"/>
        <item m="1" x="93"/>
        <item m="1" x="4313"/>
        <item m="1" x="745"/>
        <item m="1" x="75"/>
        <item m="1" x="939"/>
        <item m="1" x="2845"/>
        <item m="1" x="3654"/>
        <item m="1" x="7639"/>
        <item m="1" x="2340"/>
        <item m="1" x="5985"/>
        <item m="1" x="3761"/>
        <item m="1" x="2525"/>
        <item m="1" x="947"/>
        <item m="1" x="6986"/>
        <item m="1" x="7231"/>
        <item m="1" x="3057"/>
        <item m="1" x="2490"/>
        <item m="1" x="7359"/>
        <item m="1" x="443"/>
        <item m="1" x="4672"/>
        <item m="1" x="310"/>
        <item m="1" x="198"/>
        <item m="1" x="4820"/>
        <item m="1" x="7888"/>
        <item m="1" x="2014"/>
        <item m="1" x="5853"/>
        <item m="1" x="484"/>
        <item m="1" x="6523"/>
        <item m="1" x="1763"/>
        <item m="1" x="4420"/>
        <item m="1" x="4447"/>
        <item m="1" x="3627"/>
        <item m="1" x="7529"/>
        <item m="1" x="3598"/>
        <item m="1" x="1999"/>
        <item m="1" x="1347"/>
        <item m="1" x="2018"/>
        <item m="1" x="7760"/>
        <item m="1" x="4967"/>
        <item m="1" x="572"/>
        <item m="1" x="7041"/>
        <item m="1" x="6024"/>
        <item m="1" x="1702"/>
        <item m="1" x="3989"/>
        <item m="1" x="4026"/>
        <item m="1" x="750"/>
        <item m="1" x="4730"/>
        <item m="1" x="7060"/>
        <item m="1" x="730"/>
        <item m="1" x="4168"/>
        <item m="1" x="3207"/>
        <item m="1" x="7766"/>
        <item m="1" x="1947"/>
        <item m="1" x="6741"/>
        <item m="1" x="2192"/>
        <item m="1" x="6498"/>
        <item m="1" x="7054"/>
        <item m="1" x="5563"/>
        <item m="1" x="5892"/>
        <item m="1" x="7623"/>
        <item m="1" x="5483"/>
        <item m="1" x="6708"/>
        <item m="1" x="3495"/>
        <item m="1" x="1705"/>
        <item m="1" x="3345"/>
        <item m="1" x="4809"/>
        <item m="1" x="1964"/>
        <item m="1" x="2842"/>
        <item m="1" x="2399"/>
        <item m="1" x="7479"/>
        <item m="1" x="4662"/>
        <item m="1" x="7546"/>
        <item m="1" x="2514"/>
        <item m="1" x="299"/>
        <item m="1" x="7802"/>
        <item m="1" x="5909"/>
        <item m="1" x="6273"/>
        <item m="1" x="3868"/>
        <item m="1" x="4351"/>
        <item m="1" x="7994"/>
        <item m="1" x="1639"/>
        <item m="1" x="7725"/>
        <item m="1" x="3454"/>
        <item m="1" x="3312"/>
        <item m="1" x="3160"/>
        <item m="1" x="7322"/>
        <item m="1" x="3019"/>
        <item m="1" x="4791"/>
        <item m="1" x="417"/>
        <item m="1" x="3746"/>
        <item m="1" x="2390"/>
        <item m="1" x="6270"/>
        <item m="1" x="7516"/>
        <item m="1" x="6331"/>
        <item m="1" x="6928"/>
        <item m="1" x="7719"/>
        <item m="1" x="3122"/>
        <item m="1" x="25"/>
        <item m="1" x="2596"/>
        <item m="1" x="1363"/>
        <item m="1" x="1132"/>
        <item m="1" x="4537"/>
        <item m="1" x="1039"/>
        <item m="1" x="5284"/>
        <item m="1" x="1335"/>
        <item m="1" x="4775"/>
        <item m="1" x="689"/>
        <item m="1" x="5107"/>
        <item m="1" x="863"/>
        <item m="1" x="5271"/>
        <item m="1" x="1027"/>
        <item m="1" x="5427"/>
        <item m="1" x="1176"/>
        <item m="1" x="4647"/>
        <item m="1" x="559"/>
        <item m="1" x="4957"/>
        <item m="1" x="6576"/>
        <item m="1" x="7742"/>
        <item m="1" x="3476"/>
        <item m="1" x="7351"/>
        <item m="1" x="7488"/>
        <item m="1" x="3354"/>
        <item m="1" x="3198"/>
        <item m="1" x="6054"/>
        <item m="1" x="433"/>
        <item m="1" x="5554"/>
        <item m="1" x="4134"/>
        <item m="1" x="4126"/>
        <item m="1" x="3290"/>
        <item m="1" x="4016"/>
        <item m="1" x="2445"/>
        <item m="1" x="3694"/>
        <item m="1" x="2263"/>
        <item m="1" x="1250"/>
        <item m="1" x="5492"/>
        <item m="1" x="1096"/>
        <item m="1" x="5650"/>
        <item m="1" x="1422"/>
        <item m="1" x="5340"/>
        <item m="1" x="2882"/>
        <item m="1" x="5575"/>
        <item m="1" x="7800"/>
        <item m="1" x="7193"/>
        <item m="1" x="2521"/>
        <item m="1" x="6763"/>
        <item m="1" x="4872"/>
        <item m="1" x="7610"/>
        <item m="1" x="2005"/>
        <item m="1" x="5463"/>
        <item m="1" x="1965"/>
        <item m="1" x="3332"/>
        <item m="1" x="6955"/>
        <item m="1" x="6204"/>
        <item m="1" x="1160"/>
        <item m="1" x="5411"/>
        <item m="1" x="1008"/>
        <item m="1" x="2720"/>
        <item m="1" x="6429"/>
        <item m="1" x="1426"/>
        <item m="1" x="3460"/>
        <item m="1" x="844"/>
        <item m="1" x="5252"/>
        <item m="1" x="5091"/>
        <item m="1" x="4649"/>
        <item m="1" x="4315"/>
        <item m="1" x="7795"/>
        <item m="1" x="3965"/>
        <item m="1" x="6176"/>
        <item m="1" x="7785"/>
        <item m="1" x="1346"/>
        <item m="1" x="7981"/>
        <item m="1" x="3856"/>
        <item m="1" x="670"/>
        <item m="1" x="7597"/>
        <item m="1" x="3659"/>
        <item m="1" x="3731"/>
        <item m="1" x="7858"/>
        <item m="1" x="923"/>
        <item m="1" x="7470"/>
        <item m="1" x="4048"/>
        <item m="1" x="23"/>
        <item m="1" x="4197"/>
        <item m="1" x="1478"/>
        <item m="1" x="29"/>
        <item m="1" x="4174"/>
        <item m="1" x="3841"/>
        <item m="1" x="7883"/>
        <item m="1" x="3218"/>
        <item m="1" x="3483"/>
        <item m="1" x="2385"/>
        <item m="1" x="4101"/>
        <item m="1" x="4240"/>
        <item m="1" x="2083"/>
        <item m="1" x="6279"/>
        <item m="1" x="1918"/>
        <item m="1" x="96"/>
        <item m="1" x="5295"/>
        <item m="1" x="7465"/>
        <item m="1" x="2831"/>
        <item m="1" x="3896"/>
        <item m="1" x="347"/>
        <item m="1" x="3396"/>
        <item m="1" x="4333"/>
        <item m="1" x="2301"/>
        <item m="1" x="4073"/>
        <item m="1" x="3954"/>
        <item m="1" x="7845"/>
        <item m="1" x="3591"/>
        <item m="1" x="1291"/>
        <item m="1" x="5376"/>
        <item m="1" x="972"/>
        <item m="1" x="5073"/>
        <item m="1" x="1459"/>
        <item m="1" x="5689"/>
        <item m="1" x="5532"/>
        <item m="1" x="1128"/>
        <item m="1" x="7834"/>
        <item m="1" x="1615"/>
        <item m="1" x="3832"/>
        <item m="1" x="827"/>
        <item m="1" x="7952"/>
        <item m="1" x="4862"/>
        <item m="1" x="3519"/>
        <item m="1" x="6349"/>
        <item m="1" x="5848"/>
        <item m="1" x="351"/>
        <item m="1" x="3701"/>
        <item m="1" x="1815"/>
        <item m="1" x="6237"/>
        <item m="1" x="1657"/>
        <item m="1" x="988"/>
        <item m="1" x="5392"/>
        <item m="1" x="6729"/>
        <item m="1" x="4587"/>
        <item m="1" x="4980"/>
        <item m="1" x="5232"/>
        <item m="1" x="5259"/>
        <item m="1" x="4060"/>
        <item m="1" x="5708"/>
        <item m="1" x="1317"/>
        <item m="1" x="5555"/>
        <item m="1" x="1145"/>
        <item m="1" x="1764"/>
        <item m="1" x="5212"/>
        <item m="1" x="7730"/>
        <item m="1" x="3603"/>
        <item m="1" x="1442"/>
        <item m="1" x="5667"/>
        <item m="1" x="4279"/>
        <item m="1" x="6865"/>
        <item m="1" x="6481"/>
        <item m="1" x="238"/>
        <item m="1" x="473"/>
        <item m="1" x="1269"/>
        <item m="1" x="5509"/>
        <item m="1" x="5624"/>
        <item m="1" x="7805"/>
        <item m="1" x="395"/>
        <item m="1" x="1111"/>
        <item m="1" x="1318"/>
        <item m="1" x="5393"/>
        <item m="1" x="989"/>
        <item m="1" x="1919"/>
        <item m="1" x="5814"/>
        <item m="1" x="6742"/>
        <item m="1" x="2830"/>
        <item m="1" x="3398"/>
        <item m="1" x="6130"/>
        <item m="1" x="1747"/>
        <item m="1" x="5973"/>
        <item m="1" x="4164"/>
        <item m="1" x="4043"/>
        <item m="1" x="6876"/>
        <item m="1" x="460"/>
        <item m="1" x="5556"/>
        <item m="1" x="4031"/>
        <item m="1" x="3034"/>
        <item m="1" x="1146"/>
        <item m="1" x="3702"/>
        <item m="1" x="1582"/>
        <item m="1" x="2686"/>
        <item m="1" x="4466"/>
        <item m="1" x="2667"/>
        <item m="1" x="4457"/>
        <item m="1" x="133"/>
        <item m="1" x="2264"/>
        <item m="1" x="3409"/>
        <item m="1" x="7394"/>
        <item m="1" x="890"/>
        <item m="1" x="5293"/>
        <item m="1" x="4250"/>
        <item m="1" x="5341"/>
        <item m="1" x="1054"/>
        <item m="1" x="5890"/>
        <item m="1" x="4062"/>
        <item m="1" x="1926"/>
        <item m="1" x="3717"/>
        <item m="1" x="4547"/>
        <item m="1" x="311"/>
        <item m="1" x="4673"/>
        <item m="1" x="444"/>
        <item m="1" x="4821"/>
        <item m="1" x="584"/>
        <item m="1" x="4983"/>
        <item m="1" x="1479"/>
        <item m="1" x="5709"/>
        <item m="1" x="5862"/>
        <item m="1" x="591"/>
        <item m="1" x="7942"/>
        <item m="1" x="258"/>
        <item m="1" x="746"/>
        <item m="1" x="5342"/>
        <item m="1" x="5149"/>
        <item m="1" x="898"/>
        <item m="1" x="5493"/>
        <item m="1" x="1252"/>
        <item m="1" x="4209"/>
        <item m="1" x="5233"/>
        <item m="1" x="1085"/>
        <item m="1" x="5083"/>
        <item m="1" x="2589"/>
        <item m="1" x="5690"/>
        <item m="1" x="6248"/>
        <item m="1" x="1049"/>
        <item m="1" x="3721"/>
        <item m="1" x="4999"/>
        <item m="1" x="707"/>
        <item m="1" x="1129"/>
        <item m="1" x="5285"/>
        <item m="1" x="1040"/>
        <item m="1" x="5441"/>
        <item m="1" x="1784"/>
        <item m="1" x="1616"/>
        <item m="1" x="6003"/>
        <item m="1" x="4663"/>
        <item m="1" x="434"/>
        <item m="1" x="4810"/>
        <item m="1" x="573"/>
        <item m="1" x="4968"/>
        <item m="1" x="731"/>
        <item m="1" x="5141"/>
        <item m="1" x="880"/>
        <item m="1" x="5129"/>
        <item m="1" x="932"/>
        <item m="1" x="5358"/>
        <item m="1" x="5533"/>
        <item m="1" x="5377"/>
        <item m="1" x="4327"/>
        <item m="1" x="3066"/>
        <item m="1" x="242"/>
        <item m="1" x="952"/>
        <item m="1" x="7008"/>
        <item m="1" x="3219"/>
        <item m="1" x="876"/>
        <item m="1" x="4958"/>
        <item m="1" x="3945"/>
        <item m="1" x="3927"/>
        <item m="1" x="4238"/>
        <item m="1" x="4998"/>
        <item m="1" x="6454"/>
        <item m="1" x="560"/>
        <item m="1" x="5668"/>
        <item m="1" x="5002"/>
        <item m="1" x="7014"/>
        <item m="1" x="1933"/>
        <item m="1" x="6145"/>
        <item m="1" x="1765"/>
        <item m="1" x="5986"/>
        <item m="1" x="1599"/>
        <item m="1" x="5829"/>
        <item m="1" x="1443"/>
        <item m="1" x="7121"/>
        <item m="1" x="4792"/>
        <item m="1" x="5955"/>
        <item m="1" x="7426"/>
        <item m="1" x="2213"/>
        <item m="1" x="7671"/>
        <item m="1" x="235"/>
        <item m="1" x="5849"/>
        <item m="1" x="1460"/>
        <item m="1" x="5510"/>
        <item m="1" x="1270"/>
        <item m="1" x="374"/>
        <item m="1" x="2085"/>
        <item m="1" x="3662"/>
        <item m="1" x="5815"/>
        <item m="1" x="7907"/>
        <item m="1" x="1350"/>
        <item m="1" x="3435"/>
        <item m="1" x="5613"/>
        <item m="1" x="2556"/>
        <item m="1" x="5586"/>
        <item m="1" x="5323"/>
        <item m="1" x="4463"/>
        <item m="1" x="1905"/>
        <item m="1" x="1895"/>
        <item m="1" x="1726"/>
        <item m="1" x="6107"/>
        <item m="1" x="1583"/>
        <item m="1" x="6586"/>
        <item m="1" x="2551"/>
        <item m="1" x="271"/>
        <item m="1" x="127"/>
        <item m="1" x="2022"/>
        <item m="1" x="1177"/>
        <item m="1" x="5272"/>
        <item m="1" x="576"/>
        <item m="1" x="4348"/>
        <item m="1" x="7918"/>
        <item m="1" x="5956"/>
        <item m="1" x="1748"/>
        <item m="1" x="5974"/>
        <item m="1" x="1425"/>
        <item m="1" x="5652"/>
        <item m="1" x="2242"/>
        <item m="1" x="6415"/>
        <item m="1" x="6264"/>
        <item m="1" x="1899"/>
        <item m="1" x="2068"/>
        <item m="1" x="864"/>
        <item m="1" x="3441"/>
        <item m="1" x="7580"/>
        <item m="1" x="7439"/>
        <item m="1" x="3829"/>
        <item m="1" x="3934"/>
        <item m="1" x="1989"/>
        <item m="1" x="5800"/>
        <item m="1" x="1371"/>
        <item m="1" x="6768"/>
        <item m="1" x="3581"/>
        <item m="1" x="3436"/>
        <item m="1" x="3297"/>
        <item m="1" x="3146"/>
        <item m="1" x="3007"/>
        <item m="1" x="7967"/>
        <item m="1" x="3135"/>
        <item m="1" x="1198"/>
        <item m="1" x="1658"/>
        <item m="1" x="4464"/>
        <item m="1" x="3105"/>
        <item m="1" x="650"/>
        <item m="1" x="7208"/>
        <item m="1" x="7266"/>
        <item m="1" x="5108"/>
        <item m="1" x="3233"/>
        <item m="1" x="690"/>
        <item m="1" x="4942"/>
        <item m="1" x="6610"/>
        <item m="1" x="2658"/>
        <item m="1" x="1561"/>
        <item m="1" x="4461"/>
        <item m="1" x="6833"/>
        <item m="1" x="1637"/>
        <item m="1" x="7504"/>
        <item m="1" x="5124"/>
        <item m="1" x="1345"/>
        <item m="1" x="6356"/>
        <item m="1" x="1492"/>
        <item m="1" x="5723"/>
        <item m="1" x="5576"/>
        <item m="1" x="1336"/>
        <item m="1" x="1161"/>
        <item m="1" x="3226"/>
        <item m="1" x="205"/>
        <item m="1" x="4204"/>
        <item m="1" x="1651"/>
        <item m="1" x="691"/>
        <item m="1" x="5726"/>
        <item m="1" x="1337"/>
        <item m="1" x="866"/>
        <item m="1" x="5110"/>
        <item m="1" x="1495"/>
        <item m="1" x="4943"/>
        <item m="1" x="2626"/>
        <item m="1" x="1629"/>
        <item m="1" x="2775"/>
        <item m="1" x="7098"/>
        <item m="1" x="216"/>
        <item m="1" x="1827"/>
        <item m="1" x="7647"/>
        <item m="1" x="3014"/>
        <item m="1" x="5274"/>
        <item m="1" x="5307"/>
        <item m="1" x="4165"/>
        <item m="1" x="6901"/>
        <item m="1" x="3077"/>
        <item m="1" x="907"/>
        <item m="1" x="1873"/>
        <item m="1" x="1009"/>
        <item m="1" x="5412"/>
        <item m="1" x="6336"/>
        <item m="1" x="2923"/>
        <item m="1" x="5414"/>
        <item m="1" x="1163"/>
        <item m="1" x="1011"/>
        <item m="1" x="5792"/>
        <item m="1" x="3363"/>
        <item m="1" x="7185"/>
        <item m="1" x="2951"/>
        <item m="1" x="7497"/>
        <item m="1" x="5066"/>
        <item m="1" x="4024"/>
        <item m="1" x="7697"/>
        <item m="1" x="3555"/>
        <item m="1" x="5615"/>
        <item m="1" x="223"/>
        <item m="1" x="4865"/>
        <item m="1" x="6817"/>
        <item m="1" x="3209"/>
        <item m="1" x="6828"/>
        <item m="1" x="2645"/>
        <item m="1" x="7248"/>
        <item m="1" x="6967"/>
        <item m="1" x="2790"/>
        <item m="1" x="7114"/>
        <item m="1" x="2943"/>
        <item m="1" x="6685"/>
        <item m="1" x="2506"/>
        <item m="1" x="5589"/>
        <item m="1" x="1180"/>
        <item m="1" x="5429"/>
        <item m="1" x="1029"/>
        <item m="1" x="5758"/>
        <item m="1" x="339"/>
        <item m="1" x="7788"/>
        <item m="1" x="5578"/>
        <item m="1" x="7801"/>
        <item m="1" x="7019"/>
        <item m="1" x="1632"/>
        <item m="1" x="5865"/>
        <item m="1" x="3352"/>
        <item m="1" x="7386"/>
        <item m="1" x="3059"/>
        <item m="1" x="7360"/>
        <item m="1" x="2012"/>
        <item m="1" x="1676"/>
        <item m="1" x="2007"/>
        <item m="1" x="2357"/>
        <item m="1" x="5254"/>
        <item m="1" x="5092"/>
        <item m="1" x="47"/>
        <item m="1" x="2796"/>
        <item m="1" x="1481"/>
        <item m="1" x="845"/>
        <item m="1" x="3756"/>
        <item m="1" x="24"/>
        <item m="1" x="5470"/>
        <item m="1" x="1910"/>
        <item m="1" x="4330"/>
        <item m="1" x="1526"/>
        <item m="1" x="4408"/>
        <item m="1" x="2723"/>
        <item m="1" x="1787"/>
        <item m="1" x="1462"/>
        <item m="1" x="5692"/>
        <item m="1" x="7402"/>
        <item m="1" x="2330"/>
        <item m="1" x="7050"/>
        <item m="1" x="2652"/>
        <item m="1" x="6293"/>
        <item m="1" x="5378"/>
        <item m="1" x="1938"/>
        <item m="1" x="3906"/>
        <item m="1" x="3992"/>
        <item m="1" x="3577"/>
        <item m="1" x="7703"/>
        <item m="1" x="1130"/>
        <item m="1" x="5535"/>
        <item m="1" x="1293"/>
        <item m="1" x="4295"/>
        <item m="1" x="6423"/>
        <item m="1" x="7958"/>
        <item m="1" x="6439"/>
        <item m="1" x="2279"/>
        <item m="1" x="4407"/>
        <item m="1" x="7233"/>
        <item m="1" x="5234"/>
        <item m="1" x="990"/>
        <item m="1" x="5394"/>
        <item m="1" x="1147"/>
        <item m="1" x="5557"/>
        <item m="1" x="1320"/>
        <item m="1" x="5711"/>
        <item m="1" x="7866"/>
        <item m="1" x="7824"/>
        <item m="1" x="5191"/>
        <item m="1" x="870"/>
        <item m="1" x="1602"/>
        <item m="1" x="1768"/>
        <item m="1" x="5989"/>
        <item m="1" x="6149"/>
        <item m="1" x="5832"/>
        <item m="1" x="7085"/>
        <item m="1" x="6884"/>
        <item m="1" x="7273"/>
        <item m="1" x="3537"/>
        <item m="1" x="4416"/>
        <item m="1" x="7296"/>
        <item m="1" x="3573"/>
        <item m="1" x="7123"/>
        <item m="1" x="480"/>
        <item m="1" x="6492"/>
        <item m="1" x="3549"/>
        <item m="1" x="3432"/>
        <item m="1" x="749"/>
        <item m="1" x="5453"/>
        <item m="1" x="5301"/>
        <item m="1" x="906"/>
        <item m="1" x="900"/>
        <item m="1" x="1271"/>
        <item m="1" x="4986"/>
        <item m="1" x="1061"/>
        <item m="1" x="5511"/>
        <item m="1" x="3049"/>
        <item m="1" x="7224"/>
        <item m="1" x="2896"/>
        <item m="1" x="7884"/>
        <item m="1" x="5152"/>
        <item m="1" x="2761"/>
        <item m="1" x="7624"/>
        <item m="1" x="6940"/>
        <item m="1" x="3496"/>
        <item m="1" x="6383"/>
        <item m="1" x="250"/>
        <item m="1" x="3795"/>
        <item m="1" x="4710"/>
        <item m="1" x="3271"/>
        <item m="1" x="2311"/>
        <item m="1" x="7033"/>
        <item m="1" x="6623"/>
        <item m="1" x="6328"/>
        <item m="1" x="3582"/>
        <item m="1" x="7413"/>
        <item m="1" x="4320"/>
        <item m="1" x="1361"/>
        <item m="1" x="3086"/>
        <item m="1" x="4974"/>
        <item m="1" x="5597"/>
        <item m="1" x="3191"/>
        <item m="1" x="3115"/>
        <item m="1" x="7258"/>
        <item m="1" x="125"/>
        <item m="1" x="7347"/>
        <item m="1" x="1193"/>
        <item m="1" x="2982"/>
        <item m="1" x="7013"/>
        <item m="1" x="3767"/>
        <item m="1" x="7418"/>
        <item m="1" x="346"/>
        <item m="1" x="3482"/>
        <item m="1" x="5796"/>
        <item m="1" x="6899"/>
        <item m="1" x="7787"/>
        <item m="1" x="3650"/>
        <item m="1" x="3833"/>
        <item m="1" x="7687"/>
        <item m="1" x="7218"/>
        <item m="1" x="618"/>
        <item m="1" x="7455"/>
        <item m="1" x="7328"/>
        <item m="1" x="7052"/>
        <item m="1" x="2892"/>
        <item m="1" x="6240"/>
        <item m="1" x="7331"/>
        <item m="1" x="5004"/>
        <item m="1" x="5288"/>
        <item m="1" x="883"/>
        <item m="1" x="5132"/>
        <item m="1" x="2650"/>
        <item m="1" x="3668"/>
        <item m="1" x="7239"/>
        <item m="1" x="4890"/>
        <item m="1" x="6718"/>
        <item m="1" x="774"/>
        <item m="1" x="1737"/>
        <item m="1" x="6028"/>
        <item m="1" x="5875"/>
        <item m="1" x="1497"/>
        <item m="1" x="1031"/>
        <item m="1" x="1821"/>
        <item m="1" x="1643"/>
        <item m="1" x="5275"/>
        <item m="1" x="5431"/>
        <item m="1" x="723"/>
        <item m="1" x="5171"/>
        <item m="1" x="2763"/>
        <item m="1" x="5600"/>
        <item m="1" x="1653"/>
        <item m="1" x="5319"/>
        <item m="1" x="4454"/>
        <item m="1" x="2999"/>
        <item m="1" x="3504"/>
        <item m="1" x="4008"/>
        <item m="1" x="5591"/>
        <item m="1" x="1507"/>
        <item m="1" x="4828"/>
        <item m="1" x="1339"/>
        <item m="1" x="1182"/>
        <item m="1" x="4992"/>
        <item m="1" x="5614"/>
        <item m="1" x="7718"/>
        <item m="1" x="2762"/>
        <item m="1" x="5173"/>
        <item m="1" x="3045"/>
        <item m="1" x="3613"/>
        <item m="1" x="7072"/>
        <item m="1" x="7466"/>
        <item m="1" x="7611"/>
        <item m="1" x="3333"/>
        <item m="1" x="7743"/>
        <item m="1" x="3477"/>
        <item m="1" x="5887"/>
        <item m="1" x="6972"/>
        <item m="1" x="4757"/>
        <item m="1" x="2679"/>
        <item m="1" x="2696"/>
        <item m="1" x="6903"/>
        <item m="1" x="6993"/>
        <item m="1" x="5728"/>
        <item m="1" x="6852"/>
        <item m="1" x="5949"/>
        <item m="1" x="1558"/>
        <item m="1" x="107"/>
        <item m="1" x="4077"/>
        <item m="1" x="7025"/>
        <item m="1" x="7400"/>
        <item m="1" x="3120"/>
        <item m="1" x="2970"/>
        <item m="1" x="7284"/>
        <item m="1" x="7138"/>
        <item m="1" x="7377"/>
        <item m="1" x="1205"/>
        <item m="1" x="3390"/>
        <item m="1" x="5763"/>
        <item m="1" x="3243"/>
        <item m="1" x="3085"/>
        <item m="1" x="5658"/>
        <item m="1" x="228"/>
        <item m="1" x="5235"/>
        <item m="1" x="2804"/>
        <item m="1" x="3499"/>
        <item m="1" x="7131"/>
        <item m="1" x="7763"/>
        <item m="1" x="3251"/>
        <item m="1" x="7391"/>
        <item m="1" x="7531"/>
        <item m="1" x="7280"/>
        <item m="1" x="3112"/>
        <item m="1" x="2960"/>
        <item m="1" x="778"/>
        <item m="1" x="6981"/>
        <item m="1" x="7527"/>
        <item m="1" x="3388"/>
        <item m="1" x="3228"/>
        <item m="1" x="2194"/>
        <item m="1" x="6898"/>
        <item m="1" x="5011"/>
        <item m="1" x="776"/>
        <item m="1" x="3630"/>
        <item m="1" x="5547"/>
        <item m="1" x="1216"/>
        <item m="1" x="7309"/>
        <item m="1" x="1413"/>
        <item m="1" x="2154"/>
        <item m="1" x="581"/>
        <item m="1" x="7268"/>
        <item m="1" x="2946"/>
        <item m="1" x="3649"/>
        <item m="1" x="3524"/>
        <item m="1" x="7784"/>
        <item m="1" x="3898"/>
        <item m="1" x="1885"/>
        <item m="1" x="3480"/>
        <item m="1" x="7745"/>
        <item m="1" x="3615"/>
        <item m="1" x="7877"/>
        <item m="1" x="4087"/>
        <item m="1" x="7614"/>
        <item m="1" x="7372"/>
        <item m="1" x="3080"/>
        <item m="1" x="7251"/>
        <item m="1" x="3097"/>
        <item m="1" x="7383"/>
        <item m="1" x="7117"/>
        <item m="1" x="7657"/>
        <item m="1" x="3870"/>
        <item m="1" x="7996"/>
        <item m="1" x="3749"/>
        <item m="1" x="6880"/>
        <item m="1" x="3770"/>
        <item m="1" x="7827"/>
        <item m="1" x="7044"/>
        <item m="1" x="3155"/>
        <item m="1" x="6746"/>
        <item m="1" x="1215"/>
        <item m="1" x="1414"/>
        <item m="1" x="615"/>
        <item m="1" x="5156"/>
        <item m="1" x="755"/>
        <item m="1" x="593"/>
        <item m="1" x="4831"/>
        <item m="1" x="454"/>
        <item m="1" x="4680"/>
        <item m="1" x="321"/>
        <item m="1" x="4557"/>
        <item m="1" x="1060"/>
        <item m="1" x="5300"/>
        <item m="1" x="899"/>
        <item m="1" x="5151"/>
        <item m="1" x="889"/>
        <item m="1" x="1412"/>
        <item m="1" x="748"/>
        <item m="1" x="4985"/>
        <item m="1" x="586"/>
        <item m="1" x="4823"/>
        <item m="1" x="446"/>
        <item m="1" x="4675"/>
        <item m="1" x="5446"/>
        <item m="1" x="1052"/>
        <item m="1" x="3967"/>
        <item m="1" x="7310"/>
        <item m="1" x="6628"/>
        <item m="1" x="3392"/>
        <item m="1" x="3541"/>
        <item m="1" x="1969"/>
        <item m="1" x="3763"/>
        <item m="1" x="7890"/>
        <item m="1" x="7901"/>
        <item m="1" x="3644"/>
        <item m="1" x="485"/>
        <item m="1" x="3983"/>
        <item m="1" x="5881"/>
        <item m="1" x="121"/>
        <item m="1" x="5620"/>
        <item m="1" x="7627"/>
        <item m="1" x="3349"/>
        <item m="1" x="7483"/>
        <item m="1" x="3976"/>
        <item m="1" x="6761"/>
        <item m="1" x="5296"/>
        <item m="1" x="4245"/>
        <item m="1" x="1082"/>
        <item m="1" x="7776"/>
        <item m="1" x="4183"/>
        <item m="1" x="3666"/>
        <item m="1" x="7286"/>
        <item m="1" x="892"/>
        <item m="1" x="6437"/>
        <item m="1" x="3514"/>
        <item m="1" x="3366"/>
        <item m="1" x="5895"/>
        <item m="1" x="1797"/>
        <item m="1" x="791"/>
        <item m="1" x="1415"/>
        <item m="1" x="4589"/>
        <item m="1" x="7375"/>
        <item m="1" x="1679"/>
        <item m="1" x="6424"/>
        <item m="1" x="7983"/>
        <item m="1" x="7874"/>
        <item m="1" x="4099"/>
        <item m="1" x="733"/>
        <item m="1" x="4971"/>
        <item m="1" x="575"/>
        <item m="1" x="4812"/>
        <item m="1" x="7500"/>
        <item m="1" x="4136"/>
        <item m="1" x="5008"/>
        <item m="1" x="2549"/>
        <item m="1" x="1539"/>
        <item m="1" x="3733"/>
        <item m="1" x="7861"/>
        <item m="1" x="3606"/>
        <item m="1" x="7733"/>
        <item m="1" x="5143"/>
        <item m="1" x="1374"/>
        <item m="1" x="4556"/>
        <item m="1" x="7642"/>
        <item m="1" x="6121"/>
        <item m="1" x="1236"/>
        <item m="1" x="4835"/>
        <item m="1" x="3881"/>
        <item m="1" x="456"/>
        <item m="1" x="4684"/>
        <item m="1" x="6527"/>
        <item m="1" x="2170"/>
        <item m="1" x="613"/>
        <item m="1" x="4433"/>
        <item m="1" x="328"/>
        <item m="1" x="211"/>
        <item m="1" x="4563"/>
        <item m="1" x="209"/>
        <item m="1" x="6360"/>
        <item m="1" x="3309"/>
        <item m="1" x="6441"/>
        <item m="1" x="6688"/>
        <item m="1" x="1225"/>
        <item m="1" x="2182"/>
        <item m="1" x="5321"/>
        <item m="1" x="7411"/>
        <item m="1" x="3370"/>
        <item m="1" x="352"/>
        <item m="1" x="1869"/>
        <item m="1" x="418"/>
        <item m="1" x="2326"/>
        <item m="1" x="6033"/>
        <item m="1" x="320"/>
        <item m="1" x="1825"/>
        <item m="1" x="4050"/>
        <item m="1" x="4390"/>
        <item m="1" x="6687"/>
        <item m="1" x="102"/>
        <item m="1" x="1416"/>
        <item m="1" x="4319"/>
        <item m="1" x="4830"/>
        <item m="1" x="592"/>
        <item m="1" x="7249"/>
        <item m="1" x="3078"/>
        <item m="1" x="7370"/>
        <item m="1" x="3227"/>
        <item m="1" x="7512"/>
        <item m="1" x="597"/>
        <item m="1" x="7953"/>
        <item m="1" x="4061"/>
        <item m="1" x="6800"/>
        <item m="1" x="4290"/>
        <item m="1" x="7846"/>
        <item m="1" x="3718"/>
        <item m="1" x="7969"/>
        <item m="1" x="3843"/>
        <item m="1" x="4075"/>
        <item m="1" x="2924"/>
        <item m="1" x="4679"/>
        <item m="1" x="4977"/>
        <item m="1" x="754"/>
        <item m="1" x="4990"/>
        <item m="1" x="610"/>
        <item m="1" x="3915"/>
        <item m="1" x="6164"/>
        <item m="1" x="5680"/>
        <item m="1" x="4822"/>
        <item m="1" x="585"/>
        <item m="1" x="5640"/>
        <item m="1" x="6951"/>
        <item m="1" x="445"/>
        <item m="1" x="5810"/>
        <item m="1" x="3210"/>
        <item m="1" x="6496"/>
        <item m="1" x="6760"/>
        <item m="1" x="7028"/>
        <item m="1" x="7299"/>
        <item m="1" x="7498"/>
        <item m="1" x="2565"/>
        <item m="1" x="4429"/>
        <item m="1" x="5150"/>
        <item m="1" x="747"/>
        <item m="1" x="4984"/>
        <item m="1" x="3512"/>
        <item m="1" x="7640"/>
        <item m="1" x="1051"/>
        <item m="1" x="4548"/>
        <item m="1" x="312"/>
        <item m="1" x="4674"/>
        <item m="1" x="92"/>
        <item m="1" x="3565"/>
        <item m="1" x="3805"/>
        <item m="1" x="3002"/>
        <item m="1" x="2883"/>
        <item m="1" x="3156"/>
        <item m="1" x="651"/>
        <item m="1" x="2202"/>
        <item m="1" x="7361"/>
        <item m="1" x="2308"/>
        <item m="1" x="2055"/>
        <item m="1" x="117"/>
        <item m="1" x="26"/>
        <item m="1" x="4243"/>
        <item m="1" x="5896"/>
        <item m="1" x="6183"/>
        <item m="1" x="3364"/>
        <item m="1" x="4970"/>
        <item m="1" x="4664"/>
        <item m="1" x="794"/>
        <item m="1" x="1713"/>
        <item m="1" x="4811"/>
        <item m="1" x="435"/>
        <item m="1" x="574"/>
        <item m="1" x="5286"/>
        <item m="1" x="1041"/>
        <item m="1" x="5442"/>
        <item m="1" x="1191"/>
        <item m="1" x="5130"/>
        <item m="1" x="881"/>
        <item m="1" x="709"/>
        <item m="1" x="5785"/>
        <item m="1" x="1664"/>
        <item m="1" x="595"/>
        <item m="1" x="6508"/>
        <item m="1" x="7625"/>
        <item m="1" x="3347"/>
        <item m="1" x="3628"/>
        <item m="1" x="3497"/>
        <item m="1" x="7641"/>
        <item m="1" x="7761"/>
        <item m="1" x="7362"/>
        <item m="1" x="7086"/>
        <item m="1" x="3211"/>
        <item m="1" x="7064"/>
        <item m="1" x="7401"/>
        <item m="1" x="1208"/>
        <item m="1" x="1369"/>
        <item m="1" x="5715"/>
        <item m="1" x="3365"/>
        <item m="1" x="3061"/>
        <item m="1" x="7234"/>
        <item m="1" x="3060"/>
        <item m="1" x="7499"/>
        <item m="1" x="4472"/>
        <item m="1" x="7959"/>
        <item m="1" x="1353"/>
        <item m="1" x="4793"/>
        <item m="1" x="7775"/>
        <item m="1" x="6358"/>
        <item m="1" x="2908"/>
        <item m="1" x="3513"/>
        <item m="1" x="2509"/>
        <item m="1" x="7875"/>
        <item m="1" x="3747"/>
        <item m="1" x="7219"/>
        <item m="1" x="3046"/>
        <item m="1" x="7348"/>
        <item m="1" x="3192"/>
        <item m="1" x="7481"/>
        <item m="1" x="3334"/>
        <item m="1" x="7612"/>
        <item m="1" x="3478"/>
        <item m="1" x="7651"/>
        <item m="1" x="7626"/>
        <item m="1" x="7889"/>
        <item m="1" x="2907"/>
        <item m="1" x="903"/>
        <item m="1" x="6894"/>
        <item m="1" x="7235"/>
        <item m="1" x="7467"/>
        <item m="1" x="39"/>
        <item m="1" x="1192"/>
        <item m="1" x="3762"/>
        <item m="1" x="3498"/>
        <item m="1" x="7762"/>
        <item m="1" x="3629"/>
        <item m="1" x="1522"/>
        <item m="1" x="6407"/>
        <item m="1" x="4713"/>
        <item m="1" x="7338"/>
        <item m="1" x="3177"/>
        <item m="1" x="3857"/>
        <item m="1" x="3031"/>
        <item m="1" x="7982"/>
        <item m="1" x="3530"/>
        <item m="1" x="108"/>
        <item m="1" x="7445"/>
        <item m="1" x="5759"/>
        <item m="1" x="3348"/>
        <item m="1" x="7416"/>
        <item m="1" x="3479"/>
        <item m="1" x="3193"/>
        <item m="1" x="7482"/>
        <item m="1" x="7859"/>
        <item m="1" x="3604"/>
        <item m="1" x="7731"/>
        <item m="1" x="3461"/>
        <item m="1" x="7453"/>
        <item m="1" x="2974"/>
        <item m="1" x="6868"/>
        <item m="1" x="2545"/>
        <item m="1" x="6733"/>
        <item m="1" x="2419"/>
        <item m="1" x="6599"/>
        <item m="1" x="2284"/>
        <item m="1" x="6361"/>
        <item m="1" x="3869"/>
        <item m="1" x="3732"/>
        <item m="1" x="7327"/>
        <item m="1" x="7995"/>
        <item m="1" x="55"/>
        <item m="1" x="2536"/>
        <item m="1" x="6860"/>
        <item m="1" x="2688"/>
        <item m="1" x="6999"/>
        <item m="1" x="2821"/>
        <item m="1" x="6310"/>
        <item m="1" x="2118"/>
        <item m="1" x="6461"/>
        <item m="1" x="5018"/>
        <item m="1" x="1694"/>
        <item m="1" x="2864"/>
        <item m="1" x="3748"/>
        <item m="1" x="5751"/>
        <item m="1" x="6582"/>
        <item m="1" x="3110"/>
        <item m="1" x="6395"/>
        <item m="1" x="6592"/>
        <item m="1" x="2272"/>
        <item m="1" x="2405"/>
        <item m="1" x="6447"/>
        <item m="1" x="6850"/>
        <item m="1" x="2528"/>
        <item m="1" x="6991"/>
        <item m="1" x="6723"/>
        <item m="1" x="2958"/>
        <item m="1" x="2395"/>
        <item m="1" x="6712"/>
        <item m="1" x="2812"/>
        <item m="1" x="2677"/>
        <item m="1" x="7278"/>
        <item m="1" x="3614"/>
        <item m="1" x="7876"/>
        <item m="1" x="5604"/>
        <item m="1" x="349"/>
        <item m="1" x="7954"/>
        <item m="1" x="7744"/>
        <item m="1" x="7691"/>
        <item m="1" x="4840"/>
        <item m="1" x="6120"/>
        <item m="1" x="1149"/>
        <item m="1" x="7930"/>
        <item m="1" x="6499"/>
        <item m="1" x="7613"/>
        <item m="1" x="7946"/>
        <item m="1" x="1245"/>
        <item m="1" x="2861"/>
        <item m="1" x="4074"/>
        <item m="1" x="7387"/>
        <item m="1" x="7585"/>
        <item m="1" x="7468"/>
        <item m="1" x="7294"/>
        <item m="1" x="7267"/>
        <item m="1" x="3995"/>
        <item m="1" x="7908"/>
        <item m="1" x="1826"/>
        <item m="1" x="1842"/>
        <item m="1" x="3096"/>
        <item m="1" x="1246"/>
        <item m="1" x="2944"/>
        <item m="1" x="2851"/>
        <item m="1" x="3335"/>
        <item m="1" x="5899"/>
        <item m="1" x="7115"/>
        <item m="1" x="2072"/>
        <item m="1" x="3966"/>
        <item m="1" x="1659"/>
        <item m="1" x="76"/>
        <item m="1" x="7860"/>
        <item m="1" x="2950"/>
        <item m="1" x="7598"/>
        <item m="1" x="3605"/>
        <item m="1" x="3462"/>
        <item m="1" x="7732"/>
        <item m="1" x="3676"/>
        <item m="1" x="4358"/>
        <item m="1" x="4345"/>
        <item m="1" x="5305"/>
        <item m="1" x="2627"/>
        <item m="1" x="4648"/>
        <item m="1" x="2795"/>
        <item m="1" x="7039"/>
        <item m="1" x="3842"/>
        <item m="1" x="5154"/>
        <item m="1" x="3580"/>
        <item m="1" x="284"/>
        <item m="1" x="2818"/>
        <item m="1" x="3955"/>
        <item m="1" x="4246"/>
        <item m="1" x="6968"/>
        <item m="1" x="2426"/>
        <item m="1" x="3256"/>
        <item m="1" x="6332"/>
        <item m="1" x="2146"/>
        <item m="1" x="3635"/>
        <item m="1" x="7968"/>
        <item m="1" x="7715"/>
        <item m="1" x="5465"/>
        <item m="1" x="5287"/>
        <item m="1" x="1820"/>
        <item m="1" x="6179"/>
        <item m="1" x="1794"/>
        <item m="1" x="1975"/>
        <item m="1" x="2393"/>
        <item m="1" x="1641"/>
        <item m="1" x="6027"/>
        <item m="1" x="847"/>
        <item m="1" x="7045"/>
        <item m="1" x="6580"/>
        <item m="1" x="191"/>
        <item m="1" x="6695"/>
        <item m="1" x="3298"/>
        <item m="1" x="6569"/>
        <item m="1" x="2380"/>
        <item m="1" x="7554"/>
        <item m="1" x="3376"/>
        <item m="1" x="7903"/>
        <item m="1" x="6710"/>
        <item m="1" x="5466"/>
        <item m="1" x="5873"/>
        <item m="1" x="3422"/>
        <item m="1" x="2259"/>
        <item m="1" x="6433"/>
        <item m="1" x="2088"/>
        <item m="1" x="6283"/>
        <item m="1" x="1922"/>
        <item m="1" x="6132"/>
        <item m="1" x="2661"/>
        <item m="1" x="6836"/>
        <item m="1" x="1542"/>
        <item m="1" x="2244"/>
        <item m="1" x="5472"/>
        <item m="1" x="5725"/>
        <item m="1" x="587"/>
        <item m="1" x="2071"/>
        <item m="1" x="6872"/>
        <item m="1" x="7172"/>
        <item m="1" x="5317"/>
        <item m="1" x="7893"/>
        <item m="1" x="317"/>
        <item m="1" x="455"/>
        <item m="1" x="2288"/>
        <item m="1" x="1324"/>
        <item m="1" x="3529"/>
        <item m="1" x="6826"/>
        <item m="1" x="2117"/>
        <item m="1" x="2504"/>
        <item m="1" x="2643"/>
        <item m="1" x="2283"/>
        <item m="1" x="22"/>
        <item m="1" x="635"/>
        <item m="1" x="5420"/>
        <item m="1" x="3897"/>
        <item m="1" x="6459"/>
        <item m="1" x="2788"/>
        <item m="1" x="6267"/>
        <item m="1" x="7307"/>
        <item m="1" x="5864"/>
        <item m="1" x="6965"/>
        <item m="1" x="2300"/>
        <item m="1" x="2847"/>
        <item m="1" x="2230"/>
        <item m="1" x="2368"/>
        <item m="1" x="6554"/>
        <item m="1" x="5468"/>
        <item m="1" x="6006"/>
        <item m="1" x="6683"/>
        <item m="1" x="6378"/>
        <item m="1" x="6722"/>
        <item m="1" x="2535"/>
        <item m="1" x="1670"/>
        <item m="1" x="6404"/>
        <item m="1" x="5139"/>
        <item m="1" x="7675"/>
        <item m="1" x="1845"/>
        <item m="1" x="2038"/>
        <item m="1" x="857"/>
        <item m="1" x="2128"/>
        <item m="1" x="6470"/>
        <item m="1" x="5316"/>
        <item m="1" x="1550"/>
        <item m="1" x="1631"/>
        <item m="1" x="1786"/>
        <item m="1" x="6160"/>
        <item m="1" x="2624"/>
        <item m="1" x="174"/>
        <item m="1" x="2921"/>
        <item m="1" x="6487"/>
        <item m="1" x="323"/>
        <item m="1" x="6321"/>
        <item m="1" x="6170"/>
        <item m="1" x="1967"/>
        <item m="1" x="6016"/>
        <item m="1" x="1802"/>
        <item m="1" x="7486"/>
        <item m="1" x="1956"/>
        <item m="1" x="1395"/>
        <item m="1" x="6309"/>
        <item m="1" x="6417"/>
        <item m="1" x="4365"/>
        <item m="1" x="2759"/>
        <item m="1" x="2573"/>
        <item m="1" x="2905"/>
        <item m="1" x="1494"/>
        <item m="1" x="6815"/>
        <item m="1" x="7232"/>
        <item m="1" x="3058"/>
        <item m="1" x="6539"/>
        <item m="1" x="2352"/>
        <item m="1" x="6668"/>
        <item m="1" x="2487"/>
        <item m="1" x="6774"/>
        <item m="1" x="6590"/>
        <item m="1" x="2404"/>
        <item m="1" x="5179"/>
        <item m="1" x="7083"/>
        <item m="1" x="6351"/>
        <item m="1" x="4078"/>
        <item m="1" x="2570"/>
        <item m="1" x="1228"/>
        <item m="1" x="6938"/>
        <item m="1" x="2476"/>
        <item m="1" x="7864"/>
        <item m="1" x="512"/>
        <item m="1" x="6751"/>
        <item m="1" x="6025"/>
        <item m="1" x="4154"/>
        <item m="1" x="6653"/>
        <item m="1" x="2139"/>
        <item m="1" x="6979"/>
        <item m="1" x="2662"/>
        <item m="1" x="2517"/>
        <item m="1" x="6837"/>
        <item m="1" x="5590"/>
        <item m="1" x="6148"/>
        <item m="1" x="588"/>
        <item m="1" x="2929"/>
        <item m="1" x="481"/>
        <item m="1" x="882"/>
        <item m="1" x="5131"/>
        <item m="1" x="710"/>
        <item m="1" x="4959"/>
        <item m="1" x="1506"/>
        <item m="1" x="5734"/>
        <item m="1" x="1354"/>
        <item m="1" x="1181"/>
        <item m="1" x="5430"/>
        <item m="1" x="1030"/>
        <item m="1" x="1642"/>
        <item m="1" x="5874"/>
        <item m="1" x="1496"/>
        <item m="1" x="5727"/>
        <item m="1" x="1338"/>
        <item m="1" x="5579"/>
        <item m="1" x="1164"/>
        <item m="1" x="5415"/>
        <item m="1" x="1012"/>
        <item m="1" x="5255"/>
        <item m="1" x="1804"/>
        <item m="1" x="6018"/>
        <item m="1" x="1633"/>
        <item m="1" x="2104"/>
        <item m="1" x="6298"/>
        <item m="1" x="6570"/>
        <item m="1" x="2245"/>
        <item m="1" x="6418"/>
        <item m="1" x="2942"/>
        <item m="1" x="7113"/>
        <item m="1" x="2789"/>
        <item m="1" x="6966"/>
        <item m="1" x="2644"/>
        <item m="1" x="6555"/>
        <item m="1" x="3550"/>
        <item m="1" x="7181"/>
        <item m="1" x="7922"/>
        <item m="1" x="4175"/>
        <item m="1" x="2381"/>
        <item m="1" x="6696"/>
        <item m="1" x="7849"/>
        <item m="1" x="3236"/>
        <item m="1" x="3619"/>
        <item m="1" x="965"/>
        <item m="1" x="6602"/>
        <item m="1" x="2289"/>
        <item m="1" x="6471"/>
        <item m="1" x="2129"/>
        <item m="1" x="6322"/>
        <item m="1" x="2369"/>
        <item m="1" x="6684"/>
        <item m="1" x="2505"/>
        <item m="1" x="6827"/>
        <item m="1" x="2049"/>
        <item m="1" x="2527"/>
        <item m="1" x="7308"/>
        <item m="1" x="2011"/>
        <item m="1" x="4177"/>
        <item m="1" x="6511"/>
        <item m="1" x="2774"/>
        <item m="1" x="7097"/>
        <item m="1" x="4242"/>
        <item m="1" x="6950"/>
        <item m="1" x="6849"/>
        <item m="1" x="7247"/>
        <item m="1" x="3166"/>
        <item m="1" x="2307"/>
        <item m="1" x="2922"/>
        <item m="1" x="3152"/>
        <item m="1" x="5448"/>
        <item m="1" x="1834"/>
        <item m="1" x="1862"/>
        <item m="1" x="2625"/>
        <item m="1" x="2260"/>
        <item m="1" x="6581"/>
        <item m="1" x="885"/>
        <item m="1" x="1073"/>
        <item m="1" x="3067"/>
        <item m="1" x="2094"/>
        <item m="1" x="2675"/>
        <item m="1" x="893"/>
        <item m="1" x="2093"/>
        <item m="1" x="6881"/>
        <item m="1" x="2394"/>
        <item m="1" x="6711"/>
        <item m="1" x="3076"/>
        <item m="1" x="1937"/>
        <item m="1" x="6159"/>
        <item m="1" x="5762"/>
        <item m="1" x="2566"/>
        <item m="1" x="888"/>
        <item m="1" x="5919"/>
        <item m="1" x="1378"/>
        <item m="1" x="6730"/>
        <item m="1" x="1785"/>
        <item m="1" x="3338"/>
        <item m="1" x="5134"/>
        <item m="1" x="1461"/>
        <item m="1" x="4121"/>
        <item m="1" x="6483"/>
        <item m="1" x="6484"/>
        <item m="1" x="7274"/>
        <item m="1" x="1056"/>
        <item m="1" x="5918"/>
        <item m="1" x="5607"/>
        <item m="1" x="5005"/>
        <item m="1" x="4462"/>
        <item m="1" x="5611"/>
        <item m="1" x="245"/>
        <item m="1" x="5534"/>
        <item m="1" x="1617"/>
        <item m="1" x="6004"/>
        <item m="1" x="5850"/>
        <item m="1" x="1934"/>
        <item m="1" x="1660"/>
        <item m="1" x="1292"/>
        <item m="1" x="716"/>
        <item m="1" x="343"/>
        <item m="1" x="6209"/>
        <item m="1" x="1968"/>
        <item m="1" x="6669"/>
        <item m="1" x="2930"/>
        <item m="1" x="7780"/>
        <item m="1" x="3793"/>
        <item m="1" x="6296"/>
        <item m="1" x="2102"/>
        <item m="1" x="6211"/>
        <item m="1" x="6816"/>
        <item m="1" x="2488"/>
        <item m="1" x="1766"/>
        <item m="1" x="6146"/>
        <item m="1" x="2862"/>
        <item m="1" x="1444"/>
        <item m="1" x="6171"/>
        <item m="1" x="2257"/>
        <item m="1" x="6431"/>
        <item m="1" x="3397"/>
        <item m="1" x="5669"/>
        <item m="1" x="7177"/>
        <item m="1" x="6131"/>
        <item m="1" x="3208"/>
        <item m="1" x="1839"/>
        <item m="1" x="4795"/>
        <item m="1" x="5691"/>
        <item m="1" x="5866"/>
        <item m="1" x="1749"/>
        <item m="1" x="1920"/>
        <item m="1" x="6939"/>
        <item m="1" x="2152"/>
        <item m="1" x="6591"/>
        <item m="1" x="4776"/>
        <item m="1" x="2906"/>
        <item m="1" x="2760"/>
        <item m="1" x="7084"/>
        <item m="1" x="2086"/>
        <item m="1" x="6281"/>
        <item m="1" x="5816"/>
        <item m="1" x="5987"/>
        <item m="1" x="1600"/>
        <item m="1" x="1584"/>
        <item m="1" x="6704"/>
        <item m="1" x="2069"/>
        <item m="1" x="6502"/>
        <item m="1" x="3346"/>
        <item m="1" x="199"/>
        <item m="1" x="5975"/>
        <item m="1" x="6797"/>
        <item m="1" x="2378"/>
        <item m="1" x="6567"/>
        <item m="1" x="2435"/>
        <item m="1" x="3104"/>
        <item m="1" x="1888"/>
        <item m="1" x="6434"/>
        <item m="1" x="5125"/>
        <item m="1" x="6265"/>
        <item m="1" x="7588"/>
        <item m="1" x="6764"/>
        <item m="1" x="1803"/>
        <item m="1" x="6017"/>
        <item m="1" x="6732"/>
        <item m="1" x="4000"/>
        <item m="1" x="2503"/>
        <item m="1" x="5830"/>
        <item m="1" x="3688"/>
        <item m="1" x="614"/>
        <item m="1" x="7027"/>
        <item m="1" x="1900"/>
        <item m="1" x="3924"/>
        <item m="1" x="1730"/>
        <item m="1" x="2703"/>
        <item m="1" x="2144"/>
        <item m="1" x="4415"/>
        <item m="1" x="4185"/>
        <item m="1" x="6205"/>
        <item m="1" x="2998"/>
        <item m="1" x="6627"/>
        <item m="1" x="3095"/>
        <item m="1" x="5953"/>
        <item m="1" x="6671"/>
        <item m="1" x="5439"/>
        <item m="1" x="7570"/>
        <item m="1" x="3393"/>
        <item m="1" x="1943"/>
        <item m="1" x="7564"/>
        <item m="1" x="7291"/>
        <item m="1" x="7217"/>
        <item m="1" x="2367"/>
        <item m="1" x="6553"/>
        <item m="1" x="3044"/>
        <item m="1" x="2214"/>
        <item m="1" x="3990"/>
        <item m="1" x="5265"/>
        <item m="1" x="3520"/>
        <item m="1" x="2228"/>
        <item m="1" x="3190"/>
        <item m="1" x="7480"/>
        <item m="1" x="5742"/>
        <item m="1" x="7346"/>
        <item m="1" x="7433"/>
        <item m="1" x="6682"/>
        <item m="1" x="6111"/>
        <item m="1" x="2747"/>
        <item m="1" x="6924"/>
        <item m="1" x="2428"/>
        <item m="1" x="7143"/>
        <item m="1" x="2822"/>
        <item m="1" x="7000"/>
        <item m="1" x="6724"/>
        <item m="1" x="6861"/>
        <item m="1" x="2537"/>
        <item m="1" x="2406"/>
        <item m="1" x="348"/>
        <item m="1" x="2689"/>
        <item m="1" x="5114"/>
        <item m="1" x="7565"/>
        <item m="1" x="2329"/>
        <item m="1" x="4951"/>
        <item m="1" x="2676"/>
        <item m="1" x="3215"/>
        <item m="1" x="6593"/>
        <item m="1" x="3119"/>
        <item m="1" x="7283"/>
        <item m="1" x="2969"/>
        <item m="1" x="7137"/>
        <item m="1" x="2813"/>
        <item m="1" x="365"/>
        <item m="1" x="1482"/>
        <item m="1" x="2544"/>
        <item m="1" x="2836"/>
        <item m="1" x="7151"/>
        <item m="1" x="1405"/>
        <item m="1" x="5568"/>
        <item m="1" x="6992"/>
        <item m="1" x="1514"/>
        <item m="1" x="2678"/>
        <item m="1" x="308"/>
        <item m="1" x="1850"/>
        <item m="1" x="2966"/>
        <item m="1" x="1673"/>
        <item m="1" x="2529"/>
        <item m="1" x="1721"/>
        <item m="1" x="3255"/>
        <item m="1" x="360"/>
        <item m="1" x="7281"/>
        <item m="1" x="2280"/>
        <item m="1" x="7065"/>
        <item m="1" x="7421"/>
        <item m="1" x="6851"/>
        <item m="1" x="7174"/>
        <item m="1" x="7601"/>
        <item m="1" x="1487"/>
        <item m="1" x="2559"/>
        <item m="1" x="5561"/>
        <item m="1" x="2806"/>
        <item m="1" x="878"/>
        <item m="1" x="7132"/>
        <item m="1" x="6224"/>
        <item m="1" x="6713"/>
        <item m="1" x="2961"/>
        <item m="1" x="6083"/>
        <item m="1" x="3284"/>
        <item m="1" x="6011"/>
        <item m="1" x="367"/>
        <item m="1" x="3567"/>
        <item m="1" x="3111"/>
        <item m="1" x="7279"/>
        <item m="1" x="6460"/>
        <item m="1" x="2948"/>
        <item m="1" x="3098"/>
        <item m="1" x="7384"/>
        <item m="1" x="7119"/>
        <item m="1" x="2792"/>
        <item m="1" x="2959"/>
        <item m="1" x="3244"/>
        <item m="1" x="4127"/>
        <item m="1" x="7408"/>
        <item m="1" x="2647"/>
        <item m="1" x="4217"/>
        <item m="1" x="4282"/>
        <item m="1" x="4137"/>
        <item m="1" x="4599"/>
        <item m="1" x="189"/>
        <item m="1" x="3917"/>
        <item m="1" x="6699"/>
        <item m="1" x="2520"/>
        <item m="1" x="6840"/>
        <item m="1" x="2665"/>
        <item m="1" x="6983"/>
        <item m="1" x="5712"/>
        <item m="1" x="6970"/>
        <item m="1" x="7270"/>
        <item m="1" x="603"/>
        <item m="1" x="1207"/>
        <item m="1" x="1840"/>
        <item m="1" x="2436"/>
        <item m="1" x="3968"/>
        <item m="1" x="2663"/>
        <item m="1" x="3543"/>
        <item m="1" x="2732"/>
        <item m="1" x="7102"/>
        <item m="1" x="7130"/>
        <item m="1" x="6980"/>
        <item m="1" x="4316"/>
        <item m="1" x="4343"/>
        <item m="1" x="7513"/>
        <item m="1" x="929"/>
        <item m="1" x="7373"/>
        <item m="1" x="3082"/>
        <item m="1" x="6838"/>
        <item m="1" x="7700"/>
        <item m="1" x="3230"/>
        <item m="1" x="3377"/>
        <item m="1" x="3664"/>
        <item m="1" x="2927"/>
        <item m="1" x="7100"/>
        <item m="1" x="638"/>
        <item m="1" x="3212"/>
        <item m="1" x="1321"/>
        <item m="1" x="3387"/>
        <item m="1" x="6953"/>
        <item m="1" x="7253"/>
        <item m="1" x="6644"/>
        <item m="1" x="2510"/>
        <item m="1" x="1375"/>
        <item m="1" x="7526"/>
        <item m="1" x="3242"/>
        <item m="1" x="3515"/>
        <item m="1" x="3780"/>
        <item m="1" x="5016"/>
        <item m="1" x="4826"/>
        <item m="1" x="5445"/>
        <item m="1" x="6037"/>
        <item m="1" x="451"/>
        <item m="1" x="3607"/>
        <item m="1" x="2777"/>
        <item m="1" x="3673"/>
        <item m="1" x="2778"/>
        <item m="1" x="6605"/>
        <item m="1" x="627"/>
        <item m="1" x="7087"/>
        <item m="1" x="3062"/>
        <item m="1" x="7363"/>
        <item m="1" x="2909"/>
        <item m="1" x="7236"/>
        <item m="1" x="3631"/>
        <item m="1" x="7628"/>
        <item m="1" x="7484"/>
        <item m="1" x="7764"/>
        <item m="1" x="3350"/>
        <item m="1" x="6801"/>
        <item m="1" x="6009"/>
        <item m="1" x="7683"/>
        <item m="1" x="6900"/>
        <item m="1" x="6376"/>
        <item m="1" x="7220"/>
        <item m="1" x="3500"/>
        <item m="1" x="2945"/>
        <item m="1" x="7116"/>
        <item m="1" x="2791"/>
        <item m="1" x="1719"/>
        <item m="1" x="2702"/>
        <item m="1" x="7643"/>
        <item m="1" x="4580"/>
        <item m="1" x="1298"/>
        <item m="1" x="5455"/>
        <item m="1" x="3264"/>
        <item m="1" x="4995"/>
        <item m="1" x="6969"/>
        <item m="1" x="6167"/>
        <item m="1" x="2442"/>
        <item m="1" x="4339"/>
        <item m="1" x="4334"/>
        <item m="1" x="2846"/>
        <item m="1" x="2716"/>
        <item m="1" x="3093"/>
        <item m="1" x="3791"/>
        <item m="1" x="4214"/>
        <item m="1" x="3295"/>
        <item m="1" x="1903"/>
        <item m="1" x="1690"/>
        <item m="1" x="2103"/>
        <item m="1" x="3957"/>
        <item m="1" x="6597"/>
        <item m="1" x="628"/>
        <item m="1" x="6050"/>
        <item m="1" x="6720"/>
        <item m="1" x="2243"/>
        <item m="1" x="7656"/>
        <item m="1" x="3269"/>
        <item m="1" x="6297"/>
        <item m="1" x="2584"/>
        <item m="1" x="2229"/>
        <item m="1" x="6403"/>
        <item m="1" x="4839"/>
        <item m="1" x="4244"/>
        <item m="1" x="4449"/>
        <item m="1" x="1935"/>
        <item m="1" x="3523"/>
        <item m="1" x="3912"/>
        <item m="1" x="6147"/>
        <item m="1" x="1767"/>
        <item m="1" x="5988"/>
        <item m="1" x="5840"/>
        <item m="1" x="1883"/>
        <item m="1" x="1703"/>
        <item m="1" x="5831"/>
        <item m="1" x="1601"/>
        <item m="1" x="6077"/>
        <item m="1" x="5731"/>
        <item m="1" x="2392"/>
        <item m="1" x="1563"/>
        <item m="1" x="3643"/>
        <item m="1" x="1921"/>
        <item m="1" x="6609"/>
        <item m="1" x="6432"/>
        <item m="1" x="2087"/>
        <item m="1" x="4854"/>
        <item m="1" x="1530"/>
        <item m="1" x="7398"/>
        <item m="1" x="6282"/>
        <item m="1" x="3414"/>
        <item m="1" x="7250"/>
        <item m="1" x="6579"/>
        <item m="1" x="3079"/>
        <item m="1" x="1503"/>
        <item m="1" x="3546"/>
        <item m="1" x="1823"/>
        <item m="1" x="4683"/>
        <item m="1" x="3883"/>
        <item m="1" x="7371"/>
        <item m="1" x="6689"/>
        <item m="1" x="894"/>
        <item m="1" x="4585"/>
        <item m="1" x="2258"/>
        <item m="1" x="7519"/>
        <item m="1" x="6181"/>
        <item m="1" x="1977"/>
        <item m="1" x="6334"/>
        <item m="1" x="2141"/>
        <item m="1" x="6480"/>
        <item m="1" x="2297"/>
        <item m="1" x="2429"/>
        <item m="1" x="2552"/>
        <item m="1" x="6739"/>
        <item m="1" x="7659"/>
        <item m="1" x="6030"/>
        <item m="1" x="7011"/>
        <item m="1" x="1750"/>
        <item m="1" x="4711"/>
        <item m="1" x="6603"/>
        <item m="1" x="71"/>
        <item m="1" x="1535"/>
        <item m="1" x="2811"/>
        <item m="1" x="6990"/>
        <item m="1" x="7985"/>
        <item m="1" x="2379"/>
        <item m="1" x="6694"/>
        <item m="1" x="2515"/>
        <item m="1" x="5976"/>
        <item m="1" x="6112"/>
        <item m="1" x="1901"/>
        <item m="1" x="6266"/>
        <item m="1" x="2070"/>
        <item m="1" x="6416"/>
        <item m="1" x="6568"/>
        <item m="1" x="2642"/>
        <item m="1" x="6466"/>
        <item m="1" x="4344"/>
        <item m="1" x="7813"/>
        <item m="1" x="5115"/>
        <item m="1" x="6462"/>
        <item m="1" x="7407"/>
        <item m="1" x="6367"/>
        <item m="1" x="2808"/>
        <item m="1" x="7538"/>
        <item m="1" x="2021"/>
        <item m="1" x="1974"/>
        <item m="1" x="6026"/>
        <item m="1" x="7205"/>
        <item m="1" x="6184"/>
        <item m="1" x="7414"/>
        <item m="1" x="4140"/>
        <item m="1" x="7120"/>
        <item m="1" x="2949"/>
        <item m="1" x="7271"/>
        <item m="1" x="4234"/>
        <item m="1" x="2793"/>
        <item m="1" x="6701"/>
        <item m="1" x="2700"/>
        <item m="1" x="4867"/>
        <item m="1" x="2421"/>
        <item m="1" x="3771"/>
        <item m="1" x="4359"/>
        <item m="1" x="5724"/>
        <item m="1" x="6905"/>
        <item m="1" x="7518"/>
        <item m="1" x="7778"/>
        <item m="1" x="2871"/>
        <item m="1" x="2025"/>
        <item m="1" x="1677"/>
        <item m="1" x="7909"/>
        <item m="1" x="5000"/>
        <item m="1" x="3272"/>
        <item m="1" x="5169"/>
        <item m="1" x="1523"/>
        <item m="1" x="7902"/>
        <item m="1" x="2291"/>
        <item m="1" x="4855"/>
        <item m="1" x="56"/>
        <item m="1" x="6473"/>
        <item m="1" x="6324"/>
        <item m="1" x="1971"/>
        <item m="1" x="6173"/>
        <item m="1" x="2547"/>
        <item m="1" x="2131"/>
        <item m="1" x="7541"/>
        <item m="1" x="3525"/>
        <item m="1" x="341"/>
        <item m="1" x="2153"/>
        <item m="1" x="4004"/>
        <item m="1" x="6070"/>
        <item m="1" x="6252"/>
        <item m="1" x="7514"/>
        <item m="1" x="3231"/>
        <item m="1" x="1210"/>
        <item m="1" x="2880"/>
        <item m="1" x="3217"/>
        <item m="1" x="6446"/>
        <item m="1" x="6467"/>
        <item m="1" x="344"/>
        <item m="1" x="3446"/>
        <item m="1" x="5167"/>
        <item m="1" x="7170"/>
        <item m="1" x="6138"/>
        <item m="1" x="2121"/>
        <item m="1" x="7001"/>
        <item m="1" x="3178"/>
        <item m="1" x="2161"/>
        <item m="1" x="3282"/>
        <item m="1" x="2628"/>
        <item m="1" x="6408"/>
        <item m="1" x="412"/>
        <item m="1" x="4885"/>
        <item m="1" x="6005"/>
        <item m="1" x="6596"/>
        <item m="1" x="7139"/>
        <item m="1" x="2681"/>
        <item m="1" x="2531"/>
        <item m="1" x="7502"/>
        <item m="1" x="3882"/>
        <item m="1" x="7646"/>
        <item m="1" x="1700"/>
        <item m="1" x="2439"/>
        <item m="1" x="3706"/>
        <item m="1" x="7254"/>
        <item m="1" x="2928"/>
        <item m="1" x="7074"/>
        <item m="1" x="7101"/>
        <item m="1" x="7374"/>
        <item m="1" x="1155"/>
        <item m="1" x="3083"/>
        <item m="1" x="4522"/>
        <item m="1" x="1848"/>
        <item m="1" x="3378"/>
        <item m="1" x="350"/>
        <item m="1" x="2333"/>
        <item m="1" x="767"/>
        <item m="1" x="3516"/>
        <item m="1" x="7973"/>
        <item m="1" x="4184"/>
        <item m="1" x="4088"/>
        <item m="1" x="6065"/>
        <item m="1" x="7385"/>
        <item m="1" x="4006"/>
        <item m="1" x="2371"/>
        <item m="1" x="682"/>
        <item m="1" x="3367"/>
        <item m="1" x="7289"/>
        <item m="1" x="4444"/>
        <item m="1" x="4682"/>
        <item m="1" x="4976"/>
        <item m="1" x="2037"/>
        <item m="1" x="7777"/>
        <item m="1" x="1352"/>
        <item m="1" x="1381"/>
        <item m="1" x="3274"/>
        <item m="1" x="779"/>
        <item m="1" x="5833"/>
        <item m="1" x="6313"/>
        <item m="1" x="32"/>
        <item m="1" x="5886"/>
        <item m="1" x="3645"/>
        <item m="1" x="7644"/>
        <item m="1" x="3194"/>
        <item m="1" x="7349"/>
        <item m="1" x="2048"/>
        <item m="1" x="5022"/>
        <item m="1" x="2629"/>
        <item m="1" x="513"/>
        <item m="1" x="2841"/>
        <item m="1" x="5013"/>
        <item m="1" x="7005"/>
        <item m="1" x="6355"/>
        <item m="1" x="4728"/>
        <item m="1" x="6814"/>
        <item m="1" x="2623"/>
        <item m="1" x="6391"/>
        <item m="1" x="2210"/>
        <item m="1" x="6637"/>
        <item m="1" x="5612"/>
        <item m="1" x="5901"/>
        <item m="1" x="5693"/>
        <item m="1" x="1294"/>
        <item m="1" x="5536"/>
        <item m="1" x="2105"/>
        <item m="1" x="915"/>
        <item m="1" x="1769"/>
        <item m="1" x="5990"/>
        <item m="1" x="1603"/>
        <item m="1" x="1445"/>
        <item m="1" x="5670"/>
        <item m="1" x="6885"/>
        <item m="1" x="2261"/>
        <item m="1" x="6435"/>
        <item m="1" x="2089"/>
        <item m="1" x="6284"/>
        <item m="1" x="1923"/>
        <item m="1" x="2823"/>
        <item m="1" x="2691"/>
        <item m="1" x="6995"/>
        <item m="1" x="2816"/>
        <item m="1" x="2971"/>
        <item m="1" x="6451"/>
        <item m="1" x="2276"/>
        <item m="1" x="2409"/>
        <item m="1" x="307"/>
        <item m="1" x="3113"/>
        <item m="1" x="6854"/>
        <item m="1" x="3646"/>
        <item m="1" x="7173"/>
        <item m="1" x="6971"/>
        <item m="1" x="4342"/>
        <item m="1" x="1585"/>
        <item m="1" x="5817"/>
        <item m="1" x="1203"/>
        <item m="1" x="3517"/>
        <item m="1" x="7645"/>
        <item m="1" x="3368"/>
        <item m="1" x="3981"/>
        <item m="1" x="3765"/>
        <item m="1" x="7892"/>
        <item m="1" x="3632"/>
        <item m="1" x="7765"/>
        <item m="1" x="3502"/>
        <item m="1" x="3655"/>
        <item m="1" x="3751"/>
        <item m="1" x="7998"/>
        <item m="1" x="3872"/>
        <item m="1" x="7630"/>
        <item m="1" x="3977"/>
        <item m="1" x="7403"/>
        <item m="1" x="7747"/>
        <item m="1" x="3617"/>
        <item m="1" x="7879"/>
        <item m="1" x="3126"/>
        <item m="1" x="7288"/>
        <item m="1" x="6620"/>
        <item m="1" x="7984"/>
        <item m="1" x="7862"/>
        <item m="1" x="4304"/>
        <item m="1" x="3764"/>
        <item m="1" x="7364"/>
        <item m="1" x="3858"/>
        <item m="1" x="1773"/>
        <item m="1" x="2425"/>
        <item m="1" x="6208"/>
        <item m="1" x="6363"/>
        <item m="1" x="3734"/>
        <item m="1" x="2865"/>
        <item m="1" x="7237"/>
        <item m="1" x="2164"/>
        <item m="1" x="7501"/>
        <item m="1" x="5436"/>
        <item m="1" x="2184"/>
        <item m="1" x="1358"/>
        <item m="1" x="1021"/>
        <item m="1" x="3213"/>
        <item m="1" x="7485"/>
        <item m="1" x="3063"/>
        <item m="1" x="7878"/>
        <item m="1" x="3750"/>
        <item m="1" x="6060"/>
        <item m="1" x="4076"/>
        <item m="1" x="3956"/>
        <item m="1" x="7970"/>
        <item m="1" x="3351"/>
        <item m="1" x="6249"/>
        <item m="1" x="1731"/>
        <item m="1" x="701"/>
        <item m="1" x="5206"/>
        <item m="1" x="3148"/>
        <item m="1" x="7311"/>
        <item x="18"/>
        <item m="1" x="6667"/>
        <item m="1" x="6863"/>
        <item m="1" x="6715"/>
        <item m="1" x="3481"/>
        <item m="1" x="1940"/>
        <item m="1" x="7746"/>
        <item m="1" x="3258"/>
        <item m="1" x="3140"/>
        <item m="1" x="7550"/>
        <item m="1" x="5629"/>
        <item m="1" x="777"/>
        <item m="1" x="6449"/>
        <item m="1" x="2274"/>
        <item m="1" x="6594"/>
        <item m="1" x="2407"/>
        <item m="1" x="6725"/>
        <item m="1" x="606"/>
        <item m="1" x="7629"/>
        <item m="1" x="3501"/>
        <item m="1" x="7891"/>
        <item m="1" x="919"/>
        <item m="1" x="3616"/>
        <item m="1" x="622"/>
        <item m="1" x="5926"/>
        <item m="1" x="858"/>
        <item m="1" x="6136"/>
        <item m="1" x="2107"/>
        <item m="1" x="5617"/>
        <item m="1" x="6634"/>
        <item m="1" x="4387"/>
        <item m="1" x="5588"/>
        <item m="1" x="4936"/>
        <item m="1" x="237"/>
        <item m="1" x="6300"/>
        <item m="1" x="2159"/>
        <item m="1" x="4296"/>
        <item m="1" x="5336"/>
        <item m="1" x="1683"/>
        <item m="1" x="6151"/>
        <item m="1" x="2680"/>
        <item m="1" x="6913"/>
        <item m="1" x="6095"/>
        <item m="1" x="925"/>
        <item m="1" x="2817"/>
        <item m="1" x="1179"/>
        <item m="1" x="5746"/>
        <item m="1" x="6853"/>
        <item m="1" x="7393"/>
        <item m="1" x="2530"/>
        <item m="1" x="2397"/>
        <item m="1" x="7430"/>
        <item m="1" x="6736"/>
        <item m="1" x="7835"/>
        <item m="1" x="7549"/>
        <item m="1" x="3708"/>
        <item m="1" x="6076"/>
        <item m="1" x="4452"/>
        <item m="1" x="3032"/>
        <item m="1" x="4326"/>
        <item m="1" x="594"/>
        <item m="1" x="6997"/>
        <item m="1" x="6178"/>
        <item m="1" x="2711"/>
        <item m="1" x="4267"/>
        <item m="1" x="6040"/>
        <item m="1" x="7469"/>
        <item m="1" x="621"/>
        <item m="1" x="214"/>
        <item m="1" x="6714"/>
        <item m="1" x="4832"/>
        <item m="1" x="1819"/>
        <item m="1" x="2074"/>
        <item m="1" x="6584"/>
        <item m="1" x="6873"/>
        <item m="1" x="7997"/>
        <item m="1" x="3871"/>
        <item m="1" x="4187"/>
        <item m="1" x="2553"/>
        <item m="1" x="3394"/>
        <item m="1" x="5626"/>
        <item m="1" x="5674"/>
        <item m="1" x="2116"/>
        <item m="1" x="5449"/>
        <item m="1" x="2160"/>
        <item m="1" x="1299"/>
        <item m="1" x="2458"/>
        <item m="1" x="6740"/>
        <item m="1" x="5028"/>
        <item m="1" x="4118"/>
        <item m="1" x="7316"/>
        <item m="1" x="331"/>
        <item m="1" x="3810"/>
        <item m="1" x="6604"/>
        <item m="1" x="2430"/>
        <item m="1" x="7399"/>
        <item m="1" x="3296"/>
        <item m="1" x="2091"/>
        <item m="1" x="2292"/>
        <item m="1" x="2262"/>
        <item m="1" x="4521"/>
        <item m="1" x="7016"/>
        <item m="1" x="1828"/>
        <item m="1" x="6269"/>
        <item m="1" x="6474"/>
        <item m="1" x="1531"/>
        <item m="1" x="2697"/>
        <item m="1" x="6982"/>
        <item m="1" x="6839"/>
        <item m="1" x="2805"/>
        <item m="1" x="6286"/>
        <item m="1" x="2519"/>
        <item m="1" x="2664"/>
        <item m="1" x="6698"/>
        <item m="1" x="2383"/>
        <item m="1" x="420"/>
        <item m="1" x="2125"/>
        <item m="1" x="6572"/>
        <item m="1" x="2422"/>
        <item m="1" x="361"/>
        <item m="1" x="6134"/>
        <item m="1" x="6325"/>
        <item m="1" x="2828"/>
        <item m="1" x="1695"/>
        <item m="1" x="4687"/>
        <item m="1" x="7007"/>
        <item m="1" x="6735"/>
        <item m="1" x="6869"/>
        <item m="1" x="2548"/>
        <item m="1" x="5166"/>
        <item m="1" x="2440"/>
        <item m="1" x="3423"/>
        <item m="1" x="2995"/>
        <item m="1" x="6436"/>
        <item m="1" x="5281"/>
        <item m="1" x="2507"/>
        <item m="1" x="2646"/>
        <item m="1" x="6829"/>
        <item m="1" x="2824"/>
        <item m="1" x="6463"/>
        <item m="1" x="7118"/>
        <item m="1" x="741"/>
        <item m="1" x="3916"/>
        <item m="1" x="2327"/>
        <item m="1" x="6420"/>
        <item m="1" x="2648"/>
        <item m="1" x="2247"/>
        <item m="1" x="6601"/>
        <item m="1" x="7002"/>
        <item m="1" x="2947"/>
        <item m="1" x="2285"/>
        <item m="1" x="3252"/>
        <item m="1" x="3703"/>
        <item m="1" x="2186"/>
        <item m="1" x="2169"/>
        <item m="1" x="502"/>
        <item m="1" x="4402"/>
        <item m="1" x="4559"/>
        <item m="1" x="6686"/>
        <item m="1" x="2370"/>
        <item m="1" x="7252"/>
        <item m="1" x="2925"/>
        <item m="1" x="3081"/>
        <item m="1" x="6556"/>
        <item m="1" x="5324"/>
        <item m="1" x="115"/>
        <item m="1" x="6195"/>
        <item m="1" x="609"/>
        <item m="1" x="3124"/>
        <item m="1" x="2692"/>
        <item m="1" x="4338"/>
        <item m="1" x="2132"/>
        <item m="1" x="7443"/>
        <item m="1" x="5696"/>
        <item m="1" x="3560"/>
        <item m="1" x="27"/>
        <item m="1" x="7099"/>
        <item m="1" x="4422"/>
        <item m="1" x="6864"/>
        <item m="1" x="6891"/>
        <item m="1" x="3279"/>
        <item m="1" x="2776"/>
        <item m="1" x="784"/>
        <item m="1" x="1853"/>
        <item m="1" x="1689"/>
        <item m="1" x="6631"/>
        <item m="1" x="136"/>
        <item m="1" x="1536"/>
        <item m="1" x="2056"/>
        <item m="1" x="1688"/>
        <item m="1" x="213"/>
        <item m="1" x="7803"/>
        <item m="1" x="5029"/>
        <item m="1" x="1982"/>
        <item m="1" x="7686"/>
        <item m="1" x="4987"/>
        <item x="4"/>
        <item m="1" x="4427"/>
        <item m="1" x="5994"/>
        <item m="1" x="7789"/>
        <item m="1" x="3907"/>
        <item m="1" x="6952"/>
        <item m="1" x="2489"/>
        <item m="1" x="6670"/>
        <item m="1" x="2151"/>
        <item m="1" x="6341"/>
        <item m="1" x="6097"/>
        <item m="1" x="4138"/>
        <item m="1" x="5403"/>
        <item m="1" x="2271"/>
        <item m="1" x="4455"/>
        <item m="1" x="4579"/>
        <item m="1" x="4347"/>
        <item m="1" x="1936"/>
        <item m="1" x="7751"/>
        <item m="1" x="109"/>
        <item m="1" x="7144"/>
        <item m="1" x="6727"/>
        <item m="1" x="2539"/>
        <item m="1" x="1644"/>
        <item m="1" x="6041"/>
        <item m="1" x="2140"/>
        <item m="1" x="1822"/>
        <item m="1" x="1508"/>
        <item m="1" x="5888"/>
        <item m="1" x="6479"/>
        <item m="1" x="2296"/>
        <item m="1" x="1831"/>
        <item m="1" x="5876"/>
        <item m="1" x="6333"/>
        <item m="1" x="1654"/>
        <item m="1" x="5735"/>
        <item m="1" x="1976"/>
        <item m="1" x="6029"/>
        <item m="1" x="6180"/>
        <item m="1" x="6185"/>
        <item m="1" x="6379"/>
        <item m="1" x="3048"/>
        <item m="1" x="1792"/>
        <item m="1" x="3121"/>
        <item m="1" x="6495"/>
        <item m="1" x="1485"/>
        <item m="1" x="7420"/>
        <item m="1" x="3448"/>
        <item m="1" x="3307"/>
        <item m="1" x="3012"/>
        <item m="1" x="2867"/>
        <item m="1" x="7140"/>
        <item m="1" x="2410"/>
        <item m="1" x="6162"/>
        <item m="1" x="2725"/>
        <item m="1" x="5351"/>
        <item m="1" x="5717"/>
        <item m="1" x="1829"/>
        <item m="1" x="7812"/>
        <item m="1" x="785"/>
        <item m="1" x="6288"/>
        <item m="1" x="2972"/>
        <item m="1" x="7285"/>
        <item m="1" x="2290"/>
        <item m="1" x="6472"/>
        <item m="1" x="2130"/>
        <item m="1" x="6323"/>
        <item m="1" x="1970"/>
        <item m="1" x="6172"/>
        <item m="1" x="1806"/>
        <item m="1" x="6020"/>
        <item m="1" x="2420"/>
        <item m="1" x="6734"/>
        <item m="1" x="2546"/>
        <item m="1" x="6600"/>
        <item m="1" x="2120"/>
        <item m="1" x="6312"/>
        <item m="1" x="1958"/>
        <item m="1" x="1325"/>
        <item m="1" x="2541"/>
        <item m="1" x="6855"/>
        <item m="1" x="7444"/>
        <item m="1" x="2682"/>
        <item m="1" x="6329"/>
        <item m="1" x="5927"/>
        <item m="1" x="7269"/>
        <item m="1" x="2837"/>
        <item m="1" x="3884"/>
        <item m="1" x="2215"/>
        <item m="1" x="2493"/>
        <item m="1" x="2250"/>
        <item m="1" x="5205"/>
        <item m="1" x="5564"/>
        <item m="1" x="3229"/>
        <item m="1" x="1046"/>
        <item m="1" x="3306"/>
        <item m="1" x="5741"/>
        <item m="1" x="1432"/>
        <item m="1" x="6069"/>
        <item m="1" x="2690"/>
        <item m="1" x="458"/>
        <item m="1" x="6862"/>
        <item m="1" x="7681"/>
        <item m="1" x="2926"/>
        <item m="1" x="2532"/>
        <item m="1" x="6716"/>
        <item m="1" x="3127"/>
        <item m="1" x="4520"/>
        <item m="1" x="7392"/>
        <item m="1" x="6759"/>
        <item m="1" x="3411"/>
        <item m="1" x="1341"/>
        <item m="1" x="4722"/>
        <item m="1" x="6035"/>
        <item m="1" x="4924"/>
        <item m="1" x="221"/>
        <item m="1" x="2538"/>
        <item m="1" x="5581"/>
        <item m="1" x="2133"/>
        <item m="1" x="3248"/>
        <item m="1" x="4952"/>
        <item m="1" x="5754"/>
        <item m="1" x="5158"/>
        <item m="1" x="1858"/>
        <item m="1" x="6019"/>
        <item m="1" x="6984"/>
        <item m="1" x="3389"/>
        <item m="1" x="1373"/>
        <item m="1" x="6384"/>
        <item m="1" x="4110"/>
        <item m="1" x="6304"/>
        <item m="1" x="5701"/>
        <item m="1" x="6726"/>
        <item m="1" x="2408"/>
        <item m="1" x="6595"/>
        <item m="1" x="6450"/>
        <item m="1" x="2275"/>
        <item m="1" x="7282"/>
        <item m="1" x="2962"/>
        <item m="1" x="7133"/>
        <item m="1" x="2807"/>
        <item m="1" x="1805"/>
        <item m="1" x="5454"/>
        <item m="1" x="3114"/>
        <item m="1" x="1204"/>
        <item m="1" x="5606"/>
        <item m="1" x="4650"/>
        <item m="1" x="937"/>
        <item m="1" x="5332"/>
        <item m="1" x="1308"/>
        <item m="1" x="5447"/>
        <item m="1" x="1199"/>
        <item m="1" x="5601"/>
        <item m="1" x="5623"/>
        <item m="1" x="3903"/>
        <item m="1" x="7035"/>
        <item m="1" x="385"/>
        <item m="1" x="2815"/>
        <item m="1" x="5897"/>
        <item m="1" x="6994"/>
        <item m="1" x="6236"/>
        <item m="1" x="4485"/>
        <item m="1" x="1957"/>
        <item m="1" x="1322"/>
        <item m="1" x="2119"/>
        <item m="1" x="6311"/>
        <item m="1" x="1519"/>
        <item m="1" x="4349"/>
        <item m="1" x="5153"/>
        <item m="1" x="5713"/>
        <item m="1" x="1667"/>
        <item m="1" x="6513"/>
        <item m="1" x="3982"/>
        <item m="1" x="7298"/>
        <item m="1" x="6542"/>
        <item m="1" x="6673"/>
        <item m="1" x="5558"/>
        <item m="1" x="5749"/>
        <item m="1" x="5764"/>
        <item m="1" x="5867"/>
        <item m="1" x="1634"/>
        <item m="1" x="5902"/>
        <item m="1" x="5302"/>
        <item m="1" x="1063"/>
        <item m="1" x="4206"/>
        <item m="1" x="1868"/>
        <item m="1" x="1483"/>
        <item m="1" x="902"/>
        <item m="1" x="1537"/>
        <item m="1" x="4495"/>
        <item m="1" x="472"/>
        <item m="1" x="3008"/>
        <item m="1" x="3806"/>
        <item m="1" x="5694"/>
        <item m="1" x="1604"/>
        <item m="1" x="1368"/>
        <item m="1" x="2273"/>
        <item m="1" x="4900"/>
        <item m="1" x="7535"/>
        <item m="1" x="2075"/>
        <item m="1" x="1202"/>
        <item m="1" x="1692"/>
        <item m="1" x="2090"/>
        <item m="1" x="7931"/>
        <item m="1" x="4700"/>
        <item m="1" x="5834"/>
        <item m="1" x="6344"/>
        <item m="1" x="5977"/>
        <item m="1" x="4847"/>
        <item m="1" x="6340"/>
        <item m="1" x="1928"/>
        <item m="1" x="6448"/>
        <item m="1" x="2106"/>
        <item m="1" x="6299"/>
        <item m="1" x="1939"/>
        <item m="1" x="6150"/>
        <item m="1" x="1770"/>
        <item m="1" x="5991"/>
        <item m="1" x="7534"/>
        <item m="1" x="1297"/>
        <item m="1" x="5297"/>
        <item m="1" x="6272"/>
        <item m="1" x="2432"/>
        <item m="1" x="1253"/>
        <item m="1" x="4471"/>
        <item m="1" x="4122"/>
        <item m="1" x="3532"/>
        <item m="1" x="1217"/>
        <item m="1" x="450"/>
        <item m="1" x="5162"/>
        <item m="1" x="1990"/>
        <item m="1" x="6697"/>
        <item m="1" x="5714"/>
        <item m="1" x="1941"/>
        <item m="1" x="5700"/>
        <item m="1" x="4441"/>
        <item m="1" x="3808"/>
        <item m="1" x="6803"/>
        <item m="1" x="4616"/>
        <item m="1" x="4626"/>
        <item m="1" x="6186"/>
        <item m="1" x="1983"/>
        <item m="1" x="5443"/>
        <item m="1" x="1194"/>
        <item m="1" x="5599"/>
        <item m="1" x="1362"/>
        <item m="1" x="5744"/>
        <item m="1" x="6047"/>
        <item m="1" x="1662"/>
        <item m="1" x="5893"/>
        <item m="1" x="1515"/>
        <item m="1" x="2396"/>
        <item m="1" x="6583"/>
        <item m="1" x="6285"/>
        <item m="1" x="6133"/>
        <item m="1" x="1832"/>
        <item m="1" x="2518"/>
        <item m="1" x="2287"/>
        <item m="1" x="1751"/>
        <item m="1" x="2456"/>
        <item m="1" x="7667"/>
        <item m="1" x="5178"/>
        <item m="1" x="1463"/>
        <item m="1" x="5851"/>
        <item m="1" x="1618"/>
        <item m="1" x="6007"/>
        <item m="1" x="1788"/>
        <item m="1" x="6161"/>
        <item m="1" x="2382"/>
        <item x="1"/>
        <item m="1" x="596"/>
        <item m="1" x="1795"/>
        <item m="1" x="7748"/>
        <item m="1" x="7303"/>
        <item m="1" x="3722"/>
        <item m="1" x="1812"/>
        <item m="1" x="1701"/>
        <item m="1" x="2825"/>
        <item m="1" x="5878"/>
        <item m="1" x="1646"/>
        <item m="1" x="7927"/>
        <item m="1" x="7944"/>
        <item m="1" x="5488"/>
        <item m="1" x="6010"/>
        <item m="1" x="6174"/>
        <item m="1" x="2179"/>
        <item m="1" x="462"/>
        <item m="1" x="3064"/>
        <item m="1" x="1510"/>
        <item m="1" x="1053"/>
        <item m="1" x="7545"/>
        <item m="1" x="2122"/>
        <item m="1" x="6314"/>
        <item m="1" x="1824"/>
        <item m="1" x="6031"/>
        <item m="1" x="7159"/>
        <item m="1" x="5737"/>
        <item m="1" x="1978"/>
        <item m="1" x="6335"/>
        <item m="1" x="2142"/>
        <item m="1" x="7184"/>
        <item m="1" x="2571"/>
        <item m="1" x="2450"/>
        <item m="1" x="5761"/>
        <item m="1" x="6215"/>
        <item m="1" x="7929"/>
        <item m="1" x="4423"/>
        <item m="1" x="7576"/>
        <item m="1" x="4565"/>
        <item m="1" x="5879"/>
        <item m="1" x="4272"/>
        <item m="1" x="6728"/>
        <item m="1" x="2540"/>
        <item m="1" x="1790"/>
        <item m="1" x="2411"/>
        <item m="1" x="6008"/>
        <item m="1" x="761"/>
        <item m="1" x="6348"/>
        <item m="1" x="4567"/>
        <item m="1" x="5056"/>
        <item m="1" x="387"/>
        <item m="1" x="4883"/>
        <item m="1" x="217"/>
        <item m="1" x="7046"/>
        <item m="1" x="3674"/>
        <item m="1" x="2465"/>
        <item m="1" x="5593"/>
        <item m="1" x="1356"/>
        <item m="1" x="6571"/>
        <item m="1" x="2246"/>
        <item m="1" x="1902"/>
        <item m="1" x="6113"/>
        <item m="1" x="1518"/>
        <item m="1" x="2293"/>
        <item m="1" x="2286"/>
        <item m="1" x="6326"/>
        <item m="1" x="6475"/>
        <item m="1" x="6175"/>
        <item m="1" x="2123"/>
        <item m="1" x="1972"/>
        <item m="1" x="6464"/>
        <item m="1" x="6315"/>
        <item m="1" x="1959"/>
        <item m="1" x="1635"/>
        <item m="1" x="1807"/>
        <item m="1" x="6021"/>
        <item m="1" x="5868"/>
        <item m="1" x="2423"/>
        <item m="1" x="4691"/>
        <item m="1" x="467"/>
        <item m="1" x="4845"/>
        <item m="1" x="332"/>
        <item m="1" x="5964"/>
        <item m="1" x="1520"/>
        <item m="1" x="6051"/>
        <item m="1" x="5898"/>
        <item m="1" x="1200"/>
        <item m="1" x="6192"/>
        <item m="1" x="7104"/>
        <item m="1" x="7919"/>
        <item m="1" x="4843"/>
        <item m="1" x="4744"/>
        <item m="1" x="6303"/>
        <item m="1" x="4324"/>
        <item m="1" x="4716"/>
        <item m="1" x="7010"/>
        <item m="1" x="7999"/>
        <item m="1" x="4458"/>
        <item m="1" x="2248"/>
        <item m="1" x="5181"/>
        <item m="1" x="1686"/>
        <item m="1" x="760"/>
        <item m="1" x="2856"/>
        <item m="1" x="5100"/>
        <item m="1" x="2277"/>
        <item m="1" x="3799"/>
        <item m="1" x="106"/>
        <item m="1" x="3259"/>
        <item m="1" x="4996"/>
        <item x="12"/>
        <item m="1" x="4889"/>
        <item m="1" x="4208"/>
        <item m="1" x="5609"/>
        <item m="1" x="5996"/>
        <item m="1" x="6856"/>
        <item m="1" x="598"/>
        <item m="1" x="4925"/>
        <item m="1" x="1844"/>
        <item m="1" x="3128"/>
        <item m="1" x="7003"/>
        <item m="1" x="1609"/>
        <item m="1" x="1924"/>
        <item x="5"/>
        <item m="1" x="5598"/>
        <item m="1" x="604"/>
        <item m="1" x="6841"/>
        <item m="1" x="4991"/>
        <item m="1" x="4241"/>
        <item m="1" x="5912"/>
        <item m="1" x="140"/>
        <item x="2"/>
        <item m="1" x="938"/>
        <item m="1" x="877"/>
        <item m="1" x="104"/>
        <item m="1" x="2328"/>
        <item m="1" x="4014"/>
        <item m="1" x="1062"/>
        <item m="1" x="6419"/>
        <item m="1" x="6032"/>
        <item m="1" x="1647"/>
        <item m="1" x="5145"/>
        <item m="1" x="884"/>
        <item m="1" x="4997"/>
        <item m="1" x="4681"/>
        <item m="1" x="5760"/>
        <item m="1" x="322"/>
        <item m="1" x="5289"/>
        <item m="1" x="7103"/>
        <item m="1" x="6805"/>
        <item m="1" x="974"/>
        <item m="1" x="1656"/>
        <item m="1" x="6342"/>
        <item x="3"/>
        <item m="1" x="901"/>
        <item x="7"/>
        <item x="8"/>
        <item x="9"/>
        <item x="10"/>
        <item m="1" x="4564"/>
        <item x="11"/>
        <item x="15"/>
        <item m="1" x="4813"/>
        <item m="1" x="1509"/>
        <item m="1" x="4960"/>
        <item m="1" x="711"/>
        <item m="1" x="5736"/>
        <item m="1" x="5133"/>
        <item m="1" x="1698"/>
        <item x="13"/>
        <item m="1" x="3671"/>
        <item m="1" x="4979"/>
        <item m="1" x="601"/>
        <item m="1" x="457"/>
        <item m="1" x="329"/>
        <item m="1" x="4685"/>
        <item m="1" x="4836"/>
        <item m="1" x="1165"/>
        <item m="1" x="5580"/>
        <item m="1" x="1340"/>
        <item m="1" x="5729"/>
        <item m="1" x="1498"/>
        <item m="1" x="5877"/>
        <item m="1" x="1645"/>
        <item m="1" x="5111"/>
        <item m="1" x="867"/>
        <item m="1" x="5276"/>
        <item m="1" x="1032"/>
        <item m="1" x="5432"/>
        <item m="1" x="5592"/>
        <item m="1" x="1183"/>
        <item m="1" x="1789"/>
        <item m="1" x="2991"/>
        <item m="1" x="212"/>
        <item m="1" x="1355"/>
        <item m="1" x="5224"/>
        <item m="1" x="7150"/>
        <item m="1" x="3788"/>
        <item x="14"/>
        <item x="16"/>
        <item x="17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53"/>
        <item m="1" x="5700"/>
        <item m="1" x="7892"/>
        <item m="1" x="2210"/>
        <item m="1" x="2442"/>
        <item m="1" x="4661"/>
        <item m="1" x="2974"/>
        <item m="1" x="7120"/>
        <item m="1" x="1442"/>
        <item m="1" x="676"/>
        <item m="1" x="4729"/>
        <item m="1" x="370"/>
        <item m="1" x="180"/>
        <item m="1" x="992"/>
        <item m="1" x="6397"/>
        <item m="1" x="4854"/>
        <item m="1" x="4301"/>
        <item m="1" x="1502"/>
        <item m="1" x="4804"/>
        <item m="1" x="7351"/>
        <item m="1" x="6458"/>
        <item m="1" x="6926"/>
        <item m="1" x="3035"/>
        <item m="1" x="4442"/>
        <item m="1" x="5472"/>
        <item m="1" x="4385"/>
        <item m="1" x="7399"/>
        <item m="1" x="307"/>
        <item m="1" x="7228"/>
        <item m="1" x="3893"/>
        <item m="1" x="7232"/>
        <item m="1" x="1941"/>
        <item m="1" x="236"/>
        <item m="1" x="4120"/>
        <item m="1" x="3544"/>
        <item m="1" x="1798"/>
        <item m="1" x="185"/>
        <item m="1" x="1780"/>
        <item m="1" x="7379"/>
        <item m="1" x="6068"/>
        <item m="1" x="7055"/>
        <item m="1" x="3956"/>
        <item m="1" x="6597"/>
        <item m="1" x="5565"/>
        <item m="1" x="7954"/>
        <item m="1" x="4234"/>
        <item m="1" x="5806"/>
        <item m="1" x="4563"/>
        <item m="1" x="3861"/>
        <item m="1" x="1366"/>
        <item m="1" x="5451"/>
        <item m="1" x="3460"/>
        <item m="1" x="3277"/>
        <item m="1" x="5897"/>
        <item m="1" x="6253"/>
        <item m="1" x="7482"/>
        <item m="1" x="436"/>
        <item m="1" x="2747"/>
        <item m="1" x="2441"/>
        <item m="1" x="3473"/>
        <item m="1" x="4628"/>
        <item m="1" x="1120"/>
        <item m="1" x="2713"/>
        <item m="1" x="2559"/>
        <item m="1" x="2212"/>
        <item m="1" x="4970"/>
        <item m="1" x="5811"/>
        <item m="1" x="6398"/>
        <item m="1" x="5810"/>
        <item m="1" x="6299"/>
        <item m="1" x="5031"/>
        <item m="1" x="2797"/>
        <item m="1" x="2020"/>
        <item m="1" x="4007"/>
        <item m="1" x="797"/>
        <item m="1" x="4860"/>
        <item m="1" x="3000"/>
        <item m="1" x="1005"/>
        <item m="1" x="6808"/>
        <item m="1" x="4600"/>
        <item m="1" x="7352"/>
        <item m="1" x="5086"/>
        <item m="1" x="5335"/>
        <item m="1" x="299"/>
        <item m="1" x="4782"/>
        <item m="1" x="6309"/>
        <item m="1" x="3110"/>
        <item m="1" x="4720"/>
        <item m="1" x="653"/>
        <item m="1" x="7843"/>
        <item m="1" x="5473"/>
        <item m="1" x="5962"/>
        <item m="1" x="4292"/>
        <item m="1" x="3514"/>
        <item m="1" x="5404"/>
        <item m="1" x="2166"/>
        <item m="1" x="3643"/>
        <item m="1" x="783"/>
        <item m="1" x="1872"/>
        <item m="1" x="7793"/>
        <item m="1" x="3662"/>
        <item m="1" x="1871"/>
        <item m="1" x="5669"/>
        <item m="1" x="1294"/>
        <item m="1" x="2087"/>
        <item m="1" x="3306"/>
        <item m="1" x="6372"/>
        <item m="1" x="5544"/>
        <item m="1" x="6887"/>
        <item m="1" x="6679"/>
        <item m="1" x="7772"/>
        <item m="1" x="6880"/>
        <item m="1" x="1970"/>
        <item m="1" x="7692"/>
        <item m="1" x="1351"/>
        <item m="1" x="2260"/>
        <item m="1" x="2127"/>
        <item m="1" x="2706"/>
        <item m="1" x="3150"/>
        <item m="1" x="2151"/>
        <item m="1" x="2590"/>
        <item m="1" x="3290"/>
        <item m="1" x="5711"/>
        <item m="1" x="525"/>
        <item m="1" x="5414"/>
        <item m="1" x="4396"/>
        <item m="1" x="560"/>
        <item m="1" x="5579"/>
        <item m="1" x="4205"/>
        <item m="1" x="2189"/>
        <item m="1" x="411"/>
        <item m="1" x="1705"/>
        <item m="1" x="5292"/>
        <item m="1" x="1995"/>
        <item m="1" x="3938"/>
        <item m="1" x="2313"/>
        <item m="1" x="7123"/>
        <item m="1" x="4944"/>
        <item m="1" x="6506"/>
        <item m="1" x="2418"/>
        <item m="1" x="2367"/>
        <item m="1" x="4778"/>
        <item m="1" x="237"/>
        <item m="1" x="4085"/>
        <item m="1" x="5945"/>
        <item m="1" x="3836"/>
        <item m="1" x="3792"/>
        <item m="1" x="7798"/>
        <item m="1" x="5776"/>
        <item m="1" x="1121"/>
        <item m="1" x="6793"/>
        <item m="1" x="7535"/>
        <item m="1" x="3819"/>
        <item m="1" x="2572"/>
        <item m="1" x="2995"/>
        <item m="1" x="3331"/>
        <item m="1" x="5742"/>
        <item m="1" x="1451"/>
        <item m="1" x="4084"/>
        <item m="1" x="7506"/>
        <item m="1" x="2283"/>
        <item m="1" x="809"/>
        <item m="1" x="5699"/>
        <item m="1" x="1228"/>
        <item m="1" x="6516"/>
        <item m="1" x="1094"/>
        <item m="1" x="4188"/>
        <item m="1" x="2928"/>
        <item m="1" x="3746"/>
        <item m="1" x="2116"/>
        <item m="1" x="7677"/>
        <item m="1" x="4312"/>
        <item m="1" x="1272"/>
        <item m="1" x="2471"/>
        <item m="1" x="4733"/>
        <item m="1" x="7965"/>
        <item m="1" x="2929"/>
        <item m="1" x="1520"/>
        <item m="1" x="6365"/>
        <item m="1" x="4928"/>
        <item m="1" x="1836"/>
        <item m="1" x="2276"/>
        <item m="1" x="956"/>
        <item m="1" x="1498"/>
        <item m="1" x="5150"/>
        <item m="1" x="277"/>
        <item m="1" x="6604"/>
        <item m="1" x="7473"/>
        <item m="1" x="4959"/>
        <item m="1" x="4774"/>
        <item m="1" x="2793"/>
        <item m="1" x="6113"/>
        <item m="1" x="6507"/>
        <item m="1" x="6900"/>
        <item m="1" x="5719"/>
        <item m="1" x="7233"/>
        <item m="1" x="4422"/>
        <item m="1" x="754"/>
        <item m="1" x="4095"/>
        <item m="1" x="5135"/>
        <item m="1" x="2505"/>
        <item m="1" x="5545"/>
        <item m="1" x="4796"/>
        <item m="1" x="1009"/>
        <item m="1" x="7623"/>
        <item m="1" x="3989"/>
        <item m="1" x="7577"/>
        <item m="1" x="2553"/>
        <item m="1" x="2201"/>
        <item m="1" x="1295"/>
        <item m="1" x="765"/>
        <item m="1" x="2182"/>
        <item m="1" x="766"/>
        <item m="1" x="7770"/>
        <item m="1" x="7712"/>
        <item m="1" x="725"/>
        <item m="1" x="5568"/>
        <item m="1" x="2421"/>
        <item m="1" x="5546"/>
        <item m="1" x="3078"/>
        <item m="1" x="1650"/>
        <item m="1" x="4501"/>
        <item m="1" x="7466"/>
        <item m="1" x="4706"/>
        <item m="1" x="3385"/>
        <item m="1" x="3876"/>
        <item m="1" x="5112"/>
        <item m="1" x="1598"/>
        <item m="1" x="1630"/>
        <item m="1" x="5415"/>
        <item m="1" x="2345"/>
        <item m="1" x="1771"/>
        <item m="1" x="965"/>
        <item m="1" x="3504"/>
        <item m="1" x="710"/>
        <item m="1" x="238"/>
        <item m="1" x="7764"/>
        <item m="1" x="86"/>
        <item m="1" x="948"/>
        <item m="1" x="2581"/>
        <item m="1" x="5503"/>
        <item m="1" x="1745"/>
        <item m="1" x="4712"/>
        <item m="1" x="3357"/>
        <item m="1" x="4117"/>
        <item m="1" x="4200"/>
        <item m="1" x="3236"/>
        <item m="1" x="1022"/>
        <item m="1" x="1278"/>
        <item m="1" x="7742"/>
        <item m="1" x="3036"/>
        <item m="1" x="5870"/>
        <item m="1" x="7136"/>
        <item m="1" x="1522"/>
        <item m="1" x="6351"/>
        <item m="1" x="259"/>
        <item m="1" x="243"/>
        <item m="1" x="349"/>
        <item m="1" x="449"/>
        <item m="1" x="7169"/>
        <item m="1" x="2680"/>
        <item m="1" x="5397"/>
        <item m="1" x="7072"/>
        <item m="1" x="1746"/>
        <item m="1" x="4390"/>
        <item m="1" x="5032"/>
        <item m="1" x="3648"/>
        <item m="1" x="999"/>
        <item m="1" x="1536"/>
        <item m="1" x="1756"/>
        <item m="1" x="3983"/>
        <item m="1" x="2861"/>
        <item m="1" x="5470"/>
        <item m="1" x="897"/>
        <item m="1" x="5899"/>
        <item x="19"/>
        <item m="1" x="4489"/>
        <item m="1" x="6919"/>
        <item m="1" x="1585"/>
        <item m="1" x="1688"/>
        <item m="1" x="1794"/>
        <item m="1" x="3719"/>
        <item m="1" x="7221"/>
        <item m="1" x="3328"/>
        <item m="1" x="4195"/>
        <item m="1" x="3086"/>
        <item m="1" x="1709"/>
        <item m="1" x="4856"/>
        <item m="1" x="1940"/>
        <item m="1" x="1754"/>
        <item m="1" x="5834"/>
        <item m="1" x="6028"/>
        <item m="1" x="581"/>
        <item m="1" x="2914"/>
        <item m="1" x="804"/>
        <item m="1" x="1250"/>
        <item m="1" x="4819"/>
        <item m="1" x="7275"/>
        <item m="1" x="3453"/>
        <item m="1" x="7794"/>
        <item m="1" x="4801"/>
        <item m="1" x="4619"/>
        <item m="1" x="2468"/>
        <item m="1" x="4630"/>
        <item m="1" x="2488"/>
        <item m="1" x="7548"/>
        <item m="1" x="4974"/>
        <item m="1" x="2882"/>
        <item m="1" x="1710"/>
        <item m="1" x="7382"/>
        <item m="1" x="6630"/>
        <item x="39"/>
        <item m="1" x="983"/>
        <item m="1" x="4242"/>
        <item m="1" x="6927"/>
        <item m="1" x="7211"/>
        <item m="1" x="3054"/>
        <item m="1" x="4484"/>
        <item m="1" x="6956"/>
        <item m="1" x="1764"/>
        <item m="1" x="4316"/>
        <item m="1" x="242"/>
        <item m="1" x="4898"/>
        <item m="1" x="7679"/>
        <item m="1" x="2555"/>
        <item m="1" x="1172"/>
        <item m="1" x="4041"/>
        <item m="1" x="102"/>
        <item m="1" x="4632"/>
        <item m="1" x="2710"/>
        <item m="1" x="541"/>
        <item m="1" x="7349"/>
        <item m="1" x="6035"/>
        <item m="1" x="7172"/>
        <item m="1" x="1208"/>
        <item m="1" x="2925"/>
        <item m="1" x="2926"/>
        <item m="1" x="6073"/>
        <item m="1" x="3764"/>
        <item m="1" x="3617"/>
        <item m="1" x="4329"/>
        <item m="1" x="894"/>
        <item m="1" x="6645"/>
        <item m="1" x="321"/>
        <item m="1" x="4905"/>
        <item m="1" x="6675"/>
        <item m="1" x="1847"/>
        <item m="1" x="4461"/>
        <item m="1" x="3993"/>
        <item m="1" x="6137"/>
        <item m="1" x="6720"/>
        <item m="1" x="908"/>
        <item m="1" x="3790"/>
        <item m="1" x="6527"/>
        <item m="1" x="7510"/>
        <item m="1" x="733"/>
        <item m="1" x="7871"/>
        <item m="1" x="2065"/>
        <item m="1" x="7520"/>
        <item m="1" x="2685"/>
        <item m="1" x="4432"/>
        <item m="1" x="3116"/>
        <item m="1" x="6468"/>
        <item m="1" x="6872"/>
        <item m="1" x="729"/>
        <item m="1" x="1593"/>
        <item m="1" x="6226"/>
        <item m="1" x="3019"/>
        <item m="1" x="5330"/>
        <item m="1" x="4639"/>
        <item m="1" x="5452"/>
        <item m="1" x="4008"/>
        <item m="1" x="3565"/>
        <item m="1" x="4929"/>
        <item m="1" x="2104"/>
        <item m="1" x="1942"/>
        <item m="1" x="2514"/>
        <item m="1" x="487"/>
        <item m="1" x="5453"/>
        <item m="1" x="2422"/>
        <item m="1" x="2423"/>
        <item m="1" x="5016"/>
        <item m="1" x="4640"/>
        <item m="1" x="6096"/>
        <item m="1" x="7060"/>
        <item m="1" x="2827"/>
        <item m="1" x="323"/>
        <item m="1" x="1359"/>
        <item m="1" x="4358"/>
        <item m="1" x="2209"/>
        <item m="1" x="1296"/>
        <item m="1" x="5607"/>
        <item m="1" x="6279"/>
        <item m="1" x="681"/>
        <item m="1" x="4881"/>
        <item m="1" x="687"/>
        <item m="1" x="6983"/>
        <item m="1" x="400"/>
        <item m="1" x="5833"/>
        <item m="1" x="6183"/>
        <item m="1" x="7407"/>
        <item m="1" x="3566"/>
        <item m="1" x="3218"/>
        <item m="1" x="7162"/>
        <item m="1" x="1038"/>
        <item m="1" x="7024"/>
        <item m="1" x="3369"/>
        <item m="1" x="4027"/>
        <item m="1" x="661"/>
        <item m="1" x="5898"/>
        <item m="1" x="7707"/>
        <item m="1" x="1791"/>
        <item m="1" x="2707"/>
        <item m="1" x="5234"/>
        <item m="1" x="945"/>
        <item m="1" x="1074"/>
        <item m="1" x="1267"/>
        <item m="1" x="3757"/>
        <item m="1" x="2381"/>
        <item m="1" x="6199"/>
        <item m="1" x="688"/>
        <item m="1" x="4397"/>
        <item m="1" x="5102"/>
        <item m="1" x="4730"/>
        <item m="1" x="7014"/>
        <item m="1" x="4074"/>
        <item m="1" x="7867"/>
        <item m="1" x="6292"/>
        <item m="1" x="6293"/>
        <item m="1" x="6227"/>
        <item m="1" x="4002"/>
        <item m="1" x="3512"/>
        <item m="1" x="1204"/>
        <item m="1" x="164"/>
        <item m="1" x="4293"/>
        <item m="1" x="6818"/>
        <item m="1" x="6310"/>
        <item m="1" x="2194"/>
        <item m="1" x="7007"/>
        <item m="1" x="2714"/>
        <item m="1" x="2715"/>
        <item m="1" x="2758"/>
        <item m="1" x="2679"/>
        <item m="1" x="7454"/>
        <item m="1" x="1548"/>
        <item m="1" x="6184"/>
        <item m="1" x="1646"/>
        <item m="1" x="5692"/>
        <item m="1" x="6536"/>
        <item m="1" x="4747"/>
        <item m="1" x="4036"/>
        <item m="1" x="3284"/>
        <item m="1" x="698"/>
        <item m="1" x="4754"/>
        <item m="1" x="6200"/>
        <item m="1" x="6986"/>
        <item m="1" x="4748"/>
        <item m="1" x="7041"/>
        <item m="1" x="3747"/>
        <item m="1" x="7698"/>
        <item m="1" x="6769"/>
        <item m="1" x="2724"/>
        <item m="1" x="2382"/>
        <item m="1" x="263"/>
        <item m="1" x="1384"/>
        <item m="1" x="941"/>
        <item m="1" x="5115"/>
        <item m="1" x="6642"/>
        <item m="1" x="4398"/>
        <item m="1" x="6628"/>
        <item m="1" x="3316"/>
        <item m="1" x="689"/>
        <item m="1" x="212"/>
        <item m="1" x="4852"/>
        <item m="1" x="949"/>
        <item m="1" x="2725"/>
        <item m="1" x="2077"/>
        <item m="1" x="3974"/>
        <item m="1" x="7273"/>
        <item m="1" x="7813"/>
        <item m="1" x="1205"/>
        <item m="1" x="1542"/>
        <item m="1" x="640"/>
        <item m="1" x="3921"/>
        <item m="1" x="1321"/>
        <item m="1" x="3505"/>
        <item m="1" x="3804"/>
        <item m="1" x="6916"/>
        <item m="1" x="2828"/>
        <item m="1" x="3670"/>
        <item m="1" x="718"/>
        <item m="1" x="6993"/>
        <item m="1" x="6015"/>
        <item m="1" x="2829"/>
        <item m="1" x="5554"/>
        <item m="1" x="569"/>
        <item m="1" x="7883"/>
        <item m="1" x="4056"/>
        <item m="1" x="7713"/>
        <item m="1" x="2794"/>
        <item m="1" x="4761"/>
        <item m="1" x="7447"/>
        <item m="1" x="5446"/>
        <item m="1" x="6201"/>
        <item m="1" x="5221"/>
        <item m="1" x="5277"/>
        <item m="1" x="5222"/>
        <item m="1" x="2752"/>
        <item m="1" x="1753"/>
        <item m="1" x="6099"/>
        <item m="1" x="6100"/>
        <item m="1" x="6784"/>
        <item m="1" x="130"/>
        <item m="1" x="6785"/>
        <item m="1" x="6917"/>
        <item m="1" x="7489"/>
        <item m="1" x="4443"/>
        <item m="1" x="694"/>
        <item m="1" x="6185"/>
        <item m="1" x="654"/>
        <item m="1" x="6796"/>
        <item m="1" x="4163"/>
        <item m="1" x="586"/>
        <item m="1" x="3506"/>
        <item m="1" x="2851"/>
        <item m="1" x="2762"/>
        <item m="1" x="2650"/>
        <item m="1" x="6061"/>
        <item m="1" x="7419"/>
        <item m="1" x="3451"/>
        <item m="1" x="7944"/>
        <item m="1" x="7049"/>
        <item m="1" x="632"/>
        <item m="1" x="4817"/>
        <item m="1" x="6452"/>
        <item m="1" x="4334"/>
        <item m="1" x="1162"/>
        <item m="1" x="2477"/>
        <item m="1" x="6469"/>
        <item m="1" x="3490"/>
        <item m="1" x="1161"/>
        <item m="1" x="2980"/>
        <item m="1" x="7300"/>
        <item m="1" x="5500"/>
        <item m="1" x="2348"/>
        <item m="1" x="597"/>
        <item m="1" x="5515"/>
        <item m="1" x="5182"/>
        <item m="1" x="4579"/>
        <item m="1" x="7038"/>
        <item m="1" x="7804"/>
        <item m="1" x="4016"/>
        <item m="1" x="850"/>
        <item m="1" x="6432"/>
        <item m="1" x="5608"/>
        <item m="1" x="1909"/>
        <item m="1" x="2068"/>
        <item m="1" x="4433"/>
        <item m="1" x="7659"/>
        <item m="1" x="4731"/>
        <item m="1" x="6433"/>
        <item m="1" x="6673"/>
        <item m="1" x="975"/>
        <item m="1" x="5785"/>
        <item m="1" x="556"/>
        <item m="1" x="7073"/>
        <item m="1" x="2726"/>
        <item m="1" x="7425"/>
        <item m="1" x="6340"/>
        <item m="1" x="5803"/>
        <item m="1" x="2289"/>
        <item m="1" x="6512"/>
        <item m="1" x="5946"/>
        <item m="1" x="1655"/>
        <item m="1" x="3663"/>
        <item m="1" x="181"/>
        <item m="1" x="537"/>
        <item m="1" x="1647"/>
        <item m="1" x="6786"/>
        <item m="1" x="6549"/>
        <item m="1" x="1759"/>
        <item m="1" x="6667"/>
        <item m="1" x="2841"/>
        <item m="1" x="6143"/>
        <item m="1" x="7737"/>
        <item m="1" x="4469"/>
        <item m="1" x="5085"/>
        <item m="1" x="4585"/>
        <item m="1" x="1096"/>
        <item m="1" x="6246"/>
        <item m="1" x="6714"/>
        <item m="1" x="1313"/>
        <item m="1" x="4787"/>
        <item m="1" x="7571"/>
        <item m="1" x="6247"/>
        <item m="1" x="4359"/>
        <item m="1" x="3839"/>
        <item m="1" x="6341"/>
        <item m="1" x="4335"/>
        <item m="1" x="3522"/>
        <item m="1" x="993"/>
        <item m="1" x="401"/>
        <item m="1" x="2947"/>
        <item m="1" x="776"/>
        <item m="1" x="4189"/>
        <item m="1" x="6513"/>
        <item m="1" x="6558"/>
        <item m="1" x="456"/>
        <item m="1" x="2051"/>
        <item m="1" x="798"/>
        <item m="1" x="2781"/>
        <item m="1" x="7819"/>
        <item m="1" x="6651"/>
        <item m="1" x="5523"/>
        <item m="1" x="388"/>
        <item m="1" x="896"/>
        <item m="1" x="6703"/>
        <item m="1" x="1922"/>
        <item m="1" x="7008"/>
        <item m="1" x="7969"/>
        <item m="1" x="3593"/>
        <item m="1" x="4362"/>
        <item m="1" x="4751"/>
        <item m="1" x="7321"/>
        <item m="1" x="4410"/>
        <item m="1" x="5655"/>
        <item m="1" x="356"/>
        <item m="1" x="4764"/>
        <item m="1" x="6490"/>
        <item m="1" x="6710"/>
        <item m="1" x="6629"/>
        <item m="1" x="1706"/>
        <item m="1" x="2396"/>
        <item m="1" x="4470"/>
        <item m="1" x="1561"/>
        <item m="1" x="7426"/>
        <item m="1" x="308"/>
        <item m="1" x="4457"/>
        <item m="1" x="5493"/>
        <item m="1" x="7555"/>
        <item m="1" x="5048"/>
        <item m="1" x="78"/>
        <item m="1" x="4653"/>
        <item m="1" x="3805"/>
        <item m="1" x="2805"/>
        <item m="1" x="4743"/>
        <item m="1" x="1685"/>
        <item m="1" x="4514"/>
        <item m="1" x="2676"/>
        <item m="1" x="282"/>
        <item m="1" x="7170"/>
        <item m="1" x="199"/>
        <item m="1" x="6175"/>
        <item m="1" x="79"/>
        <item m="1" x="1686"/>
        <item m="1" x="3748"/>
        <item m="1" x="2806"/>
        <item m="1" x="7613"/>
        <item m="1" x="2284"/>
        <item m="1" x="7100"/>
        <item m="1" x="1859"/>
        <item m="1" x="5236"/>
        <item m="1" x="5125"/>
        <item m="1" x="421"/>
        <item m="1" x="422"/>
        <item m="1" x="510"/>
        <item m="1" x="5924"/>
        <item m="1" x="2719"/>
        <item m="1" x="7101"/>
        <item m="1" x="5075"/>
        <item m="1" x="5386"/>
        <item m="1" x="224"/>
        <item m="1" x="5259"/>
        <item m="1" x="5955"/>
        <item m="1" x="3053"/>
        <item m="1" x="5198"/>
        <item m="1" x="4527"/>
        <item m="1" x="1271"/>
        <item m="1" x="2542"/>
        <item m="1" x="1075"/>
        <item m="1" x="6691"/>
        <item m="1" x="488"/>
        <item m="1" x="2302"/>
        <item m="1" x="4805"/>
        <item m="1" x="1365"/>
        <item m="1" x="457"/>
        <item m="1" x="4806"/>
        <item m="1" x="7128"/>
        <item m="1" x="5268"/>
        <item m="1" x="6582"/>
        <item m="1" x="4302"/>
        <item m="1" x="647"/>
        <item m="1" x="6523"/>
        <item m="1" x="6747"/>
        <item m="1" x="6321"/>
        <item m="1" x="6322"/>
        <item m="1" x="4797"/>
        <item m="1" x="6202"/>
        <item m="1" x="6203"/>
        <item m="1" x="1373"/>
        <item m="1" x="4048"/>
        <item m="1" x="3097"/>
        <item m="1" x="7480"/>
        <item m="1" x="6218"/>
        <item m="1" x="744"/>
        <item m="1" x="3042"/>
        <item m="1" x="2560"/>
        <item m="1" x="3070"/>
        <item m="1" x="6324"/>
        <item m="1" x="6748"/>
        <item m="1" x="5356"/>
        <item m="1" x="2821"/>
        <item m="1" x="2184"/>
        <item m="1" x="4890"/>
        <item m="1" x="7074"/>
        <item m="1" x="100"/>
        <item m="1" x="5555"/>
        <item m="1" x="3880"/>
        <item m="1" x="4798"/>
        <item m="1" x="6749"/>
        <item m="1" x="4799"/>
        <item m="1" x="4788"/>
        <item m="1" x="2270"/>
        <item m="1" x="6860"/>
        <item m="1" x="6323"/>
        <item m="1" x="4855"/>
        <item m="1" x="4868"/>
        <item m="1" x="5734"/>
        <item m="1" x="5720"/>
        <item m="1" x="538"/>
        <item m="1" x="6204"/>
        <item m="1" x="1374"/>
        <item m="1" x="3071"/>
        <item m="1" x="2100"/>
        <item m="1" x="1327"/>
        <item m="1" x="1443"/>
        <item m="1" x="131"/>
        <item m="1" x="4373"/>
        <item m="1" x="7147"/>
        <item m="1" x="7490"/>
        <item m="1" x="7285"/>
        <item m="1" x="1549"/>
        <item m="1" x="1455"/>
        <item m="1" x="2230"/>
        <item m="1" x="7411"/>
        <item m="1" x="278"/>
        <item m="1" x="1494"/>
        <item m="1" x="6544"/>
        <item m="1" x="2948"/>
        <item m="1" x="7015"/>
        <item m="1" x="4403"/>
        <item m="1" x="2478"/>
        <item m="1" x="7896"/>
        <item m="1" x="2782"/>
        <item m="1" x="5494"/>
        <item m="1" x="6303"/>
        <item m="1" x="7877"/>
        <item m="1" x="1341"/>
        <item m="1" x="3192"/>
        <item m="1" x="2830"/>
        <item m="1" x="3833"/>
        <item m="1" x="334"/>
        <item m="1" x="5392"/>
        <item m="1" x="526"/>
        <item m="1" x="6030"/>
        <item m="1" x="4807"/>
        <item m="1" x="6210"/>
        <item m="1" x="7016"/>
        <item m="1" x="7274"/>
        <item m="1" x="173"/>
        <item m="1" x="3049"/>
        <item m="1" x="7483"/>
        <item m="1" x="2852"/>
        <item m="1" x="3452"/>
        <item m="1" x="4404"/>
        <item m="1" x="7638"/>
        <item m="1" x="1392"/>
        <item m="1" x="3179"/>
        <item m="1" x="1609"/>
        <item m="1" x="2868"/>
        <item m="1" x="1393"/>
        <item m="1" x="1379"/>
        <item m="1" x="2136"/>
        <item m="1" x="1781"/>
        <item m="1" x="3466"/>
        <item m="1" x="6390"/>
        <item m="1" x="7316"/>
        <item m="1" x="7252"/>
        <item m="1" x="7780"/>
        <item m="1" x="767"/>
        <item m="1" x="2737"/>
        <item m="1" x="3467"/>
        <item m="1" x="4190"/>
        <item m="1" x="7102"/>
        <item m="1" x="3572"/>
        <item m="1" x="1249"/>
        <item m="1" x="5306"/>
        <item m="1" x="5319"/>
        <item m="1" x="1933"/>
        <item m="1" x="1934"/>
        <item m="1" x="450"/>
        <item m="1" x="1436"/>
        <item m="1" x="4869"/>
        <item m="1" x="1244"/>
        <item m="1" x="5303"/>
        <item m="1" x="1437"/>
        <item m="1" x="4870"/>
        <item m="1" x="3579"/>
        <item m="1" x="4528"/>
        <item m="1" x="7017"/>
        <item m="1" x="7830"/>
        <item m="1" x="6654"/>
        <item m="1" x="2629"/>
        <item m="1" x="737"/>
        <item m="1" x="3965"/>
        <item m="1" x="5735"/>
        <item m="1" x="2613"/>
        <item m="1" x="3929"/>
        <item m="1" x="165"/>
        <item m="1" x="2231"/>
        <item m="1" x="1768"/>
        <item m="1" x="624"/>
        <item m="1" x="3847"/>
        <item m="1" x="4930"/>
        <item m="1" x="1760"/>
        <item m="1" x="294"/>
        <item m="1" x="166"/>
        <item m="1" x="5137"/>
        <item m="1" x="780"/>
        <item m="1" x="6934"/>
        <item m="1" x="1864"/>
        <item m="1" x="6537"/>
        <item m="1" x="7604"/>
        <item m="1" x="5334"/>
        <item m="1" x="4732"/>
        <item m="1" x="7372"/>
        <item m="1" x="3285"/>
        <item m="1" x="4931"/>
        <item m="1" x="1463"/>
        <item m="1" x="2516"/>
        <item m="1" x="156"/>
        <item m="1" x="1928"/>
        <item m="1" x="4676"/>
        <item m="1" x="1516"/>
        <item m="1" x="3966"/>
        <item m="1" x="2936"/>
        <item m="1" x="719"/>
        <item m="1" x="7392"/>
        <item m="1" x="7431"/>
        <item m="1" x="6474"/>
        <item m="1" x="1193"/>
        <item m="1" x="7573"/>
        <item m="1" x="5227"/>
        <item m="1" x="851"/>
        <item m="1" x="1570"/>
        <item m="1" x="7897"/>
        <item m="1" x="3640"/>
        <item m="1" x="2854"/>
        <item m="1" x="3020"/>
        <item m="1" x="1571"/>
        <item m="1" x="1782"/>
        <item m="1" x="4629"/>
        <item m="1" x="7363"/>
        <item m="1" x="2224"/>
        <item m="1" x="3862"/>
        <item m="1" x="1897"/>
        <item m="1" x="7220"/>
        <item m="1" x="6530"/>
        <item m="1" x="7157"/>
        <item m="1" x="6186"/>
        <item m="1" x="3461"/>
        <item m="1" x="360"/>
        <item m="1" x="7853"/>
        <item m="1" x="2949"/>
        <item m="1" x="7762"/>
        <item m="1" x="3775"/>
        <item m="1" x="6492"/>
        <item m="1" x="976"/>
        <item m="1" x="4075"/>
        <item m="1" x="5029"/>
        <item m="1" x="5597"/>
        <item m="1" x="2403"/>
        <item m="1" x="3021"/>
        <item m="1" x="1523"/>
        <item m="1" x="4955"/>
        <item m="1" x="5076"/>
        <item m="1" x="7624"/>
        <item m="1" x="5920"/>
        <item m="1" x="3894"/>
        <item m="1" x="6652"/>
        <item m="1" x="6412"/>
        <item m="1" x="6668"/>
        <item m="1" x="7884"/>
        <item m="1" x="1380"/>
        <item m="1" x="6459"/>
        <item m="1" x="7574"/>
        <item m="1" x="726"/>
        <item m="1" x="7781"/>
        <item m="1" x="825"/>
        <item m="1" x="81"/>
        <item m="1" x="2254"/>
        <item m="1" x="2661"/>
        <item m="1" x="4193"/>
        <item m="1" x="5138"/>
        <item m="1" x="5562"/>
        <item m="1" x="5777"/>
        <item m="1" x="5778"/>
        <item m="1" x="7933"/>
        <item m="1" x="2903"/>
        <item m="1" x="885"/>
        <item m="1" x="5540"/>
        <item m="1" x="4981"/>
        <item m="1" x="1666"/>
        <item m="1" x="4762"/>
        <item m="1" x="1039"/>
        <item m="1" x="5204"/>
        <item m="1" x="863"/>
        <item m="1" x="407"/>
        <item m="1" x="3633"/>
        <item m="1" x="6750"/>
        <item m="1" x="3352"/>
        <item m="1" x="7033"/>
        <item m="1" x="2366"/>
        <item m="1" x="3527"/>
        <item m="1" x="2091"/>
        <item m="1" x="1610"/>
        <item m="1" x="7378"/>
        <item m="1" x="1333"/>
        <item m="1" x="7364"/>
        <item m="1" x="6735"/>
        <item m="1" x="1325"/>
        <item m="1" x="1761"/>
        <item m="1" x="2285"/>
        <item m="1" x="1130"/>
        <item m="1" x="6187"/>
        <item m="1" x="7889"/>
        <item m="1" x="7428"/>
        <item m="1" x="4333"/>
        <item m="1" x="818"/>
        <item m="1" x="5807"/>
        <item m="1" x="4536"/>
        <item m="1" x="4808"/>
        <item m="1" x="5434"/>
        <item m="1" x="5947"/>
        <item m="1" x="5773"/>
        <item m="1" x="1644"/>
        <item m="1" x="2834"/>
        <item m="1" x="5613"/>
        <item m="1" x="7158"/>
        <item m="1" x="7581"/>
        <item m="1" x="4133"/>
        <item m="1" x="7358"/>
        <item m="1" x="1543"/>
        <item m="1" x="5250"/>
        <item m="1" x="3233"/>
        <item m="1" x="7708"/>
        <item m="1" x="5698"/>
        <item m="1" x="2873"/>
        <item m="1" x="762"/>
        <item m="1" x="5625"/>
        <item m="1" x="7353"/>
        <item m="1" x="6954"/>
        <item m="1" x="7028"/>
        <item m="1" x="2460"/>
        <item m="1" x="2137"/>
        <item m="1" x="3437"/>
        <item m="1" x="2138"/>
        <item m="1" x="3967"/>
        <item m="1" x="6895"/>
        <item m="1" x="1878"/>
        <item m="1" x="7754"/>
        <item m="1" x="3840"/>
        <item m="1" x="5040"/>
        <item m="1" x="3780"/>
        <item m="1" x="1207"/>
        <item m="1" x="1087"/>
        <item m="1" x="7538"/>
        <item m="1" x="6380"/>
        <item m="1" x="745"/>
        <item m="1" x="6451"/>
        <item m="1" x="6739"/>
        <item m="1" x="4281"/>
        <item m="1" x="4940"/>
        <item m="1" x="6294"/>
        <item m="1" x="6104"/>
        <item m="1" x="3062"/>
        <item m="1" x="2727"/>
        <item m="1" x="7652"/>
        <item m="1" x="2117"/>
        <item m="1" x="6914"/>
        <item m="1" x="1024"/>
        <item m="1" x="5067"/>
        <item m="1" x="4873"/>
        <item m="1" x="2598"/>
        <item m="1" x="5405"/>
        <item m="1" x="207"/>
        <item m="1" x="4018"/>
        <item m="1" x="6908"/>
        <item m="1" x="838"/>
        <item m="1" x="3793"/>
        <item m="1" x="1683"/>
        <item m="1" x="1206"/>
        <item m="1" x="5850"/>
        <item m="1" x="1452"/>
        <item m="1" x="7081"/>
        <item m="1" x="4601"/>
        <item m="1" x="6951"/>
        <item m="1" x="1735"/>
        <item m="1" x="2048"/>
        <item m="1" x="2788"/>
        <item m="1" x="3087"/>
        <item m="1" x="7651"/>
        <item m="1" x="3843"/>
        <item m="1" x="6598"/>
        <item m="1" x="4224"/>
        <item m="1" x="2633"/>
        <item m="1" x="6460"/>
        <item m="1" x="1097"/>
        <item m="1" x="7259"/>
        <item m="1" x="932"/>
        <item m="1" x="5477"/>
        <item m="1" x="425"/>
        <item m="1" x="2967"/>
        <item m="1" x="6443"/>
        <item m="1" x="417"/>
        <item m="1" x="1524"/>
        <item m="1" x="6928"/>
        <item m="1" x="7161"/>
        <item m="1" x="3536"/>
        <item m="1" x="4003"/>
        <item m="1" x="662"/>
        <item m="1" x="6515"/>
        <item m="1" x="2455"/>
        <item m="1" x="836"/>
        <item m="1" x="3358"/>
        <item m="1" x="1883"/>
        <item m="1" x="2677"/>
        <item m="1" x="7534"/>
        <item m="1" x="6315"/>
        <item m="1" x="1209"/>
        <item m="1" x="2011"/>
        <item m="1" x="2409"/>
        <item m="1" x="5744"/>
        <item m="1" x="3980"/>
        <item m="1" x="2248"/>
        <item m="1" x="5173"/>
        <item m="1" x="3986"/>
        <item m="1" x="2198"/>
        <item m="1" x="7173"/>
        <item m="1" x="3364"/>
        <item m="1" x="2958"/>
        <item m="1" x="7529"/>
        <item m="1" x="2933"/>
        <item m="1" x="7861"/>
        <item m="1" x="1707"/>
        <item m="1" x="4825"/>
        <item m="1" x="2475"/>
        <item m="1" x="4826"/>
        <item m="1" x="6388"/>
        <item m="1" x="2961"/>
        <item m="1" x="3872"/>
        <item m="1" x="1047"/>
        <item m="1" x="1105"/>
        <item m="1" x="6962"/>
        <item m="1" x="3944"/>
        <item m="1" x="2823"/>
        <item m="1" x="4421"/>
        <item m="1" x="4349"/>
        <item m="1" x="5958"/>
        <item m="1" x="7463"/>
        <item m="1" x="4652"/>
        <item m="1" x="613"/>
        <item m="1" x="2652"/>
        <item m="1" x="3871"/>
        <item m="1" x="3270"/>
        <item m="1" x="5193"/>
        <item m="1" x="5660"/>
        <item m="1" x="6274"/>
        <item m="1" x="4734"/>
        <item m="1" x="1562"/>
        <item m="1" x="960"/>
        <item m="1" x="3903"/>
        <item m="1" x="7242"/>
        <item m="1" x="3644"/>
        <item m="1" x="4815"/>
        <item m="1" x="4087"/>
        <item m="1" x="4419"/>
        <item m="1" x="6252"/>
        <item m="1" x="5674"/>
        <item m="1" x="5428"/>
        <item m="1" x="3904"/>
        <item m="1" x="6711"/>
        <item m="1" x="2118"/>
        <item m="1" x="7935"/>
        <item m="1" x="2042"/>
        <item m="1" x="6968"/>
        <item m="1" x="4356"/>
        <item m="1" x="4017"/>
        <item m="1" x="7082"/>
        <item m="1" x="159"/>
        <item m="1" x="6493"/>
        <item m="1" x="6399"/>
        <item m="1" x="6528"/>
        <item m="1" x="2411"/>
        <item m="1" x="7367"/>
        <item m="1" x="3347"/>
        <item m="1" x="639"/>
        <item m="1" x="7614"/>
        <item m="1" x="4225"/>
        <item m="1" x="7192"/>
        <item m="1" x="3987"/>
        <item m="1" x="683"/>
        <item m="1" x="7945"/>
        <item m="1" x="1049"/>
        <item m="1" x="532"/>
        <item m="1" x="2761"/>
        <item m="1" x="6386"/>
        <item m="1" x="527"/>
        <item m="1" x="5266"/>
        <item m="1" x="1012"/>
        <item m="1" x="3144"/>
        <item m="1" x="5636"/>
        <item m="1" x="800"/>
        <item m="1" x="4636"/>
        <item m="1" x="4851"/>
        <item m="1" x="7236"/>
        <item m="1" x="7734"/>
        <item m="1" x="6267"/>
        <item m="1" x="1569"/>
        <item m="1" x="6106"/>
        <item m="1" x="5391"/>
        <item m="1" x="6070"/>
        <item m="1" x="3495"/>
        <item m="1" x="5516"/>
        <item m="1" x="6580"/>
        <item m="1" x="4235"/>
        <item m="1" x="5026"/>
        <item m="1" x="5416"/>
        <item m="1" x="7075"/>
        <item m="1" x="5223"/>
        <item m="1" x="2856"/>
        <item m="1" x="4832"/>
        <item m="1" x="1091"/>
        <item m="1" x="5963"/>
        <item m="1" x="458"/>
        <item m="1" x="4589"/>
        <item m="1" x="5370"/>
        <item m="1" x="3739"/>
        <item m="1" x="857"/>
        <item m="1" x="3443"/>
        <item m="1" x="2533"/>
        <item m="1" x="4250"/>
        <item m="1" x="6498"/>
        <item m="1" x="759"/>
        <item m="1" x="1799"/>
        <item m="1" x="3286"/>
        <item m="1" x="133"/>
        <item m="1" x="568"/>
        <item m="1" x="4220"/>
        <item m="1" x="5383"/>
        <item m="1" x="4980"/>
        <item m="1" x="54"/>
        <item m="1" x="2245"/>
        <item m="1" x="5199"/>
        <item m="1" x="480"/>
        <item m="1" x="4932"/>
        <item m="1" x="3892"/>
        <item m="1" x="4789"/>
        <item m="1" x="1635"/>
        <item m="1" x="6107"/>
        <item m="1" x="4114"/>
        <item m="1" x="6550"/>
        <item m="1" x="3278"/>
        <item m="1" x="7531"/>
        <item m="1" x="2346"/>
        <item m="1" x="2347"/>
        <item m="1" x="5730"/>
        <item m="1" x="3173"/>
        <item m="1" x="5107"/>
        <item m="1" x="2128"/>
        <item m="1" x="2561"/>
        <item m="1" x="6935"/>
        <item m="1" x="6581"/>
        <item m="1" x="2219"/>
        <item m="1" x="5243"/>
        <item m="1" x="1741"/>
        <item m="1" x="3961"/>
        <item m="1" x="1149"/>
        <item m="1" x="2620"/>
        <item m="1" x="977"/>
        <item m="1" x="7683"/>
        <item m="1" x="2686"/>
        <item m="1" x="6520"/>
        <item m="1" x="4456"/>
        <item m="1" x="1143"/>
        <item m="1" x="6881"/>
        <item m="1" x="5482"/>
        <item m="1" x="2290"/>
        <item m="1" x="1028"/>
        <item m="1" x="6746"/>
        <item m="1" x="5108"/>
        <item m="1" x="2021"/>
        <item m="1" x="2098"/>
        <item m="1" x="3890"/>
        <item m="1" x="4598"/>
        <item m="1" x="3488"/>
        <item m="1" x="4906"/>
        <item m="1" x="1194"/>
        <item m="1" x="3454"/>
        <item m="1" x="5114"/>
        <item m="1" x="272"/>
        <item m="1" x="7946"/>
        <item m="1" x="6981"/>
        <item m="1" x="6457"/>
        <item m="1" x="4486"/>
        <item m="1" x="777"/>
        <item m="1" x="2458"/>
        <item m="1" x="6483"/>
        <item m="1" x="7722"/>
        <item m="1" x="6545"/>
        <item m="1" x="1910"/>
        <item m="1" x="6475"/>
        <item m="1" x="6565"/>
        <item m="1" x="2360"/>
        <item m="1" x="1678"/>
        <item m="1" x="7513"/>
        <item m="1" x="4434"/>
        <item m="1" x="7327"/>
        <item m="1" x="3353"/>
        <item m="1" x="4859"/>
        <item m="1" x="5646"/>
        <item m="1" x="2763"/>
        <item m="1" x="6338"/>
        <item m="1" x="1107"/>
        <item m="1" x="3132"/>
        <item m="1" x="5098"/>
        <item m="1" x="928"/>
        <item m="1" x="3537"/>
        <item m="1" x="530"/>
        <item m="1" x="2798"/>
        <item m="1" x="1173"/>
        <item m="1" x="3063"/>
        <item m="1" x="3323"/>
        <item m="1" x="2506"/>
        <item m="1" x="3287"/>
        <item m="1" x="6169"/>
        <item m="1" x="6488"/>
        <item m="1" x="7507"/>
        <item m="1" x="2637"/>
        <item m="1" x="2518"/>
        <item m="1" x="4620"/>
        <item m="1" x="2149"/>
        <item m="1" x="5823"/>
        <item m="1" x="4386"/>
        <item m="1" x="5683"/>
        <item m="1" x="4405"/>
        <item m="1" x="2393"/>
        <item m="1" x="5982"/>
        <item m="1" x="4204"/>
        <item m="1" x="5396"/>
        <item m="1" x="3193"/>
        <item m="1" x="386"/>
        <item m="1" x="1429"/>
        <item m="1" x="1293"/>
        <item m="1" x="2705"/>
        <item m="1" x="2006"/>
        <item m="1" x="2291"/>
        <item m="1" x="3470"/>
        <item m="1" x="1210"/>
        <item m="1" x="7752"/>
        <item m="1" x="3968"/>
        <item m="1" x="5910"/>
        <item m="1" x="6705"/>
        <item m="1" x="4411"/>
        <item m="1" x="7138"/>
        <item m="1" x="82"/>
        <item m="1" x="3227"/>
        <item m="1" x="6551"/>
        <item m="1" x="3631"/>
        <item m="1" x="3985"/>
        <item m="1" x="6051"/>
        <item m="1" x="4006"/>
        <item m="1" x="3820"/>
        <item m="1" x="1099"/>
        <item m="1" x="950"/>
        <item m="1" x="6007"/>
        <item m="1" x="840"/>
        <item m="1" x="6661"/>
        <item m="1" x="6542"/>
        <item m="1" x="2575"/>
        <item m="1" x="6484"/>
        <item m="1" x="3895"/>
        <item m="1" x="1197"/>
        <item m="1" x="266"/>
        <item m="1" x="3038"/>
        <item m="1" x="5344"/>
        <item m="1" x="7900"/>
        <item m="1" x="5848"/>
        <item m="1" x="502"/>
        <item m="1" x="7771"/>
        <item m="1" x="7811"/>
        <item m="1" x="7750"/>
        <item m="1" x="7374"/>
        <item m="1" x="7549"/>
        <item m="1" x="7004"/>
        <item m="1" x="4814"/>
        <item m="1" x="6166"/>
        <item m="1" x="4682"/>
        <item m="1" x="7277"/>
        <item m="1" x="1261"/>
        <item m="1" x="7063"/>
        <item m="1" x="4384"/>
        <item m="1" x="2361"/>
        <item m="1" x="6504"/>
        <item m="1" x="7226"/>
        <item m="1" x="172"/>
        <item m="1" x="4909"/>
        <item m="1" x="3698"/>
        <item m="1" x="3954"/>
        <item m="1" x="5194"/>
        <item m="1" x="3637"/>
        <item m="1" x="7842"/>
        <item m="1" x="7704"/>
        <item m="1" x="2919"/>
        <item m="1" x="5124"/>
        <item m="1" x="7094"/>
        <item m="1" x="6676"/>
        <item m="1" x="1342"/>
        <item m="1" x="2523"/>
        <item m="1" x="1932"/>
        <item m="1" x="1297"/>
        <item m="1" x="1108"/>
        <item m="1" x="5345"/>
        <item m="1" x="1245"/>
        <item m="1" x="4313"/>
        <item m="1" x="3365"/>
        <item m="1" x="1999"/>
        <item m="1" x="1001"/>
        <item m="1" x="4882"/>
        <item m="1" x="6812"/>
        <item m="1" x="2410"/>
        <item m="1" x="5151"/>
        <item m="1" x="6736"/>
        <item m="1" x="5038"/>
        <item m="1" x="845"/>
        <item m="1" x="4648"/>
        <item m="1" x="4218"/>
        <item m="1" x="6280"/>
        <item m="1" x="7484"/>
        <item m="1" x="1214"/>
        <item m="1" x="3638"/>
        <item m="1" x="6031"/>
        <item m="1" x="4995"/>
        <item m="1" x="2826"/>
        <item m="1" x="7398"/>
        <item m="1" x="3971"/>
        <item m="1" x="2885"/>
        <item m="1" x="5758"/>
        <item m="1" x="6213"/>
        <item m="1" x="2103"/>
        <item m="1" x="7103"/>
        <item m="1" x="5238"/>
        <item m="1" x="1040"/>
        <item m="1" x="7104"/>
        <item m="1" x="5269"/>
        <item m="1" x="146"/>
        <item m="1" x="227"/>
        <item m="1" x="3151"/>
        <item m="1" x="557"/>
        <item m="1" x="6896"/>
        <item m="1" x="2886"/>
        <item m="1" x="1837"/>
        <item m="1" x="7130"/>
        <item m="1" x="4100"/>
        <item m="1" x="5617"/>
        <item m="1" x="3455"/>
        <item m="1" x="5759"/>
        <item m="1" x="3502"/>
        <item m="1" x="7239"/>
        <item m="1" x="7324"/>
        <item m="1" x="6566"/>
        <item m="1" x="361"/>
        <item m="1" x="6249"/>
        <item m="1" x="4413"/>
        <item m="1" x="3096"/>
        <item m="1" x="6149"/>
        <item m="1" x="6032"/>
        <item m="1" x="6882"/>
        <item m="1" x="2911"/>
        <item m="1" x="7114"/>
        <item m="1" x="4765"/>
        <item m="1" x="4577"/>
        <item m="1" x="1715"/>
        <item m="1" x="648"/>
        <item m="1" x="5287"/>
        <item m="1" x="7025"/>
        <item m="1" x="6405"/>
        <item m="1" x="4212"/>
        <item m="1" x="2186"/>
        <item m="1" x="1185"/>
        <item m="1" x="1322"/>
        <item m="1" x="1893"/>
        <item m="1" x="7286"/>
        <item m="1" x="3515"/>
        <item m="1" x="4903"/>
        <item m="1" x="5103"/>
        <item m="1" x="3905"/>
        <item m="1" x="4435"/>
        <item m="1" x="7665"/>
        <item m="1" x="4320"/>
        <item m="1" x="4004"/>
        <item m="1" x="2494"/>
        <item m="1" x="1861"/>
        <item m="1" x="7743"/>
        <item m="1" x="6413"/>
        <item m="1" x="1219"/>
        <item m="1" x="3806"/>
        <item m="1" x="4096"/>
        <item m="1" x="1041"/>
        <item m="1" x="4783"/>
        <item m="1" x="1044"/>
        <item m="1" x="6304"/>
        <item m="1" x="4707"/>
        <item m="1" x="7001"/>
        <item m="1" x="5111"/>
        <item m="1" x="4942"/>
        <item m="1" x="4708"/>
        <item m="1" x="6426"/>
        <item m="1" x="7806"/>
        <item m="1" x="1060"/>
        <item m="1" x="1769"/>
        <item m="1" x="5598"/>
        <item m="1" x="6092"/>
        <item m="1" x="3200"/>
        <item m="1" x="7432"/>
        <item m="1" x="4654"/>
        <item m="1" x="684"/>
        <item m="1" x="7628"/>
        <item m="1" x="6086"/>
        <item m="1" x="7373"/>
        <item m="1" x="1906"/>
        <item m="1" x="6342"/>
        <item m="1" x="2213"/>
        <item m="1" x="1177"/>
        <item m="1" x="2336"/>
        <item m="1" x="3421"/>
        <item m="1" x="3422"/>
        <item m="1" x="5891"/>
        <item m="1" x="2370"/>
        <item m="1" x="7400"/>
        <item m="1" x="2446"/>
        <item m="1" x="1850"/>
        <item m="1" x="264"/>
        <item m="1" x="6373"/>
        <item m="1" x="6374"/>
        <item m="1" x="4089"/>
        <item m="1" x="279"/>
        <item m="1" x="4427"/>
        <item m="1" x="4019"/>
        <item m="1" x="4020"/>
        <item m="1" x="3807"/>
        <item m="1" x="3001"/>
        <item m="1" x="1314"/>
        <item m="1" x="2638"/>
        <item m="1" x="1996"/>
        <item m="1" x="1357"/>
        <item m="1" x="5533"/>
        <item m="1" x="324"/>
        <item m="1" x="1077"/>
        <item m="1" x="1140"/>
        <item m="1" x="1220"/>
        <item m="1" x="5299"/>
        <item m="1" x="4941"/>
        <item m="1" x="362"/>
        <item m="1" x="5168"/>
        <item m="1" x="1898"/>
        <item m="1" x="6873"/>
        <item m="1" x="1229"/>
        <item m="1" x="3345"/>
        <item m="1" x="3485"/>
        <item m="1" x="2028"/>
        <item m="1" x="2337"/>
        <item m="1" x="5675"/>
        <item m="1" x="3641"/>
        <item m="1" x="5454"/>
        <item m="1" x="5504"/>
        <item m="1" x="4069"/>
        <item m="1" x="1979"/>
        <item m="1" x="4853"/>
        <item m="1" x="670"/>
        <item m="1" x="6387"/>
        <item m="1" x="4116"/>
        <item m="1" x="7532"/>
        <item m="1" x="1029"/>
        <item m="1" x="3808"/>
        <item m="1" x="4221"/>
        <item m="1" x="6132"/>
        <item m="1" x="852"/>
        <item m="1" x="2069"/>
        <item m="1" x="6794"/>
        <item m="1" x="6254"/>
        <item m="1" x="6171"/>
        <item m="1" x="7203"/>
        <item m="1" x="6148"/>
        <item m="1" x="596"/>
        <item m="1" x="5187"/>
        <item m="1" x="126"/>
        <item m="1" x="1838"/>
        <item m="1" x="7443"/>
        <item m="1" x="4924"/>
        <item m="1" x="1809"/>
        <item m="1" x="2167"/>
        <item m="1" x="1221"/>
        <item m="1" x="1050"/>
        <item m="1" x="6362"/>
        <item m="1" x="6519"/>
        <item m="1" x="4925"/>
        <item m="1" x="3249"/>
        <item m="1" x="265"/>
        <item m="1" x="2083"/>
        <item m="1" x="1408"/>
        <item m="1" x="6026"/>
        <item m="1" x="946"/>
        <item m="1" x="6982"/>
        <item m="1" x="1952"/>
        <item m="1" x="4779"/>
        <item m="1" x="3896"/>
        <item m="1" x="2050"/>
        <item m="1" x="7222"/>
        <item m="1" x="3794"/>
        <item m="1" x="3700"/>
        <item m="1" x="751"/>
        <item m="1" x="2079"/>
        <item m="1" x="231"/>
        <item m="1" x="1318"/>
        <item m="1" x="7759"/>
        <item m="1" x="4562"/>
        <item m="1" x="4418"/>
        <item m="1" x="6479"/>
        <item m="1" x="7629"/>
        <item m="1" x="1943"/>
        <item m="1" x="2292"/>
        <item m="1" x="3781"/>
        <item m="1" x="2966"/>
        <item m="1" x="2343"/>
        <item m="1" x="2417"/>
        <item m="1" x="5244"/>
        <item m="1" x="1073"/>
        <item m="1" x="3580"/>
        <item m="1" x="2988"/>
        <item m="1" x="6886"/>
        <item m="1" x="4274"/>
        <item m="1" x="6831"/>
        <item m="1" x="3359"/>
        <item m="1" x="3922"/>
        <item m="1" x="7705"/>
        <item m="1" x="6543"/>
        <item m="1" x="6019"/>
        <item m="1" x="3705"/>
        <item m="1" x="4548"/>
        <item m="1" x="5822"/>
        <item m="1" x="4849"/>
        <item m="1" x="4555"/>
        <item m="1" x="602"/>
        <item m="1" x="1190"/>
        <item m="1" x="5770"/>
        <item m="1" x="5042"/>
        <item m="1" x="112"/>
        <item m="1" x="4130"/>
        <item m="1" x="4246"/>
        <item m="1" x="6418"/>
        <item m="1" x="3852"/>
        <item m="1" x="5745"/>
        <item m="1" x="3995"/>
        <item m="1" x="3139"/>
        <item m="1" x="1547"/>
        <item m="1" x="3190"/>
        <item m="1" x="5577"/>
        <item m="1" x="2816"/>
        <item m="1" x="2953"/>
        <item m="1" x="7912"/>
        <item m="1" x="3981"/>
        <item m="1" x="7979"/>
        <item m="1" x="734"/>
        <item m="1" x="4503"/>
        <item m="1" x="789"/>
        <item m="1" x="1779"/>
        <item m="1" x="2787"/>
        <item m="1" x="3984"/>
        <item m="1" x="5988"/>
        <item m="1" x="6941"/>
        <item m="1" x="589"/>
        <item m="1" x="2790"/>
        <item m="1" x="3570"/>
        <item m="1" x="7488"/>
        <item m="1" x="2666"/>
        <item m="1" x="5094"/>
        <item m="1" x="576"/>
        <item m="1" x="577"/>
        <item m="1" x="232"/>
        <item m="1" x="3292"/>
        <item m="1" x="1812"/>
        <item m="1" x="893"/>
        <item m="1" x="7545"/>
        <item m="1" x="4919"/>
        <item m="1" x="6157"/>
        <item m="1" x="248"/>
        <item m="1" x="5676"/>
        <item m="1" x="167"/>
        <item m="1" x="3293"/>
        <item m="1" x="5278"/>
        <item m="1" x="4674"/>
        <item m="1" x="1389"/>
        <item m="1" x="7740"/>
        <item m="1" x="5854"/>
        <item m="1" x="7098"/>
        <item m="1" x="3886"/>
        <item m="1" x="2764"/>
        <item m="1" x="2765"/>
        <item m="1" x="2766"/>
        <item m="1" x="4047"/>
        <item m="1" x="4165"/>
        <item m="1" x="553"/>
        <item m="1" x="7225"/>
        <item m="1" x="3206"/>
        <item m="1" x="2359"/>
        <item m="1" x="7383"/>
        <item m="1" x="6191"/>
        <item m="1" x="554"/>
        <item m="1" x="1695"/>
        <item m="1" x="2770"/>
        <item m="1" x="6932"/>
        <item m="1" x="1853"/>
        <item m="1" x="4645"/>
        <item m="1" x="1176"/>
        <item m="1" x="1848"/>
        <item m="1" x="7922"/>
        <item m="1" x="7404"/>
        <item m="1" x="5509"/>
        <item m="1" x="7381"/>
        <item m="1" x="5480"/>
        <item m="1" x="271"/>
        <item m="1" x="6915"/>
        <item m="1" x="6533"/>
        <item m="1" x="3228"/>
        <item m="1" x="6416"/>
        <item m="1" x="3059"/>
        <item m="1" x="5981"/>
        <item m="1" x="5180"/>
        <item m="1" x="7469"/>
        <item m="1" x="6400"/>
        <item m="1" x="4659"/>
        <item m="1" x="3588"/>
        <item m="1" x="3600"/>
        <item m="1" x="3229"/>
        <item m="1" x="3936"/>
        <item m="1" x="7434"/>
        <item m="1" x="7984"/>
        <item m="1" x="2862"/>
        <item m="1" x="4436"/>
        <item m="1" x="1273"/>
        <item m="1" x="4895"/>
        <item m="1" x="5000"/>
        <item m="1" x="6819"/>
        <item m="1" x="4686"/>
        <item m="1" x="5161"/>
        <item m="1" x="1948"/>
        <item m="1" x="2326"/>
        <item m="1" x="7552"/>
        <item m="1" x="228"/>
        <item m="1" x="5537"/>
        <item m="1" x="2007"/>
        <item m="1" x="1184"/>
        <item m="1" x="7065"/>
        <item m="1" x="1636"/>
        <item m="1" x="831"/>
        <item m="1" x="4260"/>
        <item m="1" x="6801"/>
        <item m="1" x="7474"/>
        <item m="1" x="2293"/>
        <item m="1" x="5406"/>
        <item m="1" x="7455"/>
        <item m="1" x="5022"/>
        <item m="1" x="3586"/>
        <item m="1" x="7475"/>
        <item m="1" x="1869"/>
        <item m="1" x="7626"/>
        <item m="1" x="511"/>
        <item m="1" x="2902"/>
        <item m="1" x="2424"/>
        <item m="1" x="5765"/>
        <item m="1" x="2225"/>
        <item m="1" x="478"/>
        <item m="1" x="4861"/>
        <item m="1" x="2063"/>
        <item m="1" x="6370"/>
        <item m="1" x="5666"/>
        <item m="1" x="5774"/>
        <item m="1" x="89"/>
        <item m="1" x="3809"/>
        <item m="1" x="309"/>
        <item m="1" x="2364"/>
        <item m="1" x="5797"/>
        <item m="1" x="5049"/>
        <item m="1" x="366"/>
        <item m="1" x="7272"/>
        <item m="1" x="1310"/>
        <item m="1" x="6721"/>
        <item m="1" x="7145"/>
        <item m="1" x="2617"/>
        <item m="1" x="1716"/>
        <item m="1" x="7736"/>
        <item m="1" x="1763"/>
        <item m="1" x="2331"/>
        <item m="1" x="354"/>
        <item x="50"/>
        <item m="1" x="1202"/>
        <item m="1" x="6969"/>
        <item m="1" x="7672"/>
        <item m="1" x="3647"/>
        <item m="1" x="5915"/>
        <item m="1" x="5943"/>
        <item m="1" x="5994"/>
        <item m="1" x="4297"/>
        <item m="1" x="250"/>
        <item m="1" x="6487"/>
        <item m="1" x="5332"/>
        <item m="1" x="1515"/>
        <item m="1" x="7266"/>
        <item m="1" x="3303"/>
        <item m="1" x="6430"/>
        <item m="1" x="4342"/>
        <item m="1" x="3687"/>
        <item m="1" x="4891"/>
        <item m="1" x="7487"/>
        <item m="1" x="832"/>
        <item m="1" x="6509"/>
        <item m="1" x="5875"/>
        <item m="1" x="5004"/>
        <item m="1" x="1320"/>
        <item m="1" x="2435"/>
        <item m="1" x="4753"/>
        <item m="1" x="3084"/>
        <item m="1" x="4874"/>
        <item m="1" x="1215"/>
        <item m="1" x="4641"/>
        <item m="1" x="4507"/>
        <item m="1" x="1289"/>
        <item m="1" x="6419"/>
        <item m="1" x="6168"/>
        <item m="1" x="3842"/>
        <item m="1" x="5727"/>
        <item m="1" x="7681"/>
        <item m="1" x="392"/>
        <item m="1" x="2819"/>
        <item m="1" x="423"/>
        <item m="1" x="1921"/>
        <item m="1" x="1328"/>
        <item m="1" x="1485"/>
        <item m="1" x="5971"/>
        <item m="1" x="339"/>
        <item m="1" x="1810"/>
        <item m="1" x="420"/>
        <item m="1" x="2945"/>
        <item m="1" x="1196"/>
        <item m="1" x="5849"/>
        <item m="1" x="2667"/>
        <item m="1" x="4913"/>
        <item m="1" x="306"/>
        <item m="1" x="2024"/>
        <item m="1" x="695"/>
        <item m="1" x="2564"/>
        <item m="1" x="6505"/>
        <item m="1" x="1080"/>
        <item m="1" x="5398"/>
        <item m="1" x="6613"/>
        <item m="1" x="7709"/>
        <item m="1" x="3906"/>
        <item m="1" x="2968"/>
        <item m="1" x="5116"/>
        <item m="1" x="4719"/>
        <item m="1" x="6423"/>
        <item m="1" x="6945"/>
        <item m="1" x="2688"/>
        <item m="1" x="2771"/>
        <item m="1" x="1234"/>
        <item m="1" x="4449"/>
        <item m="1" x="5746"/>
        <item m="1" x="4309"/>
        <item m="1" x="4515"/>
        <item m="1" x="5228"/>
        <item m="1" x="4990"/>
        <item m="1" x="3098"/>
        <item m="1" x="245"/>
        <item m="1" x="6517"/>
        <item m="1" x="3446"/>
        <item m="1" x="7773"/>
        <item m="1" x="2910"/>
        <item m="1" x="3923"/>
        <item m="1" x="5760"/>
        <item m="1" x="3317"/>
        <item m="1" x="1594"/>
        <item m="1" x="2840"/>
        <item m="1" x="319"/>
        <item m="1" x="6756"/>
        <item m="1" x="7223"/>
        <item m="1" x="5272"/>
        <item m="1" x="6636"/>
        <item m="1" x="1444"/>
        <item m="1" x="7212"/>
        <item m="1" x="1462"/>
        <item m="1" x="912"/>
        <item m="1" x="7568"/>
        <item m="1" x="3877"/>
        <item m="1" x="5812"/>
        <item m="1" x="5154"/>
        <item m="1" x="1055"/>
        <item m="1" x="118"/>
        <item m="1" x="720"/>
        <item m="1" x="5433"/>
        <item m="1" x="4844"/>
        <item m="1" x="2859"/>
        <item m="1" x="2235"/>
        <item m="1" x="961"/>
        <item m="1" x="1938"/>
        <item m="1" x="213"/>
        <item m="1" x="4612"/>
        <item m="1" x="1708"/>
        <item m="1" x="5420"/>
        <item m="1" x="3784"/>
        <item m="1" x="4504"/>
        <item m="1" x="7761"/>
        <item m="1" x="7479"/>
        <item m="1" x="4677"/>
        <item m="1" x="6082"/>
        <item m="1" x="1747"/>
        <item m="1" x="3785"/>
        <item m="1" x="3484"/>
        <item m="1" x="2843"/>
        <item m="1" x="6455"/>
        <item m="1" x="6366"/>
        <item m="1" x="513"/>
        <item m="1" x="4597"/>
        <item m="1" x="2495"/>
        <item m="1" x="4363"/>
        <item m="1" x="4892"/>
        <item m="1" x="6414"/>
        <item m="1" x="2795"/>
        <item m="1" x="4560"/>
        <item m="1" x="220"/>
        <item m="1" x="358"/>
        <item m="1" x="5522"/>
        <item m="1" x="437"/>
        <item m="1" x="7401"/>
        <item m="1" x="7948"/>
        <item m="1" x="7163"/>
        <item m="1" x="2543"/>
        <item m="1" x="4735"/>
        <item m="1" x="2939"/>
        <item m="1" x="1890"/>
        <item m="1" x="1083"/>
        <item m="1" x="5399"/>
        <item m="1" x="1198"/>
        <item m="1" x="6947"/>
        <item m="1" x="1428"/>
        <item m="1" x="752"/>
        <item m="1" x="5858"/>
        <item m="1" x="1364"/>
        <item m="1" x="4081"/>
        <item m="1" x="4649"/>
        <item m="1" x="3444"/>
        <item m="1" x="7530"/>
        <item m="1" x="5645"/>
        <item m="1" x="4336"/>
        <item m="1" x="628"/>
        <item m="1" x="1144"/>
        <item m="1" x="704"/>
        <item m="1" x="3425"/>
        <item m="1" x="4314"/>
        <item m="1" x="5691"/>
        <item m="1" x="2363"/>
        <item m="1" x="7456"/>
        <item m="1" x="68"/>
        <item m="1" x="5871"/>
        <item m="1" x="5859"/>
        <item m="1" x="1557"/>
        <item m="1" x="6690"/>
        <item m="1" x="3180"/>
        <item m="1" x="6680"/>
        <item m="1" x="3708"/>
        <item m="1" x="4538"/>
        <item m="1" x="4113"/>
        <item m="1" x="7213"/>
        <item m="1" x="408"/>
        <item m="1" x="3093"/>
        <item m="1" x="3304"/>
        <item m="1" x="503"/>
        <item m="1" x="3386"/>
        <item m="1" x="1968"/>
        <item m="1" x="5976"/>
        <item m="1" x="816"/>
        <item m="1" x="3088"/>
        <item m="1" x="7963"/>
        <item m="1" x="6715"/>
        <item m="1" x="1689"/>
        <item m="1" x="5087"/>
        <item m="1" x="898"/>
        <item m="1" x="858"/>
        <item m="1" x="5354"/>
        <item m="1" x="7617"/>
        <item m="1" x="3589"/>
        <item m="1" x="6330"/>
        <item m="1" x="5358"/>
        <item m="1" x="3674"/>
        <item m="1" x="6448"/>
        <item m="1" x="2155"/>
        <item m="1" x="828"/>
        <item m="1" x="5591"/>
        <item m="1" x="1905"/>
        <item m="1" x="3424"/>
        <item m="1" x="244"/>
        <item m="1" x="4232"/>
        <item m="1" x="6622"/>
        <item m="1" x="2694"/>
        <item m="1" x="7045"/>
        <item m="1" x="1280"/>
        <item m="1" x="1842"/>
        <item m="1" x="3176"/>
        <item m="1" x="864"/>
        <item m="1" x="5835"/>
        <item m="1" x="1860"/>
        <item m="1" x="5374"/>
        <item m="1" x="7848"/>
        <item m="1" x="7908"/>
        <item m="1" x="2628"/>
        <item m="1" x="4780"/>
        <item m="1" x="1240"/>
        <item m="1" x="7583"/>
        <item m="1" x="3117"/>
        <item m="1" x="3397"/>
        <item m="1" x="4749"/>
        <item m="1" x="346"/>
        <item m="1" x="2496"/>
        <item m="1" x="3482"/>
        <item m="1" x="5400"/>
        <item m="1" x="2102"/>
        <item m="1" x="6553"/>
        <item m="1" x="7825"/>
        <item m="1" x="2899"/>
        <item m="1" x="7303"/>
        <item m="1" x="1230"/>
        <item m="1" x="4770"/>
        <item m="1" x="5342"/>
        <item m="1" x="6193"/>
        <item x="18"/>
        <item m="1" x="2486"/>
        <item m="1" x="4910"/>
        <item m="1" x="7918"/>
        <item m="1" x="7299"/>
        <item m="1" x="7436"/>
        <item m="1" x="7975"/>
        <item m="1" x="6033"/>
        <item m="1" x="2978"/>
        <item m="1" x="4477"/>
        <item m="1" x="2111"/>
        <item m="1" x="915"/>
        <item m="1" x="5590"/>
        <item m="1" x="6979"/>
        <item m="1" x="5214"/>
        <item m="1" x="369"/>
        <item m="1" x="7310"/>
        <item m="1" x="90"/>
        <item m="1" x="5831"/>
        <item m="1" x="6489"/>
        <item m="1" x="3307"/>
        <item m="1" x="4042"/>
        <item m="1" x="345"/>
        <item m="1" x="4655"/>
        <item m="1" x="1656"/>
        <item m="1" x="1986"/>
        <item m="1" x="5321"/>
        <item m="1" x="5127"/>
        <item m="1" x="4578"/>
        <item m="1" x="1069"/>
        <item m="1" x="380"/>
        <item m="1" x="4845"/>
        <item m="1" x="633"/>
        <item m="1" x="6158"/>
        <item m="1" x="184"/>
        <item m="1" x="1803"/>
        <item m="1" x="3152"/>
        <item m="1" x="3210"/>
        <item m="1" x="534"/>
        <item m="1" x="1427"/>
        <item m="1" x="182"/>
        <item m="1" x="3800"/>
        <item m="1" x="2251"/>
        <item m="1" x="6863"/>
        <item m="1" x="5257"/>
        <item m="1" x="3348"/>
        <item m="1" x="7765"/>
        <item m="1" x="5530"/>
        <item m="1" x="3389"/>
        <item m="1" x="3716"/>
        <item m="1" x="4009"/>
        <item m="1" x="4184"/>
        <item m="1" x="5021"/>
        <item m="1" x="3153"/>
        <item m="1" x="3975"/>
        <item m="1" x="2234"/>
        <item m="1" x="6835"/>
        <item m="1" x="211"/>
        <item m="1" x="1089"/>
        <item m="1" x="6936"/>
        <item m="1" x="2755"/>
        <item m="1" x="6162"/>
        <item m="1" x="7254"/>
        <item m="1" x="7325"/>
        <item m="1" x="7326"/>
        <item m="1" x="5677"/>
        <item m="1" x="2586"/>
        <item m="1" x="3376"/>
        <item m="1" x="7019"/>
        <item m="1" x="746"/>
        <item m="1" x="5678"/>
        <item m="1" x="1283"/>
        <item m="1" x="6071"/>
        <item m="1" x="2753"/>
        <item m="1" x="7807"/>
        <item m="1" x="5229"/>
        <item m="1" x="7061"/>
        <item m="1" x="3475"/>
        <item m="1" x="6389"/>
        <item m="1" x="3875"/>
        <item m="1" x="2450"/>
        <item m="1" x="2718"/>
        <item m="1" x="3016"/>
        <item m="1" x="7800"/>
        <item m="1" x="4201"/>
        <item m="1" x="2729"/>
        <item m="1" x="1813"/>
        <item m="1" x="3947"/>
        <item m="1" x="6937"/>
        <item m="1" x="2621"/>
        <item m="1" x="7966"/>
        <item m="1" x="6406"/>
        <item m="1" x="7204"/>
        <item m="1" x="6133"/>
        <item m="1" x="7814"/>
        <item m="1" x="3924"/>
        <item m="1" x="1823"/>
        <item m="1" x="1800"/>
        <item m="1" x="2767"/>
        <item m="1" x="6524"/>
        <item m="1" x="5517"/>
        <item m="1" x="4522"/>
        <item m="1" x="2043"/>
        <item m="1" x="83"/>
        <item m="1" x="4147"/>
        <item m="1" x="7214"/>
        <item m="1" x="1894"/>
        <item m="1" x="1606"/>
        <item m="1" x="2565"/>
        <item m="1" x="4185"/>
        <item m="1" x="1628"/>
        <item m="1" x="3279"/>
        <item m="1" x="6392"/>
        <item m="1" x="7429"/>
        <item m="1" x="4692"/>
        <item m="1" x="3940"/>
        <item m="1" x="2812"/>
        <item m="1" x="6355"/>
        <item m="1" x="3332"/>
        <item m="1" x="4479"/>
        <item m="1" x="1944"/>
        <item m="1" x="3939"/>
        <item m="1" x="389"/>
        <item m="1" x="7584"/>
        <item m="1" x="5569"/>
        <item m="1" x="1990"/>
        <item m="1" x="994"/>
        <item m="1" x="7714"/>
        <item m="1" x="7240"/>
        <item m="1" x="3925"/>
        <item m="1" x="3496"/>
        <item m="1" x="2497"/>
        <item m="1" x="7630"/>
        <item m="1" x="3050"/>
        <item m="1" x="7095"/>
        <item m="1" x="4580"/>
        <item m="1" x="1361"/>
        <item m="1" x="1653"/>
        <item m="1" x="5731"/>
        <item m="1" x="1879"/>
        <item m="1" x="2129"/>
        <item m="1" x="6008"/>
        <item m="1" x="7359"/>
        <item m="1" x="3926"/>
        <item m="1" x="667"/>
        <item m="1" x="1510"/>
        <item m="1" x="3339"/>
        <item m="1" x="108"/>
        <item m="1" x="6820"/>
        <item m="1" x="4206"/>
        <item m="1" x="2365"/>
        <item m="1" x="3276"/>
        <item m="1" x="127"/>
        <item m="1" x="5911"/>
        <item m="1" x="2425"/>
        <item m="1" x="3830"/>
        <item m="1" x="3832"/>
        <item m="1" x="7314"/>
        <item m="1" x="7039"/>
        <item m="1" x="5845"/>
        <item m="1" x="1558"/>
        <item m="1" x="7315"/>
        <item m="1" x="1486"/>
        <item m="1" x="3374"/>
        <item m="1" x="4529"/>
        <item m="1" x="3201"/>
        <item m="1" x="2317"/>
        <item m="1" x="5573"/>
        <item m="1" x="5929"/>
        <item m="1" x="4332"/>
        <item m="1" x="3534"/>
        <item m="1" x="2701"/>
        <item m="1" x="7855"/>
        <item m="1" x="7134"/>
        <item m="1" x="5574"/>
        <item m="1" x="3183"/>
        <item x="51"/>
        <item m="1" x="4521"/>
        <item m="1" x="593"/>
        <item m="1" x="7446"/>
        <item m="1" x="841"/>
        <item m="1" x="2480"/>
        <item m="1" x="5163"/>
        <item m="1" x="4383"/>
        <item m="1" x="3027"/>
        <item m="1" x="7758"/>
        <item m="1" x="1409"/>
        <item m="1" x="7690"/>
        <item m="1" x="5916"/>
        <item m="1" x="7164"/>
        <item m="1" x="7142"/>
        <item m="1" x="7368"/>
        <item m="1" x="4275"/>
        <item m="1" x="3686"/>
        <item m="1" x="3863"/>
        <item m="1" x="3431"/>
        <item m="1" x="5483"/>
        <item m="1" x="2857"/>
        <item m="1" x="3055"/>
        <item m="1" x="4021"/>
        <item m="1" x="673"/>
        <item m="1" x="6681"/>
        <item m="1" x="2587"/>
        <item m="1" x="659"/>
        <item m="1" x="7831"/>
        <item m="1" x="4108"/>
        <item m="1" x="7964"/>
        <item m="1" x="1880"/>
        <item m="1" x="947"/>
        <item m="1" x="1448"/>
        <item m="1" x="5948"/>
        <item m="1" x="5575"/>
        <item m="1" x="5628"/>
        <item m="1" x="711"/>
        <item m="1" x="1355"/>
        <item m="1" x="316"/>
        <item m="1" x="7619"/>
        <item m="1" x="951"/>
        <item m="1" x="4430"/>
        <item m="1" x="4167"/>
        <item m="1" x="1911"/>
        <item m="1" x="3720"/>
        <item m="1" x="2332"/>
        <item m="1" x="712"/>
        <item m="1" x="4131"/>
        <item m="1" x="2738"/>
        <item m="1" x="728"/>
        <item m="1" x="168"/>
        <item m="1" x="713"/>
        <item m="1" x="1222"/>
        <item m="1" x="6064"/>
        <item m="1" x="4450"/>
        <item m="1" x="7099"/>
        <item m="1" x="3072"/>
        <item m="1" x="7599"/>
        <item m="1" x="7020"/>
        <item m="1" x="4287"/>
        <item m="1" x="2026"/>
        <item m="1" x="2261"/>
        <item m="1" x="7786"/>
        <item m="1" x="3864"/>
        <item m="1" x="7394"/>
        <item m="1" x="7909"/>
        <item m="1" x="1793"/>
        <item m="1" x="7109"/>
        <item m="1" x="4455"/>
        <item m="1" x="978"/>
        <item m="1" x="7774"/>
        <item m="1" x="393"/>
        <item m="1" x="5288"/>
        <item m="1" x="7050"/>
        <item m="1" x="5756"/>
        <item m="1" x="6334"/>
        <item m="1" x="1866"/>
        <item m="1" x="3089"/>
        <item m="1" x="4480"/>
        <item m="1" x="1748"/>
        <item m="1" x="2689"/>
        <item m="1" x="3721"/>
        <item m="1" x="273"/>
        <item m="1" x="4736"/>
        <item m="1" x="1457"/>
        <item m="1" x="2881"/>
        <item m="1" x="7812"/>
        <item m="1" x="7980"/>
        <item m="1" x="5128"/>
        <item m="1" x="1901"/>
        <item m="1" x="4466"/>
        <item m="1" x="4181"/>
        <item m="1" x="3051"/>
        <item m="1" x="1584"/>
        <item m="1" x="3897"/>
        <item m="1" x="5732"/>
        <item m="1" x="6792"/>
        <item m="1" x="4216"/>
        <item m="1" x="2507"/>
        <item m="1" x="5881"/>
        <item m="1" x="2656"/>
        <item m="1" x="4148"/>
        <item m="1" x="5468"/>
        <item m="1" x="4149"/>
        <item m="1" x="7782"/>
        <item m="1" x="1831"/>
        <item m="1" x="4693"/>
        <item m="1" x="1156"/>
        <item m="1" x="3099"/>
        <item m="1" x="4960"/>
        <item m="1" x="6740"/>
        <item m="1" x="439"/>
        <item m="1" x="7465"/>
        <item m="1" x="2372"/>
        <item m="1" x="7970"/>
        <item m="1" x="623"/>
        <item m="1" x="4694"/>
        <item m="1" x="1157"/>
        <item m="1" x="3100"/>
        <item m="1" x="6741"/>
        <item m="1" x="649"/>
        <item m="1" x="2376"/>
        <item m="1" x="1844"/>
        <item m="1" x="4043"/>
        <item m="1" x="1042"/>
        <item m="1" x="2333"/>
        <item m="1" x="7585"/>
        <item m="1" x="3022"/>
        <item m="1" x="1551"/>
        <item m="1" x="5792"/>
        <item m="1" x="3665"/>
        <item m="1" x="7076"/>
        <item m="1" x="6525"/>
        <item m="1" x="4013"/>
        <item m="1" x="6955"/>
        <item m="1" x="2081"/>
        <item m="1" x="7210"/>
        <item m="1" x="5723"/>
        <item m="1" x="440"/>
        <item m="1" x="4038"/>
        <item m="1" x="3235"/>
        <item m="1" x="2662"/>
        <item m="1" x="5614"/>
        <item m="1" x="7579"/>
        <item m="1" x="674"/>
        <item m="1" x="441"/>
        <item m="1" x="2983"/>
        <item m="1" x="2262"/>
        <item m="1" x="6664"/>
        <item m="1" x="481"/>
        <item m="1" x="6625"/>
        <item m="1" x="610"/>
        <item m="1" x="579"/>
        <item m="1" x="5878"/>
        <item m="1" x="4400"/>
        <item m="1" x="5435"/>
        <item m="1" x="6521"/>
        <item m="1" x="2657"/>
        <item m="1" x="6116"/>
        <item m="1" x="6770"/>
        <item m="1" x="5001"/>
        <item m="1" x="5088"/>
        <item m="1" x="2226"/>
        <item m="1" x="5789"/>
        <item m="1" x="6077"/>
        <item m="1" x="6144"/>
        <item m="1" x="4288"/>
        <item m="1" x="5793"/>
        <item m="1" x="4785"/>
        <item m="1" x="2610"/>
        <item m="1" x="4150"/>
        <item m="1" x="2374"/>
        <item m="1" x="2439"/>
        <item m="1" x="6682"/>
        <item m="1" x="7495"/>
        <item m="1" x="7496"/>
        <item m="1" x="7115"/>
        <item m="1" x="1586"/>
        <item m="1" x="6774"/>
        <item m="1" x="4953"/>
        <item m="1" x="3964"/>
        <item m="1" x="4728"/>
        <item m="1" x="5333"/>
        <item m="1" x="1608"/>
        <item m="1" x="5002"/>
        <item m="1" x="4128"/>
        <item m="1" x="4717"/>
        <item m="1" x="2221"/>
        <item m="1" x="6020"/>
        <item m="1" x="5940"/>
        <item m="1" x="3428"/>
        <item m="1" x="795"/>
        <item m="1" x="4369"/>
        <item m="1" x="1670"/>
        <item m="1" x="1770"/>
        <item m="1" x="4876"/>
        <item m="1" x="486"/>
        <item m="1" x="4483"/>
        <item m="1" x="5443"/>
        <item m="1" x="7059"/>
        <item m="1" x="2243"/>
        <item m="1" x="6996"/>
        <item m="1" x="6154"/>
        <item m="1" x="7852"/>
        <item m="1" x="7776"/>
        <item m="1" x="5754"/>
        <item m="1" x="7255"/>
        <item m="1" x="7042"/>
        <item m="1" x="5155"/>
        <item m="1" x="5136"/>
        <item m="1" x="2286"/>
        <item m="1" x="2088"/>
        <item m="1" x="1343"/>
        <item m="1" x="6909"/>
        <item m="1" x="6640"/>
        <item m="1" x="7783"/>
        <item m="1" x="5639"/>
        <item m="1" x="7234"/>
        <item m="1" x="7193"/>
        <item m="1" x="1690"/>
        <item m="1" x="5417"/>
        <item m="1" x="4958"/>
        <item x="35"/>
        <item m="1" x="6780"/>
        <item m="1" x="6491"/>
        <item m="1" x="2223"/>
        <item m="1" x="7291"/>
        <item m="1" x="7789"/>
        <item m="1" x="4153"/>
        <item m="1" x="2236"/>
        <item m="1" x="2005"/>
        <item m="1" x="7116"/>
        <item m="1" x="2541"/>
        <item m="1" x="4155"/>
        <item m="1" x="747"/>
        <item m="1" x="650"/>
        <item m="1" x="1783"/>
        <item m="1" x="4343"/>
        <item m="1" x="2952"/>
        <item m="1" x="7089"/>
        <item m="1" x="723"/>
        <item m="1" x="3149"/>
        <item m="1" x="3118"/>
        <item m="1" x="7229"/>
        <item m="1" x="3601"/>
        <item m="1" x="3154"/>
        <item m="1" x="2465"/>
        <item m="1" x="837"/>
        <item m="1" x="1056"/>
        <item m="1" x="4491"/>
        <item m="1" x="5986"/>
        <item m="1" x="5361"/>
        <item m="1" x="1291"/>
        <item m="1" x="6190"/>
        <item m="1" x="4475"/>
        <item m="1" x="5576"/>
        <item m="1" x="7760"/>
        <item m="1" x="7361"/>
        <item m="1" x="2539"/>
        <item m="1" x="2342"/>
        <item m="1" x="5343"/>
        <item m="1" x="7763"/>
        <item m="1" x="6646"/>
        <item m="1" x="4794"/>
        <item m="1" x="1142"/>
        <item m="1" x="2659"/>
        <item m="1" x="4956"/>
        <item m="1" x="6049"/>
        <item m="1" x="73"/>
        <item m="1" x="2089"/>
        <item m="1" x="636"/>
        <item m="1" x="1856"/>
        <item m="1" x="7376"/>
        <item m="1" x="3367"/>
        <item m="1" x="1704"/>
        <item m="1" x="7926"/>
        <item m="1" x="7849"/>
        <item m="1" x="7587"/>
        <item m="1" x="2872"/>
        <item m="1" x="3773"/>
        <item m="1" x="4506"/>
        <item m="1" x="4889"/>
        <item m="1" x="1371"/>
        <item m="1" x="5667"/>
        <item m="1" x="6055"/>
        <item m="1" x="5123"/>
        <item m="1" x="3752"/>
        <item m="1" x="6060"/>
        <item m="1" x="6085"/>
        <item m="1" x="96"/>
        <item m="1" x="2960"/>
        <item m="1" x="5578"/>
        <item m="1" x="5339"/>
        <item m="1" x="5390"/>
        <item m="1" x="1027"/>
        <item m="1" x="1037"/>
        <item m="1" x="544"/>
        <item m="1" x="5014"/>
        <item m="1" x="3402"/>
        <item m="1" x="707"/>
        <item m="1" x="1129"/>
        <item m="1" x="6361"/>
        <item m="1" x="1778"/>
        <item m="1" x="665"/>
        <item m="1" x="7649"/>
        <item m="1" x="5050"/>
        <item m="1" x="7280"/>
        <item m="1" x="4884"/>
        <item m="1" x="7450"/>
        <item m="1" x="7872"/>
        <item m="1" x="2242"/>
        <item m="1" x="4988"/>
        <item m="1" x="7824"/>
        <item m="1" x="5209"/>
        <item m="1" x="5763"/>
        <item m="1" x="2730"/>
        <item m="1" x="1424"/>
        <item m="1" x="724"/>
        <item m="1" x="3121"/>
        <item m="1" x="621"/>
        <item m="1" x="6834"/>
        <item m="1" x="7356"/>
        <item m="1" x="7591"/>
        <item m="1" x="7526"/>
        <item m="1" x="2607"/>
        <item m="1" x="5297"/>
        <item m="1" x="3009"/>
        <item m="1" x="6467"/>
        <item m="1" x="7505"/>
        <item m="1" x="4258"/>
        <item m="1" x="97"/>
        <item m="1" x="7829"/>
        <item m="1" x="4978"/>
        <item m="1" x="1693"/>
        <item m="1" x="4992"/>
        <item m="1" x="1936"/>
        <item m="1" x="5133"/>
        <item m="1" x="1490"/>
        <item m="1" x="7943"/>
        <item m="1" x="1508"/>
        <item m="1" x="3026"/>
        <item m="1" x="98"/>
        <item m="1" x="931"/>
        <item m="1" x="1633"/>
        <item m="1" x="2354"/>
        <item m="1" x="99"/>
        <item m="1" x="6940"/>
        <item m="1" x="4740"/>
        <item m="1" x="7835"/>
        <item m="1" x="215"/>
        <item m="1" x="4286"/>
        <item m="1" x="3737"/>
        <item m="1" x="7308"/>
        <item m="1" x="1493"/>
        <item m="1" x="1632"/>
        <item m="1" x="5830"/>
        <item m="1" x="5005"/>
        <item m="1" x="151"/>
        <item m="1" x="2898"/>
        <item m="1" x="5039"/>
        <item m="1" x="5801"/>
        <item m="1" x="378"/>
        <item m="1" x="4062"/>
        <item m="1" x="7197"/>
        <item m="1" x="7032"/>
        <item m="1" x="447"/>
        <item m="1" x="6048"/>
        <item m="1" x="5082"/>
        <item m="1" x="1511"/>
        <item m="1" x="194"/>
        <item m="1" x="5604"/>
        <item m="1" x="491"/>
        <item m="1" x="7086"/>
        <item m="1" x="2934"/>
        <item m="1" x="3274"/>
        <item m="1" x="1692"/>
        <item m="1" x="6958"/>
        <item m="1" x="5147"/>
        <item m="1" x="7547"/>
        <item m="1" x="169"/>
        <item m="1" x="3346"/>
        <item m="1" x="7631"/>
        <item m="1" x="1503"/>
        <item m="1" x="6016"/>
        <item m="1" x="2950"/>
        <item m="1" x="1544"/>
        <item m="1" x="3810"/>
        <item m="1" x="6700"/>
        <item m="1" x="5917"/>
        <item m="1" x="1559"/>
        <item m="1" x="1017"/>
        <item m="1" x="7795"/>
        <item m="1" x="6844"/>
        <item m="1" x="882"/>
        <item m="1" x="7514"/>
        <item m="1" x="4621"/>
        <item m="1" x="2922"/>
        <item m="1" x="7715"/>
        <item m="1" x="5570"/>
        <item m="1" x="7673"/>
        <item m="1" x="2379"/>
        <item m="1" x="3314"/>
        <item m="1" x="295"/>
        <item m="1" x="4121"/>
        <item m="1" x="3740"/>
        <item m="1" x="6957"/>
        <item m="1" x="394"/>
        <item m="1" x="395"/>
        <item m="1" x="7821"/>
        <item m="1" x="1991"/>
        <item m="1" x="2796"/>
        <item m="1" x="2429"/>
        <item m="1" x="3398"/>
        <item m="1" x="5648"/>
        <item m="1" x="1236"/>
        <item m="1" x="6985"/>
        <item m="1" x="5966"/>
        <item m="1" x="4076"/>
        <item m="1" x="3913"/>
        <item m="1" x="3996"/>
        <item m="1" x="7822"/>
        <item m="1" x="1917"/>
        <item m="1" x="6874"/>
        <item m="1" x="7603"/>
        <item m="1" x="4678"/>
        <item m="1" x="1815"/>
        <item m="1" x="3090"/>
        <item m="1" x="6425"/>
        <item m="1" x="3280"/>
        <item m="1" x="1902"/>
        <item m="1" x="7159"/>
        <item m="1" x="7231"/>
        <item m="1" x="5869"/>
        <item m="1" x="3002"/>
        <item m="1" x="2320"/>
        <item m="1" x="2394"/>
        <item m="1" x="4379"/>
        <item m="1" x="5862"/>
        <item m="1" x="7645"/>
        <item m="1" x="5455"/>
        <item m="1" x="7625"/>
        <item m="1" x="3230"/>
        <item m="1" x="3976"/>
        <item m="1" x="5274"/>
        <item m="1" x="4317"/>
        <item m="1" x="4679"/>
        <item m="1" x="2377"/>
        <item m="1" x="4458"/>
        <item m="1" x="790"/>
        <item m="1" x="5359"/>
        <item m="1" x="3438"/>
        <item m="1" x="7646"/>
        <item m="1" x="3399"/>
        <item m="1" x="6821"/>
        <item m="1" x="6716"/>
        <item m="1" x="3213"/>
        <item m="1" x="3766"/>
        <item m="1" x="2525"/>
        <item m="1" x="5117"/>
        <item m="1" x="4044"/>
        <item m="1" x="4294"/>
        <item m="1" x="6943"/>
        <item m="1" x="7868"/>
        <item m="1" x="5505"/>
        <item m="1" x="2205"/>
        <item m="1" x="5794"/>
        <item m="1" x="7931"/>
        <item m="1" x="1269"/>
        <item m="1" x="157"/>
        <item m="1" x="3396"/>
        <item m="1" x="7936"/>
        <item m="1" x="3366"/>
        <item m="1" x="63"/>
        <item m="1" x="2123"/>
        <item m="1" x="3043"/>
        <item m="1" x="2397"/>
        <item m="1" x="5563"/>
        <item m="1" x="2321"/>
        <item m="1" x="5176"/>
        <item m="1" x="2278"/>
        <item m="1" x="2984"/>
        <item m="1" x="4945"/>
        <item m="1" x="5336"/>
        <item m="1" x="4946"/>
        <item m="1" x="1514"/>
        <item m="1" x="6121"/>
        <item m="1" x="2157"/>
        <item m="1" x="7885"/>
        <item m="1" x="7328"/>
        <item m="1" x="1749"/>
        <item m="1" x="4380"/>
        <item m="1" x="7947"/>
        <item m="1" x="1122"/>
        <item m="1" x="3584"/>
        <item m="1" x="3174"/>
        <item m="1" x="7516"/>
        <item m="1" x="5245"/>
        <item m="1" x="7766"/>
        <item m="1" x="1251"/>
        <item m="1" x="3387"/>
        <item m="1" x="1992"/>
        <item m="1" x="4253"/>
        <item m="1" x="995"/>
        <item m="1" x="496"/>
        <item m="1" x="1591"/>
        <item m="1" x="6393"/>
        <item m="1" x="1971"/>
        <item m="1" x="3382"/>
        <item m="1" x="2748"/>
        <item m="1" x="341"/>
        <item m="1" x="2639"/>
        <item m="1" x="6385"/>
        <item m="1" x="2000"/>
        <item m="1" x="685"/>
        <item m="1" x="6692"/>
        <item m="1" x="4947"/>
        <item m="1" x="2462"/>
        <item m="1" x="1969"/>
        <item m="1" x="1777"/>
        <item m="1" x="1873"/>
        <item m="1" x="2985"/>
        <item m="1" x="1100"/>
        <item m="1" x="4387"/>
        <item m="1" x="1114"/>
        <item m="1" x="2681"/>
        <item m="1" x="2183"/>
        <item m="1" x="371"/>
        <item m="1" x="7467"/>
        <item m="1" x="7678"/>
        <item m="1" x="7287"/>
        <item m="1" x="655"/>
        <item m="1" x="4471"/>
        <item m="1" x="651"/>
        <item m="1" x="5017"/>
        <item m="1" x="5536"/>
        <item m="1" x="562"/>
        <item m="1" x="5990"/>
        <item m="1" x="2158"/>
        <item m="1" x="1495"/>
        <item m="1" x="2287"/>
        <item m="1" x="7402"/>
        <item m="1" x="5538"/>
        <item m="1" x="3682"/>
        <item m="1" x="233"/>
        <item m="1" x="1410"/>
        <item m="1" x="5901"/>
        <item m="1" x="1738"/>
        <item m="1" x="4191"/>
        <item m="1" x="7971"/>
        <item m="1" x="6568"/>
        <item m="1" x="291"/>
        <item m="1" x="1881"/>
        <item m="1" x="2479"/>
        <item m="1" x="1045"/>
        <item m="1" x="5640"/>
        <item m="1" x="6223"/>
        <item m="1" x="3308"/>
        <item m="1" x="3370"/>
        <item m="1" x="2398"/>
        <item m="1" x="4741"/>
        <item m="1" x="4948"/>
        <item m="1" x="3865"/>
        <item m="1" x="1560"/>
        <item m="1" x="413"/>
        <item m="1" x="7593"/>
        <item m="1" x="5663"/>
        <item m="1" x="4750"/>
        <item m="1" x="293"/>
        <item m="1" x="433"/>
        <item m="1" x="7476"/>
        <item m="1" x="6065"/>
        <item m="1" x="1101"/>
        <item m="1" x="5436"/>
        <item m="1" x="6305"/>
        <item m="1" x="7729"/>
        <item m="1" x="7518"/>
        <item m="1" x="4539"/>
        <item m="1" x="5375"/>
        <item m="1" x="5275"/>
        <item m="1" x="7329"/>
        <item m="1" x="3301"/>
        <item m="1" x="6876"/>
        <item m="1" x="2271"/>
        <item m="1" x="1375"/>
        <item m="1" x="325"/>
        <item m="1" x="4716"/>
        <item m="1" x="1816"/>
        <item m="1" x="3064"/>
        <item m="1" x="6036"/>
        <item m="1" x="7808"/>
        <item m="1" x="208"/>
        <item m="1" x="6514"/>
        <item m="1" x="4540"/>
        <item m="1" x="5371"/>
        <item m="1" x="3129"/>
        <item m="1" x="1713"/>
        <item m="1" x="4111"/>
        <item m="1" x="2459"/>
        <item m="1" x="1808"/>
        <item m="1" x="4254"/>
        <item m="1" x="696"/>
        <item m="1" x="3722"/>
        <item m="1" x="763"/>
        <item m="1" x="1587"/>
        <item m="1" x="703"/>
        <item m="1" x="7521"/>
        <item m="1" x="4611"/>
        <item x="12"/>
        <item m="1" x="5524"/>
        <item m="1" x="5139"/>
        <item m="1" x="2594"/>
        <item m="1" x="5964"/>
        <item m="1" x="4215"/>
        <item m="1" x="4420"/>
        <item m="1" x="5629"/>
        <item m="1" x="7667"/>
        <item m="1" x="3668"/>
        <item m="1" x="114"/>
        <item m="1" x="7132"/>
        <item m="1" x="5183"/>
        <item m="1" x="5687"/>
        <item m="1" x="5784"/>
        <item m="1" x="3754"/>
        <item m="1" x="6601"/>
        <item m="1" x="3182"/>
        <item m="1" x="147"/>
        <item m="1" x="5387"/>
        <item m="1" x="4451"/>
        <item m="1" x="1981"/>
        <item m="1" x="4057"/>
        <item m="1" x="883"/>
        <item m="1" x="3432"/>
        <item m="1" x="6742"/>
        <item m="1" x="2237"/>
        <item m="1" x="7064"/>
        <item m="1" x="4257"/>
        <item m="1" x="2492"/>
        <item m="1" x="7365"/>
        <item m="1" x="6302"/>
        <item m="1" x="1268"/>
        <item m="1" x="786"/>
        <item m="1" x="5949"/>
        <item m="1" x="7012"/>
        <item m="1" x="5780"/>
        <item m="1" x="6110"/>
        <item m="1" x="2614"/>
        <item m="1" x="2845"/>
        <item m="1" x="2314"/>
        <item m="1" x="5529"/>
        <item m="1" x="4269"/>
        <item m="1" x="7105"/>
        <item m="1" x="5177"/>
        <item m="1" x="2723"/>
        <item m="1" x="5967"/>
        <item m="1" x="1740"/>
        <item m="1" x="7417"/>
        <item m="1" x="4361"/>
        <item m="1" x="2643"/>
        <item m="1" x="5317"/>
        <item m="1" x="2997"/>
        <item m="1" x="7650"/>
        <item m="1" x="2156"/>
        <item m="1" x="4907"/>
        <item m="1" x="616"/>
        <item m="1" x="1119"/>
        <item m="1" x="2963"/>
        <item m="1" x="4093"/>
        <item m="1" x="4341"/>
        <item m="1" x="5188"/>
        <item m="1" x="2487"/>
        <item m="1" x="3013"/>
        <item m="1" x="509"/>
        <item m="1" x="6608"/>
        <item m="1" x="6089"/>
        <item m="1" x="7194"/>
        <item m="1" x="3242"/>
        <item m="1" x="5525"/>
        <item m="1" x="2349"/>
        <item m="1" x="7778"/>
        <item m="1" x="7680"/>
        <item m="1" x="1987"/>
        <item m="1" x="5704"/>
        <item m="1" x="1238"/>
        <item m="1" x="2874"/>
        <item m="1" x="1639"/>
        <item m="1" x="1766"/>
        <item m="1" x="3465"/>
        <item m="1" x="6343"/>
        <item m="1" x="5200"/>
        <item m="1" x="4382"/>
        <item m="1" x="5753"/>
        <item m="1" x="5567"/>
        <item m="1" x="3015"/>
        <item m="1" x="2804"/>
        <item m="1" x="4833"/>
        <item m="1" x="4000"/>
        <item m="1" x="591"/>
        <item m="1" x="2255"/>
        <item m="1" x="7627"/>
        <item m="1" x="6255"/>
        <item m="1" x="2160"/>
        <item m="1" x="7876"/>
        <item m="1" x="1279"/>
        <item m="1" x="1311"/>
        <item m="1" x="4872"/>
        <item m="1" x="5206"/>
        <item m="1" x="7664"/>
        <item m="1" x="964"/>
        <item m="1" x="582"/>
        <item m="1" x="5260"/>
        <item m="1" x="196"/>
        <item m="1" x="5068"/>
        <item m="1" x="5729"/>
        <item m="1" x="2887"/>
        <item m="1" x="6101"/>
        <item m="1" x="3186"/>
        <item m="1" x="6929"/>
        <item m="1" x="2279"/>
        <item m="1" x="2670"/>
        <item m="1" x="3101"/>
        <item m="1" x="4472"/>
        <item m="1" x="6776"/>
        <item m="1" x="6444"/>
        <item m="1" x="7369"/>
        <item m="1" x="4508"/>
        <item m="1" x="6083"/>
        <item m="1" x="7606"/>
        <item m="1" x="6228"/>
        <item m="1" x="819"/>
        <item m="1" x="4530"/>
        <item m="1" x="4097"/>
        <item m="1" x="4737"/>
        <item m="1" x="4416"/>
        <item m="1" x="6924"/>
        <item m="1" x="2406"/>
        <item m="1" x="7635"/>
        <item m="1" x="3957"/>
        <item m="1" x="7527"/>
        <item m="1" x="482"/>
        <item m="1" x="7034"/>
        <item m="1" x="5060"/>
        <item m="1" x="5279"/>
        <item m="1" x="6173"/>
        <item m="1" x="3710"/>
        <item m="1" x="7430"/>
        <item m="1" x="1159"/>
        <item m="1" x="7205"/>
        <item m="1" x="3177"/>
        <item m="1" x="635"/>
        <item m="1" x="225"/>
        <item m="1" x="6125"/>
        <item m="1" x="5441"/>
        <item m="1" x="275"/>
        <item m="1" x="3797"/>
        <item m="1" x="3018"/>
        <item m="1" x="4809"/>
        <item m="1" x="860"/>
        <item m="1" x="6357"/>
        <item m="1" x="2282"/>
        <item m="1" x="4050"/>
        <item m="1" x="372"/>
        <item m="1" x="4129"/>
        <item m="1" x="680"/>
        <item m="1" x="646"/>
        <item m="1" x="4444"/>
        <item m="1" x="6593"/>
        <item m="1" x="3779"/>
        <item m="1" x="4073"/>
        <item m="1" x="2319"/>
        <item m="1" x="4134"/>
        <item m="1" x="1340"/>
        <item m="1" x="4742"/>
        <item m="1" x="1354"/>
        <item m="1" x="5788"/>
        <item m="1" x="1102"/>
        <item m="1" x="546"/>
        <item m="1" x="3538"/>
        <item m="1" x="4010"/>
        <item m="1" x="5548"/>
        <item m="1" x="1817"/>
        <item m="1" x="1972"/>
        <item m="1" x="5421"/>
        <item m="1" x="6813"/>
        <item m="1" x="3250"/>
        <item m="1" x="4642"/>
        <item m="1" x="4552"/>
        <item m="1" x="3866"/>
        <item m="1" x="1223"/>
        <item m="1" x="3181"/>
        <item m="1" x="7422"/>
        <item m="1" x="6828"/>
        <item m="1" x="3854"/>
        <item m="1" x="267"/>
        <item m="1" x="663"/>
        <item m="1" x="2759"/>
        <item m="1" x="2280"/>
        <item m="1" x="2272"/>
        <item m="1" x="396"/>
        <item m="1" x="6471"/>
        <item m="1" x="963"/>
        <item m="1" x="1411"/>
        <item m="1" x="4051"/>
        <item m="1" x="69"/>
        <item m="1" x="7988"/>
        <item m="1" x="6618"/>
        <item m="1" x="3298"/>
        <item m="1" x="7595"/>
        <item m="1" x="1618"/>
        <item m="1" x="7544"/>
        <item m="1" x="3713"/>
        <item m="1" x="3044"/>
        <item m="1" x="3491"/>
        <item m="1" x="6103"/>
        <item m="1" x="5307"/>
        <item m="1" x="7051"/>
        <item m="1" x="497"/>
        <item m="1" x="4820"/>
        <item m="1" x="1163"/>
        <item m="1" x="7731"/>
        <item m="1" x="1084"/>
        <item m="1" x="1839"/>
        <item m="1" x="6575"/>
        <item m="1" x="6576"/>
        <item m="1" x="4213"/>
        <item m="1" x="7029"/>
        <item m="1" x="911"/>
        <item m="1" x="2535"/>
        <item m="1" x="4979"/>
        <item m="1" x="7294"/>
        <item m="1" x="1923"/>
        <item m="1" x="6480"/>
        <item m="1" x="4531"/>
        <item m="1" x="7910"/>
        <item m="1" x="5246"/>
        <item m="1" x="4650"/>
        <item m="1" x="4135"/>
        <item m="1" x="6798"/>
        <item m="1" x="7388"/>
        <item m="1" x="1274"/>
        <item m="1" x="221"/>
        <item m="1" x="7263"/>
        <item m="1" x="2426"/>
        <item m="1" x="4878"/>
        <item m="1" x="7745"/>
        <item m="1" x="7902"/>
        <item m="1" x="5622"/>
        <item m="1" x="4251"/>
        <item m="1" x="6417"/>
        <item m="1" x="7435"/>
        <item m="1" x="3128"/>
        <item m="1" x="1323"/>
        <item m="1" x="5649"/>
        <item m="1" x="2338"/>
        <item m="1" x="3333"/>
        <item m="1" x="6215"/>
        <item m="1" x="2940"/>
        <item m="1" x="403"/>
        <item m="1" x="7096"/>
        <item m="1" x="7133"/>
        <item m="1" x="4028"/>
        <item m="1" x="4862"/>
        <item m="1" x="132"/>
        <item m="1" x="7030"/>
        <item m="1" x="6883"/>
        <item m="1" x="3324"/>
        <item m="1" x="5892"/>
        <item m="1" x="721"/>
        <item m="1" x="705"/>
        <item m="1" x="5902"/>
        <item m="1" x="4725"/>
        <item m="1" x="3111"/>
        <item m="1" x="3023"/>
        <item m="1" x="4037"/>
        <item m="1" x="6907"/>
        <item m="1" x="7018"/>
        <item m="1" x="7556"/>
        <item m="1" x="4883"/>
        <item m="1" x="6987"/>
        <item m="1" x="4700"/>
        <item m="1" x="3642"/>
        <item m="1" x="6614"/>
        <item m="1" x="4863"/>
        <item m="1" x="4022"/>
        <item m="1" x="2174"/>
        <item m="1" x="3133"/>
        <item m="1" x="4593"/>
        <item m="1" x="7723"/>
        <item m="1" x="5766"/>
        <item m="1" x="7106"/>
        <item m="1" x="6331"/>
        <item m="1" x="121"/>
        <item m="1" x="2430"/>
        <item m="1" x="6615"/>
        <item m="1" x="2119"/>
        <item m="1" x="5104"/>
        <item m="1" x="5688"/>
        <item m="1" x="5215"/>
        <item m="1" x="7560"/>
        <item m="1" x="1773"/>
        <item m="1" x="6141"/>
        <item m="1" x="811"/>
        <item m="1" x="4023"/>
        <item m="1" x="6616"/>
        <item m="1" x="5956"/>
        <item m="1" x="5592"/>
        <item m="1" x="2527"/>
        <item m="1" x="7724"/>
        <item m="1" x="4024"/>
        <item m="1" x="1667"/>
        <item m="1" x="4935"/>
        <item m="1" x="1935"/>
        <item m="1" x="5851"/>
        <item m="1" x="6728"/>
        <item m="1" x="1168"/>
        <item m="1" x="7747"/>
        <item m="1" x="1191"/>
        <item m="1" x="522"/>
        <item m="1" x="5701"/>
        <item m="1" x="2937"/>
        <item m="1" x="3269"/>
        <item m="1" x="4465"/>
        <item m="1" x="515"/>
        <item m="1" x="5702"/>
        <item m="1" x="1687"/>
        <item m="1" x="7350"/>
        <item m="1" x="5294"/>
        <item m="1" x="6256"/>
        <item m="1" x="573"/>
        <item m="1" x="2315"/>
        <item m="1" x="246"/>
        <item m="1" x="608"/>
        <item m="1" x="3688"/>
        <item m="1" x="3492"/>
        <item m="1" x="5934"/>
        <item m="1" x="1575"/>
        <item m="1" x="3079"/>
        <item m="1" x="5931"/>
        <item m="1" x="4570"/>
        <item m="1" x="3493"/>
        <item m="1" x="1057"/>
        <item m="1" x="3649"/>
        <item m="1" x="535"/>
        <item m="1" x="7288"/>
        <item m="1" x="1717"/>
        <item m="1" x="5932"/>
        <item m="1" x="2835"/>
        <item m="1" x="3690"/>
        <item m="1" x="6660"/>
        <item m="1" x="2032"/>
        <item m="1" x="6188"/>
        <item m="1" x="1676"/>
        <item m="1" x="820"/>
        <item m="1" x="2033"/>
        <item m="1" x="2034"/>
        <item m="1" x="1043"/>
        <item m="1" x="1862"/>
        <item m="1" x="853"/>
        <item m="1" x="6271"/>
        <item m="1" x="6022"/>
        <item m="1" x="3590"/>
        <item m="1" x="6257"/>
        <item m="1" x="5593"/>
        <item m="1" x="4340"/>
        <item m="1" x="6023"/>
        <item m="1" x="4045"/>
        <item m="1" x="5366"/>
        <item m="1" x="4351"/>
        <item m="1" x="1013"/>
        <item m="1" x="1563"/>
        <item m="1" x="6845"/>
        <item m="1" x="6170"/>
        <item m="1" x="2695"/>
        <item m="1" x="3379"/>
        <item m="1" x="3689"/>
        <item m="1" x="5089"/>
        <item m="1" x="1449"/>
        <item m="1" x="1285"/>
        <item m="1" x="6237"/>
        <item m="1" x="6281"/>
        <item m="1" x="5933"/>
        <item m="1" x="5670"/>
        <item m="1" x="620"/>
        <item m="1" x="4299"/>
        <item m="1" x="3723"/>
        <item m="1" x="2022"/>
        <item m="1" x="429"/>
        <item m="1" x="296"/>
        <item m="1" x="7175"/>
        <item m="1" x="514"/>
        <item m="1" x="2232"/>
        <item m="1" x="3216"/>
        <item m="1" x="6434"/>
        <item m="1" x="7176"/>
        <item m="1" x="699"/>
        <item m="1" x="1697"/>
        <item m="1" x="5936"/>
        <item m="1" x="3692"/>
        <item m="1" x="5795"/>
        <item m="1" x="6258"/>
        <item m="1" x="373"/>
        <item m="1" x="821"/>
        <item m="1" x="3112"/>
        <item m="1" x="516"/>
        <item m="1" x="517"/>
        <item m="1" x="3360"/>
        <item m="1" x="3214"/>
        <item m="1" x="1464"/>
        <item m="1" x="1465"/>
        <item m="1" x="2074"/>
        <item m="1" x="7949"/>
        <item m="1" x="7951"/>
        <item m="1" x="7160"/>
        <item m="1" x="2383"/>
        <item m="1" x="6403"/>
        <item m="1" x="3404"/>
        <item x="4"/>
        <item m="1" x="2384"/>
        <item m="1" x="7950"/>
        <item m="1" x="4516"/>
        <item m="1" x="446"/>
        <item m="1" x="2452"/>
        <item m="1" x="3413"/>
        <item m="1" x="2171"/>
        <item m="1" x="4949"/>
        <item m="1" x="518"/>
        <item m="1" x="874"/>
        <item m="1" x="6407"/>
        <item m="1" x="2163"/>
        <item m="1" x="5291"/>
        <item m="1" x="4090"/>
        <item m="1" x="1199"/>
        <item m="1" x="1246"/>
        <item m="1" x="5033"/>
        <item m="1" x="574"/>
        <item m="1" x="691"/>
        <item m="1" x="7732"/>
        <item m="1" x="668"/>
        <item m="1" x="1132"/>
        <item m="1" x="5903"/>
        <item m="1" x="2992"/>
        <item m="1" x="4572"/>
        <item m="1" x="1739"/>
        <item m="1" x="1631"/>
        <item m="1" x="5937"/>
        <item m="1" x="2427"/>
        <item m="1" x="7607"/>
        <item m="1" x="3124"/>
        <item m="1" x="7253"/>
        <item m="1" x="186"/>
        <item m="1" x="190"/>
        <item m="1" x="123"/>
        <item m="1" x="7009"/>
        <item m="1" x="4381"/>
        <item m="1" x="1178"/>
        <item m="1" x="3264"/>
        <item m="1" x="5852"/>
        <item m="1" x="3476"/>
        <item m="1" x="4330"/>
        <item m="1" x="3377"/>
        <item m="1" x="1381"/>
        <item m="1" x="2303"/>
        <item m="1" x="5935"/>
        <item m="1" x="4571"/>
        <item m="1" x="1718"/>
        <item m="1" x="3691"/>
        <item m="1" x="3735"/>
        <item m="1" x="6560"/>
        <item m="1" x="2545"/>
        <item m="1" x="6135"/>
        <item m="1" x="3244"/>
        <item m="1" x="575"/>
        <item m="1" x="6238"/>
        <item m="1" x="5251"/>
        <item m="1" x="748"/>
        <item m="1" x="521"/>
        <item m="1" x="5703"/>
        <item m="1" x="520"/>
        <item m="1" x="519"/>
        <item m="1" x="2678"/>
        <item m="1" x="4602"/>
        <item m="1" x="6762"/>
        <item m="1" x="4532"/>
        <item m="1" x="827"/>
        <item m="1" x="3788"/>
        <item m="1" x="1976"/>
        <item m="1" x="143"/>
        <item m="1" x="144"/>
        <item m="1" x="3017"/>
        <item m="1" x="3439"/>
        <item m="1" x="4052"/>
        <item m="1" x="5556"/>
        <item m="1" x="5586"/>
        <item m="1" x="6450"/>
        <item m="1" x="1394"/>
        <item m="1" x="459"/>
        <item m="1" x="7177"/>
        <item m="1" x="875"/>
        <item m="1" x="239"/>
        <item m="1" x="5501"/>
        <item m="1" x="460"/>
        <item m="1" x="465"/>
        <item m="1" x="7180"/>
        <item m="1" x="7330"/>
        <item m="1" x="3603"/>
        <item m="1" x="61"/>
        <item m="1" x="466"/>
        <item m="1" x="6435"/>
        <item m="1" x="6753"/>
        <item m="1" x="1062"/>
        <item m="1" x="310"/>
        <item m="1" x="1399"/>
        <item m="1" x="461"/>
        <item m="1" x="470"/>
        <item m="1" x="7179"/>
        <item m="1" x="2072"/>
        <item m="1" x="4110"/>
        <item m="1" x="3440"/>
        <item m="1" x="7178"/>
        <item m="1" x="7183"/>
        <item m="1" x="7331"/>
        <item m="1" x="7335"/>
        <item m="1" x="3065"/>
        <item m="1" x="3693"/>
        <item m="1" x="876"/>
        <item m="1" x="1397"/>
        <item m="1" x="3604"/>
        <item m="1" x="7182"/>
        <item m="1" x="464"/>
        <item m="1" x="1398"/>
        <item m="1" x="7333"/>
        <item m="1" x="3605"/>
        <item m="1" x="6436"/>
        <item m="1" x="6140"/>
        <item m="1" x="1396"/>
        <item m="1" x="1818"/>
        <item m="1" x="1395"/>
        <item m="1" x="463"/>
        <item m="1" x="467"/>
        <item m="1" x="7181"/>
        <item m="1" x="7334"/>
        <item m="1" x="2869"/>
        <item m="1" x="2870"/>
        <item m="1" x="1668"/>
        <item m="1" x="7448"/>
        <item m="1" x="3811"/>
        <item m="1" x="462"/>
        <item m="1" x="7332"/>
        <item m="1" x="7336"/>
        <item m="1" x="1953"/>
        <item m="1" x="4738"/>
        <item m="1" x="5295"/>
        <item m="1" x="700"/>
        <item m="1" x="7031"/>
        <item m="1" x="4623"/>
        <item m="1" x="1052"/>
        <item m="1" x="6771"/>
        <item m="1" x="5007"/>
        <item m="1" x="7338"/>
        <item m="1" x="701"/>
        <item m="1" x="1400"/>
        <item m="1" x="2350"/>
        <item m="1" x="7185"/>
        <item m="1" x="7339"/>
        <item m="1" x="1401"/>
        <item m="1" x="469"/>
        <item m="1" x="3606"/>
        <item m="1" x="4775"/>
        <item m="1" x="1698"/>
        <item m="1" x="6481"/>
        <item m="1" x="311"/>
        <item m="1" x="240"/>
        <item m="1" x="2517"/>
        <item m="1" x="468"/>
        <item m="1" x="7184"/>
        <item m="1" x="4739"/>
        <item m="1" x="3607"/>
        <item m="1" x="4871"/>
        <item m="1" x="7366"/>
        <item m="1" x="6069"/>
        <item m="1" x="3765"/>
        <item m="1" x="7337"/>
        <item m="1" x="5184"/>
        <item m="1" x="600"/>
        <item m="1" x="3704"/>
        <item m="1" x="877"/>
        <item m="1" x="7340"/>
        <item m="1" x="7186"/>
        <item m="1" x="6960"/>
        <item m="1" x="6300"/>
        <item m="1" x="6437"/>
        <item m="1" x="7341"/>
        <item m="1" x="3608"/>
        <item m="1" x="6039"/>
        <item m="1" x="6754"/>
        <item m="1" x="7187"/>
        <item m="1" x="471"/>
        <item m="1" x="7188"/>
        <item m="1" x="3609"/>
        <item m="1" x="1402"/>
        <item m="1" x="1403"/>
        <item m="1" x="472"/>
        <item m="1" x="7342"/>
        <item m="1" x="702"/>
        <item m="1" x="7189"/>
        <item m="1" x="7343"/>
        <item m="1" x="3610"/>
        <item m="1" x="3724"/>
        <item m="1" x="3400"/>
        <item m="1" x="2860"/>
        <item m="1" x="4848"/>
        <item m="1" x="7893"/>
        <item m="1" x="6259"/>
        <item m="1" x="3758"/>
        <item m="1" x="1329"/>
        <item m="1" x="7344"/>
        <item m="1" x="1330"/>
        <item m="1" x="563"/>
        <item m="1" x="4295"/>
        <item m="1" x="6260"/>
        <item m="1" x="4573"/>
        <item m="1" x="1722"/>
        <item m="1" x="1723"/>
        <item m="1" x="1720"/>
        <item m="1" x="822"/>
        <item m="1" x="1386"/>
        <item m="1" x="6261"/>
        <item m="1" x="4574"/>
        <item m="1" x="5185"/>
        <item m="1" x="1150"/>
        <item m="1" x="1721"/>
        <item m="1" x="7238"/>
        <item m="1" x="1719"/>
        <item m="1" x="1724"/>
        <item m="1" x="2035"/>
        <item m="1" x="901"/>
        <item m="1" x="4239"/>
        <item m="1" x="2404"/>
        <item m="1" x="642"/>
        <item m="1" x="3591"/>
        <item m="1" x="5484"/>
        <item m="1" x="2954"/>
        <item m="1" x="6839"/>
        <item m="1" x="3694"/>
        <item m="1" x="1726"/>
        <item m="1" x="2036"/>
        <item m="1" x="7952"/>
        <item m="1" x="3533"/>
        <item m="1" x="739"/>
        <item m="1" x="4064"/>
        <item m="1" x="3695"/>
        <item m="1" x="5090"/>
        <item m="1" x="7206"/>
        <item m="1" x="784"/>
        <item m="1" x="2813"/>
        <item m="1" x="7420"/>
        <item m="1" x="6239"/>
        <item m="1" x="1725"/>
        <item m="1" x="5671"/>
        <item m="1" x="5109"/>
        <item m="1" x="7165"/>
        <item m="1" x="7647"/>
        <item m="1" x="7982"/>
        <item m="1" x="6574"/>
        <item m="1" x="5767"/>
        <item m="1" x="7345"/>
        <item m="1" x="6866"/>
        <item m="1" x="6758"/>
        <item m="1" x="7785"/>
        <item m="1" x="1046"/>
        <item m="1" x="4575"/>
        <item m="1" x="5893"/>
        <item m="1" x="7459"/>
        <item m="1" x="1552"/>
        <item m="1" x="669"/>
        <item m="1" x="4701"/>
        <item m="1" x="3052"/>
        <item m="1" x="1677"/>
        <item m="1" x="6268"/>
        <item m="1" x="7937"/>
        <item m="1" x="5802"/>
        <item m="1" x="7920"/>
        <item m="1" x="3447"/>
        <item m="1" x="6229"/>
        <item m="1" x="2498"/>
        <item m="1" x="7562"/>
        <item m="1" x="5077"/>
        <item m="1" x="5886"/>
        <item m="1" x="124"/>
        <item m="1" x="6773"/>
        <item m="1" x="5816"/>
        <item m="1" x="565"/>
        <item m="1" x="3312"/>
        <item m="1" x="1430"/>
        <item m="1" x="6117"/>
        <item m="1" x="1179"/>
        <item m="1" x="2839"/>
        <item m="1" x="7462"/>
        <item m="1" x="6702"/>
        <item m="1" x="6129"/>
        <item m="1" x="7218"/>
        <item m="1" x="1275"/>
        <item m="1" x="5716"/>
        <item m="1" x="4828"/>
        <item m="1" x="7657"/>
        <item m="1" x="6869"/>
        <item m="1" x="3258"/>
        <item m="1" x="1277"/>
        <item m="1" x="4966"/>
        <item m="1" x="736"/>
        <item m="1" x="5928"/>
        <item m="1" x="4618"/>
        <item m="1" x="3718"/>
        <item m="1" x="1939"/>
        <item m="1" x="3696"/>
        <item m="1" x="4672"/>
        <item m="1" x="2807"/>
        <item m="1" x="4695"/>
        <item m="1" x="1674"/>
        <item m="1" x="5978"/>
        <item m="1" x="6910"/>
        <item m="1" x="6375"/>
        <item m="1" x="2915"/>
        <item m="1" x="2883"/>
        <item m="1" x="952"/>
        <item m="1" x="6329"/>
        <item m="1" x="609"/>
        <item m="1" x="111"/>
        <item m="1" x="3528"/>
        <item m="1" x="6477"/>
        <item m="1" x="249"/>
        <item m="1" x="3658"/>
        <item m="1" x="2642"/>
        <item m="1" x="4565"/>
        <item m="1" x="1671"/>
        <item m="1" x="2266"/>
        <item m="1" x="5169"/>
        <item m="1" x="6499"/>
        <item m="1" x="4322"/>
        <item m="1" x="4453"/>
        <item m="1" x="4454"/>
        <item m="1" x="958"/>
        <item m="1" x="5863"/>
        <item m="1" x="3222"/>
        <item m="1" x="7563"/>
        <item m="1" x="3510"/>
        <item m="1" x="1257"/>
        <item m="1" x="4936"/>
        <item m="1" x="787"/>
        <item m="1" x="3998"/>
        <item m="1" x="4688"/>
        <item m="1" x="6938"/>
        <item m="1" x="3024"/>
        <item m="1" x="4025"/>
        <item m="1" x="251"/>
        <item m="1" x="1603"/>
        <item m="1" x="1727"/>
        <item m="1" x="5526"/>
        <item m="1" x="2824"/>
        <item m="1" x="387"/>
        <item m="1" x="7720"/>
        <item m="1" x="6541"/>
        <item m="1" x="5337"/>
        <item m="1" x="1882"/>
        <item m="1" x="5101"/>
        <item m="1" x="115"/>
        <item m="1" x="7243"/>
        <item m="1" x="4864"/>
        <item m="1" x="6368"/>
        <item m="1" x="2227"/>
        <item m="1" x="7077"/>
        <item m="1" x="2339"/>
        <item m="1" x="4196"/>
        <item m="1" x="7267"/>
        <item m="1" x="715"/>
        <item m="1" x="2519"/>
        <item m="1" x="4202"/>
        <item m="1" x="1595"/>
        <item m="1" x="1151"/>
        <item m="1" x="3409"/>
        <item m="1" x="5985"/>
        <item m="1" x="3699"/>
        <item m="1" x="3406"/>
        <item m="1" x="1415"/>
        <item m="1" x="2099"/>
        <item m="1" x="679"/>
        <item m="1" x="934"/>
        <item m="1" x="6115"/>
        <item m="1" x="4588"/>
        <item m="1" x="1367"/>
        <item m="1" x="4850"/>
        <item m="1" x="5805"/>
        <item m="1" x="5052"/>
        <item m="1" x="5959"/>
        <item m="1" x="5485"/>
        <item m="1" x="5843"/>
        <item m="1" x="7418"/>
        <item m="1" x="5195"/>
        <item m="1" x="7319"/>
        <item m="1" x="652"/>
        <item m="1" x="2871"/>
        <item m="1" x="498"/>
        <item m="1" x="7395"/>
        <item m="1" x="4541"/>
        <item m="1" x="5061"/>
        <item m="1" x="3619"/>
        <item m="1" x="5429"/>
        <item m="1" x="3620"/>
        <item m="1" x="3910"/>
        <item m="1" x="6994"/>
        <item m="1" x="4268"/>
        <item m="1" x="3170"/>
        <item m="1" x="887"/>
        <item m="1" x="6824"/>
        <item m="1" x="1588"/>
        <item m="1" x="638"/>
        <item m="1" x="755"/>
        <item m="1" x="442"/>
        <item m="1" x="2745"/>
        <item m="1" x="1211"/>
        <item m="1" x="7957"/>
        <item m="1" x="7658"/>
        <item m="1" x="6155"/>
        <item m="1" x="2250"/>
        <item m="1" x="2850"/>
        <item m="1" x="6596"/>
        <item m="1" x="6040"/>
        <item m="1" x="2998"/>
        <item m="1" x="6548"/>
        <item m="1" x="1820"/>
        <item m="1" x="5322"/>
        <item m="1" x="907"/>
        <item m="1" x="1895"/>
        <item m="1" x="2203"/>
        <item m="1" x="1103"/>
        <item m="1" x="4059"/>
        <item m="1" x="6719"/>
        <item m="1" x="4943"/>
        <item m="1" x="2241"/>
        <item m="1" x="6569"/>
        <item m="1" x="5239"/>
        <item m="1" x="1180"/>
        <item m="1" x="629"/>
        <item m="1" x="1874"/>
        <item m="1" x="7492"/>
        <item m="1" x="5721"/>
        <item m="1" x="1564"/>
        <item m="1" x="4352"/>
        <item m="1" x="4821"/>
        <item m="1" x="5912"/>
        <item m="1" x="2696"/>
        <item m="1" x="2013"/>
        <item m="1" x="7976"/>
        <item m="1" x="4847"/>
        <item m="1" x="3187"/>
        <item m="1" x="4207"/>
        <item m="1" x="1181"/>
        <item m="1" x="1623"/>
        <item m="1" x="4151"/>
        <item m="1" x="7586"/>
        <item m="1" x="7393"/>
        <item m="1" x="7078"/>
        <item m="1" x="1912"/>
        <item m="1" x="4673"/>
        <item m="1" x="4276"/>
        <item m="1" x="4961"/>
        <item m="1" x="2385"/>
        <item m="1" x="506"/>
        <item m="1" x="66"/>
        <item m="1" x="3403"/>
        <item m="1" x="5689"/>
        <item m="1" x="3666"/>
        <item m="1" x="5768"/>
        <item m="1" x="6404"/>
        <item m="1" x="3834"/>
        <item m="1" x="4401"/>
        <item m="1" x="1182"/>
        <item m="1" x="5216"/>
        <item m="1" x="6920"/>
        <item m="1" x="7268"/>
        <item m="1" x="6093"/>
        <item m="1" x="5992"/>
        <item m="1" x="5456"/>
        <item m="1" x="1960"/>
        <item m="1" x="4911"/>
        <item m="1" x="2739"/>
        <item m="1" x="7898"/>
        <item m="1" x="2180"/>
        <item m="1" x="4721"/>
        <item m="1" x="6220"/>
        <item m="1" x="6825"/>
        <item m="1" x="3342"/>
        <item m="1" x="4627"/>
        <item m="1" x="2880"/>
        <item m="1" x="5411"/>
        <item m="1" x="856"/>
        <item m="1" x="1422"/>
        <item m="1" x="6108"/>
        <item m="1" x="5096"/>
        <item m="1" x="7869"/>
        <item m="1" x="2579"/>
        <item m="1" x="547"/>
        <item m="1" x="4722"/>
        <item m="1" x="6439"/>
        <item m="1" x="7540"/>
        <item m="1" x="4199"/>
        <item m="1" x="1011"/>
        <item m="1" x="3532"/>
        <item m="1" x="3069"/>
        <item m="1" x="6830"/>
        <item m="1" x="7135"/>
        <item m="1" x="4994"/>
        <item m="1" x="2504"/>
        <item m="1" x="1661"/>
        <item m="1" x="174"/>
        <item m="1" x="4509"/>
        <item m="1" x="4126"/>
        <item m="1" x="2708"/>
        <item m="1" x="2264"/>
        <item m="1" x="7891"/>
        <item m="1" x="2431"/>
        <item m="1" x="3927"/>
        <item m="1" x="5437"/>
        <item m="1" x="7144"/>
        <item m="1" x="1757"/>
        <item m="1" x="1368"/>
        <item m="1" x="6631"/>
        <item m="1" x="2622"/>
        <item m="1" x="5809"/>
        <item m="1" x="4698"/>
        <item m="1" x="1806"/>
        <item m="1" x="997"/>
        <item m="1" x="5143"/>
        <item m="1" x="5553"/>
        <item m="1" x="656"/>
        <item m="1" x="5078"/>
        <item m="1" x="3255"/>
        <item m="1" x="3325"/>
        <item m="1" x="7809"/>
        <item m="1" x="3047"/>
        <item m="1" x="5129"/>
        <item m="1" x="6431"/>
        <item m="1" x="4402"/>
        <item m="1" x="2957"/>
        <item m="1" x="5740"/>
        <item m="1" x="2740"/>
        <item m="1" x="136"/>
        <item m="1" x="2663"/>
        <item m="1" x="7444"/>
        <item m="1" x="5749"/>
        <item m="1" x="3109"/>
        <item m="1" x="3486"/>
        <item m="1" x="548"/>
        <item m="1" x="543"/>
        <item m="1" x="5308"/>
        <item m="1" x="1784"/>
        <item m="1" x="6998"/>
        <item m="1" x="2576"/>
        <item m="1" x="550"/>
        <item m="1" x="3329"/>
        <item m="1" x="1066"/>
        <item m="1" x="4154"/>
        <item m="1" x="5709"/>
        <item m="1" x="6903"/>
        <item m="1" x="614"/>
        <item m="1" x="6221"/>
        <item m="1" x="6466"/>
        <item m="1" x="1188"/>
        <item m="1" x="6072"/>
        <item m="1" x="3573"/>
        <item m="1" x="4270"/>
        <item m="1" x="4271"/>
        <item m="1" x="4065"/>
        <item m="1" x="5600"/>
        <item m="1" x="1070"/>
        <item m="1" x="1071"/>
        <item m="1" x="3134"/>
        <item m="1" x="2029"/>
        <item m="1" x="1537"/>
        <item m="1" x="7660"/>
        <item m="1" x="5157"/>
        <item m="1" x="791"/>
        <item m="1" x="7661"/>
        <item m="1" x="4066"/>
        <item m="1" x="7662"/>
        <item m="1" x="4067"/>
        <item m="1" x="1590"/>
        <item m="1" x="7260"/>
        <item m="1" x="7882"/>
        <item m="1" x="1579"/>
        <item m="1" x="643"/>
        <item m="1" x="490"/>
        <item m="1" x="4039"/>
        <item m="1" x="4533"/>
        <item m="1" x="2894"/>
        <item m="1" x="564"/>
        <item m="1" x="3881"/>
        <item m="1" x="397"/>
        <item m="1" x="5462"/>
        <item m="1" x="7639"/>
        <item m="1" x="954"/>
        <item m="1" x="7129"/>
        <item m="1" x="3851"/>
        <item m="1" x="1363"/>
        <item m="1" x="3855"/>
        <item m="1" x="6273"/>
        <item m="1" x="7408"/>
        <item m="1" x="1915"/>
        <item m="1" x="5258"/>
        <item m="1" x="2037"/>
        <item m="1" x="298"/>
        <item m="1" x="2082"/>
        <item m="1" x="4564"/>
        <item m="1" x="1829"/>
        <item m="1" x="7817"/>
        <item m="1" x="1092"/>
        <item m="1" x="6763"/>
        <item m="1" x="5857"/>
        <item m="1" x="374"/>
        <item m="1" x="6976"/>
        <item m="1" x="6627"/>
        <item m="1" x="6427"/>
        <item m="1" x="1993"/>
        <item m="1" x="6009"/>
        <item m="1" x="6970"/>
        <item m="1" x="3223"/>
        <item m="1" x="110"/>
        <item m="1" x="2904"/>
        <item m="1" x="3891"/>
        <item m="1" x="3448"/>
        <item m="1" x="3821"/>
        <item m="1" x="5118"/>
        <item m="1" x="5969"/>
        <item m="1" x="1252"/>
        <item m="1" x="5119"/>
        <item m="1" x="5110"/>
        <item m="1" x="7925"/>
        <item m="1" x="1581"/>
        <item m="1" x="203"/>
        <item m="1" x="3155"/>
        <item m="1" x="3618"/>
        <item m="1" x="4109"/>
        <item m="1" x="4972"/>
        <item m="1" x="3941"/>
        <item m="1" x="1174"/>
        <item m="1" x="4549"/>
        <item m="1" x="5079"/>
        <item m="1" x="7558"/>
        <item m="1" x="3219"/>
        <item m="1" x="2712"/>
        <item m="1" x="255"/>
        <item m="1" x="4124"/>
        <item m="1" x="6248"/>
        <item m="1" x="7839"/>
        <item m="1" x="6145"/>
        <item m="1" x="4119"/>
        <item m="1" x="5373"/>
        <item m="1" x="7580"/>
        <item m="1" x="5623"/>
        <item m="1" x="2481"/>
        <item m="1" x="7561"/>
        <item m="1" x="7137"/>
        <item m="1" x="2076"/>
        <item m="1" x="4172"/>
        <item m="1" x="2831"/>
        <item m="1" x="4315"/>
        <item m="1" x="5224"/>
        <item m="1" x="6669"/>
        <item m="1" x="3288"/>
        <item m="1" x="671"/>
        <item m="1" x="5458"/>
        <item m="1" x="3517"/>
        <item m="1" x="7230"/>
        <item m="1" x="7956"/>
        <item m="1" x="2144"/>
        <item m="1" x="4987"/>
        <item m="1" x="4675"/>
        <item m="1" x="7733"/>
        <item m="1" x="3578"/>
        <item m="1" x="4145"/>
        <item m="1" x="6054"/>
        <item m="1" x="7915"/>
        <item m="1" x="3759"/>
        <item m="1" x="3224"/>
        <item m="1" x="6759"/>
        <item m="1" x="3407"/>
        <item m="1" x="7108"/>
        <item m="1" x="944"/>
        <item m="1" x="7833"/>
        <item m="1" x="1369"/>
        <item m="1" x="6995"/>
        <item m="1" x="2636"/>
        <item m="1" x="7992"/>
        <item m="1" x="7088"/>
        <item m="1" x="1641"/>
        <item m="1" x="2591"/>
        <item m="1" x="261"/>
        <item m="1" x="2195"/>
        <item m="1" x="7292"/>
        <item m="1" x="664"/>
        <item m="1" x="2214"/>
        <item m="1" x="3073"/>
        <item m="1" x="7362"/>
        <item m="1" x="4086"/>
        <item m="1" x="6074"/>
        <item m="1" x="6637"/>
        <item m="1" x="120"/>
        <item m="1" x="973"/>
        <item m="1" x="4901"/>
        <item m="1" x="5305"/>
        <item m="1" x="435"/>
        <item m="1" x="4827"/>
        <item m="1" x="4517"/>
        <item m="1" x="4141"/>
        <item m="1" x="1262"/>
        <item m="1" x="5695"/>
        <item m="1" x="772"/>
        <item m="1" x="6139"/>
        <item m="1" x="3914"/>
        <item m="1" x="7084"/>
        <item m="1" x="4696"/>
        <item m="1" x="7322"/>
        <item m="1" x="2987"/>
        <item m="1" x="4061"/>
        <item m="1" x="4277"/>
        <item x="21"/>
        <item m="1" x="1137"/>
        <item m="1" x="3599"/>
        <item m="1" x="6826"/>
        <item m="1" x="6050"/>
        <item m="1" x="2558"/>
        <item m="1" x="5326"/>
        <item m="1" x="1868"/>
        <item m="1" x="5037"/>
        <item m="1" x="4298"/>
        <item m="1" x="7903"/>
        <item m="1" x="5714"/>
        <item m="1" x="3434"/>
        <item m="1" x="4985"/>
        <item m="1" x="4139"/>
        <item m="1" x="6066"/>
        <item m="1" x="4986"/>
        <item m="1" x="4690"/>
        <item m="1" x="4324"/>
        <item m="1" x="884"/>
        <item m="1" x="5750"/>
        <item m="1" x="2485"/>
        <item m="1" x="1804"/>
        <item m="1" x="4498"/>
        <item m="1" x="7375"/>
        <item m="1" x="3126"/>
        <item m="1" x="3630"/>
        <item m="1" x="6240"/>
        <item m="1" x="4083"/>
        <item m="1" x="1372"/>
        <item m="1" x="3587"/>
        <item m="1" x="2311"/>
        <item m="1" x="7689"/>
        <item m="1" x="7904"/>
        <item m="1" x="7355"/>
        <item m="1" x="492"/>
        <item m="1" x="4160"/>
        <item m="1" x="2318"/>
        <item m="1" x="7719"/>
        <item m="1" x="4912"/>
        <item m="1" x="1506"/>
        <item m="1" x="3803"/>
        <item m="1" x="7905"/>
        <item m="1" x="2003"/>
        <item m="1" x="3770"/>
        <item m="1" x="6335"/>
        <item m="1" x="7906"/>
        <item m="1" x="7841"/>
        <item m="1" x="4512"/>
        <item m="1" x="4168"/>
        <item m="1" x="4467"/>
        <item m="1" x="7569"/>
        <item m="1" x="1412"/>
        <item m="1" x="2175"/>
        <item m="1" x="7541"/>
        <item m="1" x="2191"/>
        <item m="1" x="6709"/>
        <item m="1" x="3562"/>
        <item m="1" x="7959"/>
        <item m="1" x="6250"/>
        <item m="1" x="1290"/>
        <item m="1" x="2927"/>
        <item m="1" x="4060"/>
        <item m="1" x="2110"/>
        <item m="1" x="7567"/>
        <item m="1" x="6913"/>
        <item m="1" x="549"/>
        <item m="1" x="2913"/>
        <item m="1" x="3849"/>
        <item m="1" x="6815"/>
        <item m="1" x="3738"/>
        <item m="1" x="5141"/>
        <item m="1" x="3970"/>
        <item m="1" x="7026"/>
        <item m="1" x="3870"/>
        <item m="1" x="735"/>
        <item m="1" x="2433"/>
        <item m="1" x="6147"/>
        <item m="1" x="7264"/>
        <item m="1" x="5211"/>
        <item m="1" x="4984"/>
        <item m="1" x="125"/>
        <item m="1" x="7027"/>
        <item m="1" x="5632"/>
        <item m="1" x="5542"/>
        <item m="1" x="4604"/>
        <item m="1" x="2288"/>
        <item m="1" x="5315"/>
        <item m="1" x="5708"/>
        <item m="1" x="5521"/>
        <item m="1" x="1334"/>
        <item m="1" x="7126"/>
        <item m="1" x="5174"/>
        <item m="1" x="6922"/>
        <item m="1" x="2849"/>
        <item m="1" x="5551"/>
        <item m="1" x="7110"/>
        <item m="1" x="1088"/>
        <item m="1" x="1166"/>
        <item m="1" x="968"/>
        <item m="1" x="2114"/>
        <item m="1" x="5065"/>
        <item m="1" x="969"/>
        <item m="1" x="4366"/>
        <item m="1" x="2416"/>
        <item m="1" x="5212"/>
        <item m="1" x="2891"/>
        <item m="1" x="6288"/>
        <item m="1" x="4637"/>
        <item m="1" x="872"/>
        <item m="1" x="2193"/>
        <item m="1" x="6456"/>
        <item m="1" x="4367"/>
        <item m="1" x="4368"/>
        <item m="1" x="970"/>
        <item m="1" x="216"/>
        <item m="1" x="3107"/>
        <item m="1" x="5868"/>
        <item m="1" x="971"/>
        <item m="1" x="972"/>
        <item m="1" x="2121"/>
        <item m="1" x="2122"/>
        <item m="1" x="5572"/>
        <item m="1" x="839"/>
        <item m="1" x="2297"/>
        <item m="1" x="3563"/>
        <item m="1" x="137"/>
        <item m="1" x="2682"/>
        <item m="1" x="7037"/>
        <item m="1" x="1742"/>
        <item m="1" x="3094"/>
        <item m="1" x="5755"/>
        <item m="1" x="1728"/>
        <item m="1" x="1213"/>
        <item m="1" x="4534"/>
        <item m="1" x="2060"/>
        <item m="1" x="3066"/>
        <item m="1" x="3123"/>
        <item m="1" x="7215"/>
        <item m="1" x="5587"/>
        <item m="1" x="505"/>
        <item m="1" x="5201"/>
        <item m="1" x="3888"/>
        <item m="1" x="4248"/>
        <item m="1" x="7427"/>
        <item m="1" x="5024"/>
        <item m="1" x="3726"/>
        <item m="1" x="4614"/>
        <item m="1" x="3318"/>
        <item m="1" x="6724"/>
        <item m="1" x="1665"/>
        <item m="1" x="5838"/>
        <item m="1" x="363"/>
        <item m="1" x="3156"/>
        <item m="1" x="4709"/>
        <item m="1" x="1918"/>
        <item m="1" x="1977"/>
        <item m="1" x="4159"/>
        <item m="1" x="3414"/>
        <item m="1" x="1529"/>
        <item m="1" x="2239"/>
        <item m="1" x="7118"/>
        <item m="1" x="4916"/>
        <item m="1" x="4917"/>
        <item m="1" x="4752"/>
        <item m="1" x="2993"/>
        <item m="1" x="7801"/>
        <item m="1" x="2756"/>
        <item m="1" x="7167"/>
        <item m="1" x="2133"/>
        <item m="1" x="1538"/>
        <item m="1" x="1875"/>
        <item m="1" x="3103"/>
        <item m="1" x="3074"/>
        <item m="1" x="2228"/>
        <item m="1" x="7554"/>
        <item m="1" x="3395"/>
        <item m="1" x="7790"/>
        <item m="1" x="1326"/>
        <item m="1" x="1112"/>
        <item m="1" x="3435"/>
        <item m="1" x="7693"/>
        <item m="1" x="2356"/>
        <item m="1" x="873"/>
        <item m="1" x="611"/>
        <item m="1" x="1067"/>
        <item m="1" x="7010"/>
        <item m="1" x="7699"/>
        <item m="1" x="2493"/>
        <item m="1" x="4908"/>
        <item m="1" x="6965"/>
        <item m="1" x="2630"/>
        <item m="1" x="3120"/>
        <item m="1" x="7566"/>
        <item m="1" x="5318"/>
        <item m="1" x="892"/>
        <item m="1" x="5512"/>
        <item m="1" x="6114"/>
        <item m="1" x="2549"/>
        <item m="1" x="4513"/>
        <item m="1" x="1568"/>
        <item m="1" x="7578"/>
        <item m="1" x="3373"/>
        <item m="1" x="1203"/>
        <item m="1" x="1530"/>
        <item m="1" x="6346"/>
        <item m="1" x="7955"/>
        <item m="1" x="7551"/>
        <item m="1" x="2588"/>
        <item m="1" x="6731"/>
        <item m="1" x="4592"/>
        <item m="1" x="7380"/>
        <item m="1" x="3338"/>
        <item m="1" x="1106"/>
        <item m="1" x="6752"/>
        <item m="1" x="3102"/>
        <item m="1" x="4243"/>
        <item m="1" x="899"/>
        <item m="1" x="7684"/>
        <item m="1" x="2750"/>
        <item m="1" x="7748"/>
        <item m="1" x="3145"/>
        <item m="1" x="2999"/>
        <item m="1" x="4144"/>
        <item m="1" x="913"/>
        <item m="1" x="2412"/>
        <item m="1" x="4624"/>
        <item m="1" x="6266"/>
        <item m="1" x="7227"/>
        <item m="1" x="2833"/>
        <item m="1" x="1002"/>
        <item m="1" x="6946"/>
        <item m="1" x="4646"/>
        <item m="1" x="4705"/>
        <item m="1" x="4993"/>
        <item m="1" x="6424"/>
        <item m="1" x="727"/>
        <item m="1" x="4962"/>
        <item m="1" x="2014"/>
        <item m="1" x="6789"/>
        <item m="1" x="551"/>
        <item m="1" x="2520"/>
        <item m="1" x="862"/>
        <item m="1" x="1231"/>
        <item m="1" x="7298"/>
        <item m="1" x="2131"/>
        <item m="1" x="7460"/>
        <item m="1" x="1288"/>
        <item m="1" x="1303"/>
        <item m="1" x="6531"/>
        <item m="1" x="383"/>
        <item m="1" x="1832"/>
        <item m="1" x="3625"/>
        <item m="1" x="3874"/>
        <item m="1" x="7570"/>
        <item m="1" x="3326"/>
        <item m="1" x="7278"/>
        <item m="1" x="5984"/>
        <item m="1" x="4468"/>
        <item m="1" x="1962"/>
        <item m="1" x="3351"/>
        <item m="1" x="5813"/>
        <item m="1" x="1026"/>
        <item m="1" x="4831"/>
        <item m="1" x="1123"/>
        <item m="1" x="5657"/>
        <item m="1" x="3361"/>
        <item m="1" x="4865"/>
        <item m="1" x="6717"/>
        <item m="1" x="4289"/>
        <item m="1" x="2623"/>
        <item m="1" x="940"/>
        <item m="1" x="2268"/>
        <item m="1" x="5240"/>
        <item m="1" x="1491"/>
        <item m="1" x="6810"/>
        <item m="1" x="1281"/>
        <item m="1" x="4082"/>
        <item m="1" x="6136"/>
        <item m="1" x="984"/>
        <item m="1" x="7452"/>
        <item m="1" x="6212"/>
        <item m="1" x="162"/>
        <item m="1" x="209"/>
        <item m="1" x="774"/>
        <item m="1" x="5690"/>
        <item m="1" x="5566"/>
        <item m="1" x="4938"/>
        <item m="1" x="3882"/>
        <item m="1" x="4766"/>
        <item m="1" x="942"/>
        <item m="1" x="3673"/>
        <item m="1" x="2800"/>
        <item m="1" x="6925"/>
        <item m="1" x="2616"/>
        <item m="1" x="7357"/>
        <item m="1" x="5832"/>
        <item m="1" x="7589"/>
        <item m="1" x="6421"/>
        <item m="1" x="5300"/>
        <item m="1" x="6394"/>
        <item m="1" x="62"/>
        <item m="1" x="2822"/>
        <item m="1" x="2709"/>
        <item m="1" x="2842"/>
        <item m="1" x="7986"/>
        <item m="1" x="2814"/>
        <item m="1" x="6552"/>
        <item m="1" x="6445"/>
        <item m="1" x="1807"/>
        <item m="1" x="3195"/>
        <item m="1" x="7403"/>
        <item m="1" x="2697"/>
        <item m="1" x="6286"/>
        <item m="1" x="4136"/>
        <item m="1" x="405"/>
        <item m="1" x="101"/>
        <item m="1" x="3999"/>
        <item m="1" x="4463"/>
        <item m="1" x="756"/>
        <item m="1" x="4710"/>
        <item m="1" x="6662"/>
        <item m="1" x="5626"/>
        <item m="1" x="3650"/>
        <item m="1" x="6989"/>
        <item m="1" x="4459"/>
        <item m="1" x="2571"/>
        <item m="1" x="4714"/>
        <item m="1" x="163"/>
        <item m="1" x="2329"/>
        <item m="1" x="95"/>
        <item m="1" x="3503"/>
        <item m="1" x="6317"/>
        <item m="1" x="3203"/>
        <item m="1" x="6890"/>
        <item m="1" x="6045"/>
        <item m="1" x="6328"/>
        <item m="1" x="3942"/>
        <item m="1" x="6861"/>
        <item m="1" x="3963"/>
        <item m="1" x="2428"/>
        <item m="1" x="1658"/>
        <item m="1" x="6555"/>
        <item m="1" x="2720"/>
        <item m="1" x="3760"/>
        <item m="1" x="5543"/>
        <item m="1" x="7866"/>
        <item m="1" x="3911"/>
        <item m="1" x="426"/>
        <item m="1" x="6875"/>
        <item m="1" x="5596"/>
        <item m="1" x="1479"/>
        <item m="1" x="2875"/>
        <item m="1" x="2625"/>
        <item m="1" x="3755"/>
        <item m="1" x="7124"/>
        <item m="1" x="3283"/>
        <item m="1" x="4982"/>
        <item m="1" x="4537"/>
        <item m="1" x="3822"/>
        <item m="1" x="4567"/>
        <item m="1" x="3576"/>
        <item m="1" x="3783"/>
        <item m="1" x="5950"/>
        <item m="1" x="7156"/>
        <item m="1" x="1583"/>
        <item m="1" x="531"/>
        <item m="1" x="5706"/>
        <item m="1" x="7671"/>
        <item m="1" x="567"/>
        <item m="1" x="7700"/>
        <item m="1" x="2208"/>
        <item m="1" x="2979"/>
        <item m="1" x="1468"/>
        <item m="1" x="2216"/>
        <item m="1" x="3651"/>
        <item m="1" x="6130"/>
        <item m="1" x="1684"/>
        <item m="1" x="3137"/>
        <item m="1" x="7269"/>
        <item m="1" x="2188"/>
        <item m="1" x="3172"/>
        <item m="1" x="4176"/>
        <item m="1" x="414"/>
        <item m="1" x="2892"/>
        <item m="1" x="4963"/>
        <item m="1" x="5448"/>
        <item m="1" x="1224"/>
        <item m="1" x="4157"/>
        <item m="1" x="205"/>
        <item m="1" x="300"/>
        <item m="1" x="7504"/>
        <item m="1" x="6867"/>
        <item m="1" x="474"/>
        <item m="1" x="2530"/>
        <item m="1" x="3508"/>
        <item m="1" x="3908"/>
        <item m="1" x="5495"/>
        <item m="1" x="6500"/>
        <item m="1" x="5281"/>
        <item m="1" x="3703"/>
        <item m="1" x="7196"/>
        <item m="1" x="4198"/>
        <item m="1" x="6556"/>
        <item m="1" x="904"/>
        <item m="1" x="865"/>
        <item m="1" x="2324"/>
        <item m="1" x="5445"/>
        <item m="1" x="3267"/>
        <item m="1" x="6557"/>
        <item m="1" x="5705"/>
        <item m="1" x="3130"/>
        <item m="1" x="3935"/>
        <item m="1" x="1346"/>
        <item m="1" x="1950"/>
        <item m="1" x="2387"/>
        <item m="1" x="3122"/>
        <item m="1" x="7644"/>
        <item m="1" x="6364"/>
        <item m="1" x="1189"/>
        <item m="1" x="6905"/>
        <item m="1" x="3477"/>
        <item m="1" x="1840"/>
        <item m="1" x="5514"/>
        <item m="1" x="3191"/>
        <item m="1" x="1711"/>
        <item m="1" x="3801"/>
        <item m="1" x="1216"/>
        <item m="1" x="5018"/>
        <item m="1" x="4542"/>
        <item m="1" x="5178"/>
        <item m="1" x="5053"/>
        <item m="1" x="6164"/>
        <item m="1" x="6948"/>
        <item m="1" x="5054"/>
        <item m="1" x="4582"/>
        <item m="1" x="2500"/>
        <item m="1" x="2888"/>
        <item m="1" x="5055"/>
        <item m="1" x="3829"/>
        <item m="1" x="301"/>
        <item m="1" x="5506"/>
        <item m="1" x="1994"/>
        <item m="1" x="6949"/>
        <item m="1" x="1814"/>
        <item m="1" x="2030"/>
        <item m="1" x="6165"/>
        <item m="1" x="1417"/>
        <item m="1" x="1599"/>
        <item m="1" x="4337"/>
        <item m="1" x="3478"/>
        <item m="1" x="5056"/>
        <item m="1" x="280"/>
        <item m="1" x="2808"/>
        <item m="1" x="4795"/>
        <item m="1" x="7928"/>
        <item m="1" x="7828"/>
        <item m="1" x="3756"/>
        <item m="1" x="6571"/>
        <item m="1" x="1266"/>
        <item m="1" x="4161"/>
        <item m="1" x="3061"/>
        <item m="1" x="3188"/>
        <item m="1" x="1450"/>
        <item m="1" x="284"/>
        <item m="1" x="58"/>
        <item m="1" x="6704"/>
        <item m="1" x="7271"/>
        <item m="1" x="2669"/>
        <item m="1" x="1315"/>
        <item m="1" x="364"/>
        <item m="1" x="824"/>
        <item m="1" x="1744"/>
        <item m="1" x="5824"/>
        <item m="1" x="2090"/>
        <item m="1" x="2867"/>
        <item m="1" x="7093"/>
        <item m="1" x="5426"/>
        <item m="1" x="7726"/>
        <item m="1" x="5346"/>
        <item m="1" x="2259"/>
        <item m="1" x="4122"/>
        <item m="1" x="2774"/>
        <item m="1" x="6638"/>
        <item m="1" x="7149"/>
        <item m="1" x="6827"/>
        <item m="1" x="7304"/>
        <item m="1" x="3257"/>
        <item m="1" x="3762"/>
        <item m="1" x="830"/>
        <item m="1" x="7140"/>
        <item m="1" x="1316"/>
        <item m="1" x="923"/>
        <item m="1" x="2562"/>
        <item m="1" x="1652"/>
        <item m="1" x="1237"/>
        <item m="1" x="5352"/>
        <item m="1" x="6607"/>
        <item m="1" x="2106"/>
        <item m="1" x="7217"/>
        <item m="1" x="7881"/>
        <item m="1" x="6053"/>
        <item m="1" x="6737"/>
        <item m="1" x="6301"/>
        <item m="1" x="6561"/>
        <item m="1" x="2305"/>
        <item m="1" x="6672"/>
        <item m="1" x="5748"/>
        <item m="1" x="4663"/>
        <item m="1" x="5003"/>
        <item m="1" x="4553"/>
        <item m="1" x="6401"/>
        <item m="1" x="5008"/>
        <item m="1" x="1470"/>
        <item m="1" x="7845"/>
        <item m="1" x="4070"/>
        <item m="1" x="2390"/>
        <item m="1" x="2484"/>
        <item m="1" x="3795"/>
        <item m="1" x="3815"/>
        <item m="1" x="5475"/>
        <item m="1" x="4485"/>
        <item m="1" x="7993"/>
        <item m="1" x="749"/>
        <item m="1" x="3859"/>
        <item m="1" x="292"/>
        <item m="1" x="6344"/>
        <item m="1" x="2716"/>
        <item m="1" x="4273"/>
        <item m="1" x="4244"/>
        <item m="1" x="2956"/>
        <item m="1" x="7511"/>
        <item m="1" x="6182"/>
        <item m="1" x="7451"/>
        <item m="1" x="2027"/>
        <item m="1" x="7171"/>
        <item m="1" x="4417"/>
        <item m="1" x="6047"/>
        <item m="1" x="5507"/>
        <item m="1" x="2196"/>
        <item m="1" x="2197"/>
        <item m="1" x="342"/>
        <item m="1" x="1247"/>
        <item m="1" x="7424"/>
        <item m="1" x="2084"/>
        <item m="1" x="3909"/>
        <item m="1" x="2217"/>
        <item m="1" x="2991"/>
        <item m="1" x="4544"/>
        <item m="1" x="3652"/>
        <item m="1" x="2233"/>
        <item m="1" x="1232"/>
        <item m="1" x="6967"/>
        <item m="1" x="3226"/>
        <item m="1" x="6091"/>
        <item m="1" x="5550"/>
        <item m="1" x="3730"/>
        <item m="1" x="3542"/>
        <item m="1" x="4308"/>
        <item m="1" x="6722"/>
        <item m="1" x="6729"/>
        <item m="1" x="3006"/>
        <item m="1" x="6098"/>
        <item m="1" x="2413"/>
        <item m="1" x="709"/>
        <item m="1" x="2204"/>
        <item m="1" x="1920"/>
        <item m="1" x="2253"/>
        <item m="1" x="7235"/>
        <item m="1" x="94"/>
        <item m="1" x="6502"/>
        <item m="1" x="4519"/>
        <item m="1" x="7968"/>
        <item m="1" x="2267"/>
        <item m="1" x="955"/>
        <item m="1" x="3850"/>
        <item m="1" x="7209"/>
        <item m="1" x="4210"/>
        <item m="1" x="4680"/>
        <item m="1" x="2420"/>
        <item m="1" x="3592"/>
        <item m="1" x="2380"/>
        <item m="1" x="3732"/>
        <item m="1" x="4997"/>
        <item m="1" x="1637"/>
        <item m="1" x="3334"/>
        <item m="1" x="1441"/>
        <item m="1" x="155"/>
        <item m="1" x="1431"/>
        <item m="1" x="2567"/>
        <item m="1" x="4310"/>
        <item m="1" x="6415"/>
        <item m="1" x="1164"/>
        <item m="1" x="2698"/>
        <item m="1" x="377"/>
        <item m="1" x="3245"/>
        <item m="1" x="1152"/>
        <item m="1" x="2031"/>
        <item m="1" x="3952"/>
        <item m="1" x="722"/>
        <item m="1" x="6901"/>
        <item m="1" x="6562"/>
        <item m="1" x="128"/>
        <item m="1" x="2569"/>
        <item m="1" x="3135"/>
        <item m="1" x="7297"/>
        <item m="1" x="3215"/>
        <item m="1" x="6984"/>
        <item m="1" x="618"/>
        <item m="1" x="5975"/>
        <item m="1" x="5836"/>
        <item m="1" x="1116"/>
        <item m="1" x="1466"/>
        <item m="1" x="4886"/>
        <item m="1" x="3789"/>
        <item m="1" x="2905"/>
        <item m="1" x="7438"/>
        <item m="1" x="601"/>
        <item m="1" x="7090"/>
        <item m="1" x="5679"/>
        <item m="1" x="4156"/>
        <item m="1" x="7716"/>
        <item m="1" x="3518"/>
        <item m="1" x="6532"/>
        <item m="1" x="5769"/>
        <item m="1" x="6897"/>
        <item m="1" x="1785"/>
        <item m="1" x="5013"/>
        <item m="1" x="2775"/>
        <item m="1" x="6461"/>
        <item m="1" x="3812"/>
        <item m="1" x="1146"/>
        <item m="1" x="6472"/>
        <item m="1" x="7502"/>
        <item m="1" x="6041"/>
        <item m="1" x="3320"/>
        <item m="1" x="2592"/>
        <item m="1" x="6635"/>
        <item m="1" x="504"/>
        <item m="1" x="6665"/>
        <item m="1" x="5989"/>
        <item m="1" x="6644"/>
        <item m="1" x="6693"/>
        <item m="1" x="2025"/>
        <item m="1" x="3930"/>
        <item m="1" x="979"/>
        <item m="1" x="7307"/>
        <item m="1" x="2832"/>
        <item m="1" x="7385"/>
        <item m="1" x="1619"/>
        <item m="1" x="6952"/>
        <item m="1" x="3426"/>
        <item m="1" x="6287"/>
        <item m="1" x="7942"/>
        <item m="1" x="5364"/>
        <item m="1" x="5839"/>
        <item m="1" x="7433"/>
        <item m="1" x="6878"/>
        <item m="1" x="7706"/>
        <item m="1" x="2322"/>
        <item m="1" x="1081"/>
        <item m="1" x="5979"/>
        <item m="1" x="1117"/>
        <item m="1" x="3501"/>
        <item m="1" x="6308"/>
        <item m="1" x="4296"/>
        <item m="1" x="3302"/>
        <item m="1" x="4005"/>
        <item m="1" x="6319"/>
        <item m="1" x="4423"/>
        <item m="1" x="1298"/>
        <item m="1" x="3458"/>
        <item m="1" x="2015"/>
        <item m="1" x="2863"/>
        <item m="1" x="4104"/>
        <item m="1" x="5680"/>
        <item m="1" x="6885"/>
        <item m="1" x="1195"/>
        <item m="1" x="2893"/>
        <item m="1" x="2654"/>
        <item m="1" x="2655"/>
        <item m="1" x="1243"/>
        <item m="1" x="3787"/>
        <item m="1" x="499"/>
        <item m="1" x="1020"/>
        <item m="1" x="6320"/>
        <item m="1" x="7967"/>
        <item m="1" x="77"/>
        <item m="1" x="200"/>
        <item m="1" x="1786"/>
        <item m="1" x="2327"/>
        <item m="1" x="6853"/>
        <item m="1" x="6126"/>
        <item m="1" x="4102"/>
        <item m="1" x="1729"/>
        <item m="1" x="4345"/>
        <item m="1" x="6779"/>
        <item m="1" x="3127"/>
        <item m="1" x="7633"/>
        <item m="1" x="2664"/>
        <item m="1" x="2784"/>
        <item m="1" x="7386"/>
        <item m="1" x="1672"/>
        <item m="1" x="4169"/>
        <item m="1" x="3356"/>
        <item m="1" x="7788"/>
        <item m="1" x="3581"/>
        <item m="1" x="2047"/>
        <item m="1" x="7062"/>
        <item m="1" x="7040"/>
        <item m="1" x="2570"/>
        <item m="1" x="1413"/>
        <item m="1" x="5961"/>
        <item m="1" x="7542"/>
        <item m="1" x="5357"/>
        <item m="1" x="3014"/>
        <item m="1" x="1021"/>
        <item m="1" x="5285"/>
        <item m="1" x="2019"/>
        <item m="1" x="4035"/>
        <item m="1" x="5781"/>
        <item m="1" x="6449"/>
        <item m="1" x="6893"/>
        <item m="1" x="7150"/>
        <item m="1" x="5422"/>
        <item m="1" x="4227"/>
        <item m="1" x="1170"/>
        <item m="1" x="2583"/>
        <item m="1" x="1679"/>
        <item m="1" x="6858"/>
        <item m="1" x="3327"/>
        <item m="1" x="1589"/>
        <item m="1" x="3160"/>
        <item m="1" x="3261"/>
        <item m="1" x="6745"/>
        <item m="1" x="326"/>
        <item m="1" x="1007"/>
        <item m="1" x="7370"/>
        <item m="1" x="3281"/>
        <item m="1" x="4137"/>
        <item m="1" x="4170"/>
        <item m="1" x="5213"/>
        <item m="1" x="3577"/>
        <item m="1" x="5261"/>
        <item m="1" x="5864"/>
        <item m="1" x="5918"/>
        <item m="1" x="2757"/>
        <item m="1" x="6972"/>
        <item m="1" x="4615"/>
        <item m="1" x="500"/>
        <item m="1" x="6384"/>
        <item m="1" x="6868"/>
        <item m="1" x="1907"/>
        <item m="1" x="2589"/>
        <item m="1" x="7021"/>
        <item m="1" x="1750"/>
        <item m="1" x="2310"/>
        <item m="1" x="7522"/>
        <item m="1" x="5491"/>
        <item m="1" x="7155"/>
        <item m="1" x="1499"/>
        <item m="1" x="4237"/>
        <item m="1" x="4784"/>
        <item m="1" x="7930"/>
        <item m="1" x="6963"/>
        <item m="1" x="1487"/>
        <item m="1" x="2052"/>
        <item m="1" x="5286"/>
        <item m="1" x="448"/>
        <item m="1" x="3499"/>
        <item m="1" x="6611"/>
        <item m="1" x="3251"/>
        <item m="1" x="4689"/>
        <item m="1" x="2907"/>
        <item m="1" x="6687"/>
        <item m="1" x="6694"/>
        <item m="1" x="404"/>
        <item m="1" x="6591"/>
        <item m="1" x="2296"/>
        <item m="1" x="3778"/>
        <item m="1" x="7478"/>
        <item m="1" x="5080"/>
        <item x="46"/>
        <item m="1" x="2008"/>
        <item m="1" x="6109"/>
        <item m="1" x="1387"/>
        <item m="1" x="5057"/>
        <item m="1" x="4535"/>
        <item m="1" x="6832"/>
        <item m="1" x="7890"/>
        <item m="1" x="391"/>
        <item m="1" x="3262"/>
        <item m="1" x="5630"/>
        <item m="1" x="6306"/>
        <item m="1" x="3767"/>
        <item m="1" x="6602"/>
        <item m="1" x="1572"/>
        <item m="1" x="2312"/>
        <item m="1" x="4511"/>
        <item m="1" x="3831"/>
        <item m="1" x="6732"/>
        <item m="1" x="6877"/>
        <item m="1" x="6441"/>
        <item m="1" x="270"/>
        <item m="1" x="5248"/>
        <item m="1" x="5642"/>
        <item m="1" x="4376"/>
        <item m="1" x="5908"/>
        <item m="1" x="3028"/>
        <item m="1" x="2858"/>
        <item m="1" x="2447"/>
        <item m="1" x="4214"/>
        <item m="1" x="1345"/>
        <item m="1" x="6058"/>
        <item m="1" x="3256"/>
        <item m="1" x="5999"/>
        <item m="1" x="1659"/>
        <item m="1" x="7894"/>
        <item m="1" x="5872"/>
        <item m="1" x="4272"/>
        <item m="1" x="6840"/>
        <item m="1" x="5464"/>
        <item m="1" x="1774"/>
        <item m="1" x="483"/>
        <item m="1" x="4835"/>
        <item m="1" x="1471"/>
        <item m="1" x="1634"/>
        <item m="1" x="7491"/>
        <item m="1" x="5192"/>
        <item m="1" x="4518"/>
        <item m="1" x="2687"/>
        <item m="1" x="1980"/>
        <item m="1" x="2641"/>
        <item m="1" x="1148"/>
        <item m="1" x="1416"/>
        <item m="1" x="2855"/>
        <item m="1" x="4077"/>
        <item m="1" x="3994"/>
        <item m="1" x="3429"/>
        <item m="1" x="1978"/>
        <item m="1" x="7468"/>
        <item m="1" x="5496"/>
        <item m="1" x="4902"/>
        <item m="1" x="5733"/>
        <item m="1" x="7721"/>
        <item m="1" x="4543"/>
        <item m="1" x="5953"/>
        <item m="1" x="6284"/>
        <item m="1" x="6381"/>
        <item m="1" x="2732"/>
        <item m="1" x="4613"/>
        <item m="1" x="1643"/>
        <item m="1" x="7248"/>
        <item m="1" x="2743"/>
        <item m="1" x="2172"/>
        <item m="1" x="1573"/>
        <item m="1" x="7840"/>
        <item m="1" x="2733"/>
        <item m="1" x="6944"/>
        <item m="1" x="3509"/>
        <item m="1" x="1638"/>
        <item m="1" x="1109"/>
        <item m="1" x="7696"/>
        <item m="1" x="740"/>
        <item m="1" x="1349"/>
        <item m="1" x="1833"/>
        <item m="1" x="4015"/>
        <item m="1" x="750"/>
        <item m="1" x="1528"/>
        <item m="1" x="3291"/>
        <item m="1" x="5583"/>
        <item m="1" x="6577"/>
        <item m="1" x="6297"/>
        <item m="1" x="106"/>
        <item m="1" x="2064"/>
        <item m="1" x="2820"/>
        <item m="1" x="817"/>
        <item m="1" x="7318"/>
        <item m="1" x="1064"/>
        <item m="1" x="5323"/>
        <item m="1" x="991"/>
        <item m="1" x="6884"/>
        <item m="1" x="5557"/>
        <item m="1" x="2646"/>
        <item x="25"/>
        <item m="1" x="3627"/>
        <item m="1" x="5156"/>
        <item m="1" x="1183"/>
        <item m="1" x="2501"/>
        <item m="1" x="2502"/>
        <item m="1" x="2836"/>
        <item m="1" x="2580"/>
        <item m="1" x="5487"/>
        <item m="1" x="1620"/>
        <item m="1" x="3056"/>
        <item m="1" x="2611"/>
        <item m="1" x="5786"/>
        <item m="1" x="6906"/>
        <item m="1" x="1714"/>
        <item m="1" x="3462"/>
        <item m="1" x="2776"/>
        <item m="1" x="4233"/>
        <item m="1" x="1331"/>
        <item m="1" x="3575"/>
        <item m="1" x="3798"/>
        <item m="1" x="7440"/>
        <item m="1" x="5722"/>
        <item m="1" x="3799"/>
        <item m="1" x="6094"/>
        <item m="1" x="3003"/>
        <item m="1" x="4545"/>
        <item m="1" x="4306"/>
        <item m="1" x="6738"/>
        <item m="1" x="1432"/>
        <item m="1" x="4526"/>
        <item m="1" x="5694"/>
        <item m="1" x="1870"/>
        <item m="1" x="2791"/>
        <item m="1" x="5887"/>
        <item m="1" x="6802"/>
        <item m="1" x="6056"/>
        <item m="1" x="796"/>
        <item m="1" x="7602"/>
        <item m="1" x="2176"/>
        <item m="1" x="6712"/>
        <item m="1" x="2965"/>
        <item m="1" x="4685"/>
        <item m="1" x="3645"/>
        <item m="1" x="2876"/>
        <item m="1" x="7977"/>
        <item m="1" x="3977"/>
        <item m="1" x="201"/>
        <item m="1" x="7703"/>
        <item m="1" x="3146"/>
        <item m="1" x="1147"/>
        <item m="1" x="6146"/>
        <item m="1" x="3196"/>
        <item m="1" x="996"/>
        <item m="1" x="2815"/>
        <item m="1" x="6811"/>
        <item m="1" x="3899"/>
        <item m="1" x="7512"/>
        <item m="1" x="5665"/>
        <item m="1" x="3259"/>
        <item m="1" x="7054"/>
        <item m="1" x="7850"/>
        <item m="1" x="4723"/>
        <item m="1" x="2456"/>
        <item m="1" x="484"/>
        <item m="1" x="7441"/>
        <item m="1" x="536"/>
        <item m="1" x="3535"/>
        <item m="1" x="4256"/>
        <item m="1" x="6871"/>
        <item m="1" x="6081"/>
        <item m="1" x="7860"/>
        <item m="1" x="6131"/>
        <item m="1" x="3567"/>
        <item m="1" x="3004"/>
        <item m="1" x="1014"/>
        <item m="1" x="7022"/>
        <item m="1" x="4171"/>
        <item m="1" x="5741"/>
        <item m="1" x="921"/>
        <item m="1" x="6262"/>
        <item m="1" x="7670"/>
        <item m="1" x="5913"/>
        <item m="1" x="6194"/>
        <item m="1" x="6535"/>
        <item m="1" x="4836"/>
        <item m="1" x="5044"/>
        <item m="1" x="3659"/>
        <item m="1" x="5175"/>
        <item m="1" x="3217"/>
        <item m="1" x="5895"/>
        <item m="1" x="1597"/>
        <item m="1" x="1616"/>
        <item m="1" x="3615"/>
        <item m="1" x="1085"/>
        <item m="1" x="3564"/>
        <item m="1" x="6150"/>
        <item m="1" x="5527"/>
        <item m="1" x="7311"/>
        <item m="1" x="4392"/>
        <item m="1" x="5528"/>
        <item m="1" x="214"/>
        <item m="1" x="7802"/>
        <item m="1" x="4499"/>
        <item m="1" x="4183"/>
        <item m="1" x="3419"/>
        <item m="1" x="3297"/>
        <item m="1" x="2039"/>
        <item m="1" x="5393"/>
        <item m="1" x="848"/>
        <item m="1" x="6695"/>
        <item m="1" x="6285"/>
        <item m="1" x="335"/>
        <item m="1" x="5276"/>
        <item m="1" x="5148"/>
        <item m="1" x="5712"/>
        <item m="1" x="4922"/>
        <item m="1" x="3634"/>
        <item m="1" x="3635"/>
        <item m="1" x="7767"/>
        <item m="1" x="7141"/>
        <item m="1" x="7870"/>
        <item m="1" x="5395"/>
        <item m="1" x="274"/>
        <item m="1" x="3371"/>
        <item m="1" x="2453"/>
        <item m="1" x="3441"/>
        <item m="1" x="2916"/>
        <item m="1" x="7887"/>
        <item m="1" x="3667"/>
        <item m="1" x="7117"/>
        <item m="1" x="4347"/>
        <item m="1" x="501"/>
        <item m="1" x="2045"/>
        <item m="1" x="6501"/>
        <item m="1" x="2464"/>
        <item m="1" x="3271"/>
        <item m="1" x="6696"/>
        <item m="1" x="2935"/>
        <item m="1" x="4107"/>
        <item m="1" x="3796"/>
        <item m="1" x="122"/>
        <item m="1" x="3433"/>
        <item m="1" x="5787"/>
        <item m="1" x="7453"/>
        <item m="1" x="5144"/>
        <item m="1" x="1531"/>
        <item m="1" x="3449"/>
        <item m="1" x="5582"/>
        <item m="1" x="210"/>
        <item m="1" x="6325"/>
        <item m="1" x="6446"/>
        <item m="1" x="4760"/>
        <item m="1" x="1426"/>
        <item m="1" x="1751"/>
        <item m="1" x="6547"/>
        <item m="1" x="6538"/>
        <item m="1" x="5783"/>
        <item m="1" x="4431"/>
        <item m="1" x="6977"/>
        <item m="1" x="1762"/>
        <item m="1" x="6659"/>
        <item m="1" x="6196"/>
        <item m="1" x="7080"/>
        <item m="1" x="5726"/>
        <item m="1" x="7472"/>
        <item m="1" x="3969"/>
        <item m="1" x="7640"/>
        <item m="1" x="6843"/>
        <item m="1" x="2483"/>
        <item m="1" x="7875"/>
        <item m="1" x="6167"/>
        <item m="1" x="202"/>
        <item m="1" x="760"/>
        <item m="1" x="6242"/>
        <item m="1" x="7525"/>
        <item m="1" x="4001"/>
        <item m="1" x="3867"/>
        <item m="1" x="1304"/>
        <item m="1" x="6195"/>
        <item m="1" x="5015"/>
        <item m="1" x="902"/>
        <item m="1" x="1258"/>
        <item m="1" x="327"/>
        <item m="1" x="7907"/>
        <item m="1" x="625"/>
        <item m="1" x="7674"/>
        <item m="1" x="409"/>
        <item m="1" x="3158"/>
        <item m="1" x="2058"/>
        <item m="1" x="2941"/>
        <item m="1" x="7237"/>
        <item m="1" x="1458"/>
        <item m="1" x="4034"/>
        <item m="1" x="4279"/>
        <item m="1" x="692"/>
        <item m="1" x="5099"/>
        <item m="1" x="2395"/>
        <item m="1" x="2085"/>
        <item m="1" x="1434"/>
        <item m="1" x="7047"/>
        <item m="1" x="7396"/>
        <item m="1" x="4208"/>
        <item m="1" x="3045"/>
        <item m="1" x="3912"/>
        <item m="1" x="3197"/>
        <item m="1" x="7125"/>
        <item m="1" x="5403"/>
        <item m="1" x="495"/>
        <item m="1" x="3350"/>
        <item m="1" x="7615"/>
        <item m="1" x="1352"/>
        <item m="1" x="7753"/>
        <item m="1" x="3900"/>
        <item m="1" x="2703"/>
        <item m="1" x="6781"/>
        <item m="1" x="2540"/>
        <item m="1" x="74"/>
        <item m="1" x="627"/>
        <item m="1" x="5603"/>
        <item m="1" x="6142"/>
        <item m="1" x="5028"/>
        <item m="1" x="6999"/>
        <item m="1" x="3622"/>
        <item m="1" x="5423"/>
        <item m="1" x="4091"/>
        <item m="1" x="375"/>
        <item m="1" x="5558"/>
        <item m="1" x="3039"/>
        <item m="1" x="485"/>
        <item m="1" x="6727"/>
        <item m="1" x="2700"/>
        <item m="1" x="2491"/>
        <item m="1" x="7048"/>
        <item m="1" x="5987"/>
        <item m="1" x="1640"/>
        <item m="1" x="6912"/>
        <item m="1" x="7863"/>
        <item m="1" x="1481"/>
        <item m="1" x="6042"/>
        <item m="1" x="5469"/>
        <item m="1" x="1691"/>
        <item m="1" x="7777"/>
        <item m="1" x="3654"/>
        <item m="1" x="5230"/>
        <item m="1" x="5815"/>
        <item m="1" x="1730"/>
        <item m="1" x="6684"/>
        <item m="1" x="4307"/>
        <item m="1" x="660"/>
        <item m="1" x="5074"/>
        <item m="1" x="5402"/>
        <item m="1" x="6649"/>
        <item m="1" x="289"/>
        <item m="1" x="7656"/>
        <item m="1" x="5624"/>
        <item m="1" x="6010"/>
        <item m="1" x="1319"/>
        <item m="1" x="5338"/>
        <item m="1" x="376"/>
        <item m="1" x="357"/>
        <item m="1" x="5142"/>
        <item m="1" x="2772"/>
        <item m="1" x="2334"/>
        <item m="1" x="5605"/>
        <item m="1" x="3868"/>
        <item m="1" x="1217"/>
        <item m="1" x="5186"/>
        <item m="1" x="7873"/>
        <item m="1" x="1350"/>
        <item m="1" x="7989"/>
        <item m="1" x="3391"/>
        <item m="1" x="2665"/>
        <item m="1" x="3727"/>
        <item m="1" x="6706"/>
        <item m="1" x="2018"/>
        <item m="1" x="3869"/>
        <item m="1" x="3260"/>
        <item m="1" x="7258"/>
        <item m="1" x="5165"/>
        <item m="1" x="5952"/>
        <item m="1" x="6075"/>
        <item m="1" x="4967"/>
        <item m="1" x="3427"/>
        <item m="1" x="2057"/>
        <item m="1" x="7056"/>
        <item m="1" x="3091"/>
        <item m="1" x="1419"/>
        <item m="1" x="4478"/>
        <item m="1" x="7416"/>
        <item m="1" x="6503"/>
        <item m="1" x="1797"/>
        <item m="1" x="4520"/>
        <item m="1" x="1004"/>
        <item m="1" x="2258"/>
        <item m="1" x="350"/>
        <item m="1" x="1988"/>
        <item m="1" x="2741"/>
        <item m="1" x="4665"/>
        <item m="1" x="3931"/>
        <item m="1" x="6584"/>
        <item m="1" x="5160"/>
        <item m="1" x="4247"/>
        <item m="1" x="2673"/>
        <item m="1" x="4325"/>
        <item m="1" x="4055"/>
        <item m="1" x="443"/>
        <item m="1" x="3494"/>
        <item m="1" x="6600"/>
        <item m="1" x="1383"/>
        <item m="1" x="3046"/>
        <item m="1" x="7497"/>
        <item m="1" x="935"/>
        <item m="1" x="4488"/>
        <item m="1" x="1702"/>
        <item m="1" x="4822"/>
        <item m="1" x="6369"/>
        <item m="1" x="1317"/>
        <item m="1" x="3057"/>
        <item m="1" x="4923"/>
        <item m="1" x="529"/>
        <item m="1" x="5922"/>
        <item m="1" x="1201"/>
        <item m="1" x="3529"/>
        <item m="1" x="4437"/>
        <item m="1" x="7755"/>
        <item m="1" x="2566"/>
        <item m="1" x="2508"/>
        <item m="1" x="7739"/>
        <item m="1" x="6526"/>
        <item m="1" x="2634"/>
        <item m="1" x="3140"/>
        <item m="1" x="7066"/>
        <item m="1" x="2300"/>
        <item m="1" x="3595"/>
        <item m="1" x="4496"/>
        <item m="1" x="6011"/>
        <item m="1" x="1877"/>
        <item m="1" x="6743"/>
        <item m="1" x="7987"/>
        <item m="1" x="2749"/>
        <item m="1" x="4758"/>
        <item m="1" x="7836"/>
        <item m="1" x="6181"/>
        <item m="1" x="1624"/>
        <item m="1" x="6626"/>
        <item m="1" x="5113"/>
        <item m="1" x="3540"/>
        <item m="1" x="5084"/>
        <item m="1" x="657"/>
        <item m="1" x="6766"/>
        <item m="1" x="4625"/>
        <item m="1" x="590"/>
        <item m="1" x="113"/>
        <item m="1" x="2809"/>
        <item m="1" x="1843"/>
        <item m="1" x="3252"/>
        <item m="1" x="990"/>
        <item m="1" x="2917"/>
        <item m="1" x="5296"/>
        <item m="1" x="1540"/>
        <item m="1" x="3655"/>
        <item m="1" x="3355"/>
        <item m="1" x="6043"/>
        <item m="1" x="3383"/>
        <item m="1" x="175"/>
        <item m="1" x="953"/>
        <item m="1" x="1963"/>
        <item m="1" x="4584"/>
        <item m="1" x="290"/>
        <item m="1" x="5764"/>
        <item m="1" x="328"/>
        <item m="1" x="1680"/>
        <item m="1" x="5641"/>
        <item m="1" x="4791"/>
        <item m="1" x="3248"/>
        <item m="1" x="7701"/>
        <item m="1" x="489"/>
        <item m="1" x="1681"/>
        <item m="1" x="6612"/>
        <item m="1" x="3272"/>
        <item m="1" x="4502"/>
        <item m="1" x="4666"/>
        <item m="1" x="4837"/>
        <item m="1" x="4838"/>
        <item m="1" x="4255"/>
        <item m="1" x="6726"/>
        <item m="1" x="5761"/>
        <item m="1" x="793"/>
        <item m="1" x="4173"/>
        <item m="1" x="6539"/>
        <item m="1" x="3479"/>
        <item m="1" x="4858"/>
        <item m="1" x="6118"/>
        <item m="1" x="3933"/>
        <item m="1" x="5885"/>
        <item m="1" x="5653"/>
        <item m="1" x="5970"/>
        <item m="1" x="1795"/>
        <item m="1" x="5413"/>
        <item m="1" x="6846"/>
        <item m="1" x="7608"/>
        <item m="1" x="4464"/>
        <item m="1" x="312"/>
        <item m="1" x="6326"/>
        <item m="1" x="453"/>
        <item m="1" x="7960"/>
        <item m="1" x="5853"/>
        <item m="1" x="5152"/>
        <item m="1" x="5289"/>
        <item m="1" x="5312"/>
        <item m="1" x="3817"/>
        <item m="1" x="2672"/>
        <item m="1" x="7461"/>
        <item m="1" x="1855"/>
        <item m="1" x="3296"/>
        <item m="1" x="6670"/>
        <item m="1" x="1682"/>
        <item m="1" x="7895"/>
        <item m="1" x="3519"/>
        <item m="1" x="4177"/>
        <item m="1" x="5571"/>
        <item m="1" x="3629"/>
        <item m="1" x="5791"/>
        <item m="1" x="4546"/>
        <item m="1" x="5883"/>
        <item m="1" x="6234"/>
        <item m="1" x="5713"/>
        <item m="1" x="2618"/>
        <item m="1" x="4241"/>
        <item m="1" x="842"/>
        <item m="1" x="5697"/>
        <item m="1" x="4989"/>
        <item m="1" x="6757"/>
        <item m="1" x="5954"/>
        <item m="1" x="4566"/>
        <item m="1" x="3679"/>
        <item m="1" x="3955"/>
        <item m="1" x="285"/>
        <item m="1" x="1660"/>
        <item m="1" x="7735"/>
        <item m="1" x="4568"/>
        <item m="1" x="4280"/>
        <item m="1" x="2877"/>
        <item m="1" x="1025"/>
        <item m="1" x="286"/>
        <item m="1" x="1253"/>
        <item m="1" x="219"/>
        <item m="1" x="7201"/>
        <item m="1" x="1187"/>
        <item m="1" x="7421"/>
        <item m="1" x="4460"/>
        <item m="1" x="5923"/>
        <item m="1" x="418"/>
        <item m="1" x="4839"/>
        <item m="1" x="4068"/>
        <item m="1" x="6857"/>
        <item m="1" x="6080"/>
        <item m="1" x="4904"/>
        <item m="1" x="7202"/>
        <item m="1" x="5594"/>
        <item m="1" x="3714"/>
        <item m="1" x="2878"/>
        <item m="1" x="5331"/>
        <item m="1" x="3879"/>
        <item m="1" x="6005"/>
        <item m="1" x="3384"/>
        <item m="1" x="2467"/>
        <item m="1" x="5650"/>
        <item m="1" x="1242"/>
        <item m="1" x="3497"/>
        <item m="1" x="843"/>
        <item m="1" x="5170"/>
        <item m="1" x="4071"/>
        <item m="1" x="7312"/>
        <item m="1" x="4327"/>
        <item m="1" x="7702"/>
        <item m="1" x="3483"/>
        <item m="1" x="5348"/>
        <item m="1" x="7799"/>
        <item m="1" x="1946"/>
        <item m="1" x="6563"/>
        <item m="1" x="7749"/>
        <item m="1" x="7663"/>
        <item m="1" x="5519"/>
        <item m="1" x="7856"/>
        <item m="1" x="2521"/>
        <item m="1" x="2690"/>
        <item m="1" x="5070"/>
        <item m="1" x="3238"/>
        <item m="1" x="4414"/>
        <item m="1" x="313"/>
        <item m="1" x="5508"/>
        <item m="1" x="1648"/>
        <item m="1" x="3848"/>
        <item m="1" x="6760"/>
        <item m="1" x="4348"/>
        <item m="1" x="138"/>
        <item m="1" x="801"/>
        <item m="1" x="2448"/>
        <item m="1" x="1954"/>
        <item m="1" x="1212"/>
        <item m="1" x="1787"/>
        <item m="1" x="4053"/>
        <item m="1" x="2257"/>
        <item m="1" x="959"/>
        <item m="1" x="7289"/>
        <item m="1" x="2531"/>
        <item m="1" x="3025"/>
        <item m="1" x="5685"/>
        <item m="1" x="781"/>
        <item m="1" x="7346"/>
        <item m="1" x="869"/>
        <item m="1" x="158"/>
        <item m="1" x="1347"/>
        <item m="1" x="4591"/>
        <item m="1" x="4374"/>
        <item m="1" x="6988"/>
        <item m="1" x="2683"/>
        <item m="1" x="6701"/>
        <item m="1" x="7718"/>
        <item m="1" x="7810"/>
        <item m="1" x="4125"/>
        <item m="1" x="5847"/>
        <item m="1" x="3671"/>
        <item m="1" x="4718"/>
        <item m="1" x="7675"/>
        <item m="1" x="2004"/>
        <item m="1" x="1058"/>
        <item m="1" x="2054"/>
        <item m="1" x="1965"/>
        <item m="1" x="2923"/>
        <item m="1" x="7953"/>
        <item m="1" x="5438"/>
        <item m="1" x="5071"/>
        <item m="1" x="6718"/>
        <item m="1" x="6084"/>
        <item m="1" x="2548"/>
        <item m="1" x="1602"/>
        <item m="1" x="6378"/>
        <item m="1" x="5752"/>
        <item m="1" x="7641"/>
        <item m="1" x="7481"/>
        <item m="1" x="4550"/>
        <item m="1" x="4395"/>
        <item m="1" x="6686"/>
        <item m="1" x="6585"/>
        <item m="1" x="7961"/>
        <item m="1" x="5349"/>
        <item m="1" x="2148"/>
        <item m="1" x="1521"/>
        <item m="1" x="1533"/>
        <item m="1" x="5941"/>
        <item m="1" x="6892"/>
        <item m="1" x="5601"/>
        <item m="1" x="4264"/>
        <item m="1" x="3436"/>
        <item m="1" x="7550"/>
        <item m="1" x="3416"/>
        <item m="1" x="2153"/>
        <item m="1" x="4777"/>
        <item m="1" x="3321"/>
        <item m="1" x="2159"/>
        <item m="1" x="5424"/>
        <item m="1" x="2597"/>
        <item m="1" x="4767"/>
        <item m="1" x="3856"/>
        <item m="1" x="5283"/>
        <item m="1" x="1553"/>
        <item m="1" x="3092"/>
        <item m="1" x="2532"/>
        <item m="1" x="2691"/>
        <item m="1" x="6795"/>
        <item m="1" x="4092"/>
        <item m="1" x="1854"/>
        <item m="1" x="5825"/>
        <item m="1" x="594"/>
        <item m="1" x="2785"/>
        <item m="1" x="5651"/>
        <item m="1" x="1504"/>
        <item m="1" x="6842"/>
        <item m="1" x="6222"/>
        <item m="1" x="7508"/>
        <item m="1" x="5884"/>
        <item m="1" x="5202"/>
        <item m="1" x="4058"/>
        <item m="1" x="4926"/>
        <item m="1" x="5888"/>
        <item m="1" x="4146"/>
        <item m="1" x="807"/>
        <item m="1" x="4746"/>
        <item m="1" x="3273"/>
        <item m="1" x="927"/>
        <item m="1" x="2108"/>
        <item m="1" x="314"/>
        <item m="1" x="1507"/>
        <item m="1" x="1925"/>
        <item m="1" x="4364"/>
        <item m="1" x="7301"/>
        <item m="1" x="3031"/>
        <item m="1" x="1305"/>
        <item m="1" x="5478"/>
        <item m="1" x="3231"/>
        <item m="1" x="5905"/>
        <item m="1" x="6408"/>
        <item m="1" x="7917"/>
        <item m="1" x="4424"/>
        <item m="1" x="3340"/>
        <item m="1" x="6014"/>
        <item m="1" x="7305"/>
        <item m="1" x="5737"/>
        <item m="1" x="2457"/>
        <item m="1" x="4647"/>
        <item m="1" x="1607"/>
        <item m="1" x="6176"/>
        <item m="1" x="1913"/>
        <item m="1" x="475"/>
        <item m="1" x="1982"/>
        <item m="1" x="3991"/>
        <item m="1" x="5490"/>
        <item m="1" x="2070"/>
        <item m="1" x="3827"/>
        <item m="1" x="1299"/>
        <item m="1" x="3141"/>
        <item m="1" x="4072"/>
        <item m="1" x="7036"/>
        <item m="1" x="4616"/>
        <item m="1" x="5673"/>
        <item m="1" x="5092"/>
        <item m="1" x="3928"/>
        <item m="1" x="4711"/>
        <item m="1" x="1385"/>
        <item m="1" x="5368"/>
        <item m="1" x="6586"/>
        <item m="1" x="3080"/>
        <item m="1" x="1233"/>
        <item m="1" x="3945"/>
        <item m="1" x="2536"/>
        <item m="1" x="7756"/>
        <item m="1" x="7981"/>
        <item m="1" x="5894"/>
        <item m="1" x="4178"/>
        <item m="1" x="5203"/>
        <item m="1" x="2206"/>
        <item m="1" x="2170"/>
        <item m="1" x="4127"/>
        <item m="1" x="7816"/>
        <item m="1" x="5531"/>
        <item m="1" x="4587"/>
        <item m="1" x="3115"/>
        <item m="1" x="5476"/>
        <item m="1" x="6997"/>
        <item m="1" x="545"/>
        <item m="1" x="2550"/>
        <item m="1" x="1600"/>
        <item m="1" x="5427"/>
        <item m="1" x="3243"/>
        <item m="1" x="4768"/>
        <item m="1" x="3621"/>
        <item m="1" x="2181"/>
        <item m="1" x="4370"/>
        <item m="1" x="3596"/>
        <item m="1" x="889"/>
        <item m="1" x="1134"/>
        <item m="1" x="6410"/>
        <item m="1" x="3040"/>
        <item m="1" x="5637"/>
        <item m="1" x="3873"/>
        <item m="1" x="6358"/>
        <item m="1" x="2615"/>
        <item m="1" x="4726"/>
        <item m="1" x="5907"/>
        <item m="1" x="7792"/>
        <item m="1" x="753"/>
        <item m="1" x="2240"/>
        <item m="1" x="6156"/>
        <item m="1" x="381"/>
        <item m="1" x="3919"/>
        <item m="1" x="7559"/>
        <item m="1" x="5449"/>
        <item m="1" x="890"/>
        <item m="1" x="4326"/>
        <item m="1" x="5444"/>
        <item m="1" x="2930"/>
        <item m="1" x="4976"/>
        <item m="1" x="7609"/>
        <item m="1" x="3221"/>
        <item m="1" x="7710"/>
        <item m="1" x="2537"/>
        <item m="1" x="2538"/>
        <item m="1" x="4626"/>
        <item m="1" x="559"/>
        <item m="1" x="2445"/>
        <item m="1" x="1863"/>
        <item m="1" x="2973"/>
        <item m="1" x="7796"/>
        <item m="1" x="204"/>
        <item m="1" x="3818"/>
        <item m="1" x="3368"/>
        <item m="1" x="7283"/>
        <item m="1" x="5840"/>
        <item m="1" x="4964"/>
        <item m="1" x="1731"/>
        <item m="1" x="1929"/>
        <item m="1" x="315"/>
        <item m="1" x="637"/>
        <item m="1" x="3883"/>
        <item m="1" x="2734"/>
        <item m="1" x="3330"/>
        <item m="1" x="4290"/>
        <item m="1" x="6782"/>
        <item m="1" x="2469"/>
        <item m="1" x="5073"/>
        <item m="1" x="1775"/>
        <item m="1" x="4915"/>
        <item m="1" x="5440"/>
        <item m="1" x="2150"/>
        <item m="1" x="2760"/>
        <item m="1" x="6473"/>
        <item m="1" x="3768"/>
        <item m="1" x="281"/>
        <item m="1" x="7246"/>
        <item m="1" x="7791"/>
        <item m="1" x="5718"/>
        <item m="1" x="5072"/>
        <item m="1" x="583"/>
        <item m="1" x="3702"/>
        <item m="1" x="6588"/>
        <item m="1" x="3742"/>
        <item m="1" x="1338"/>
        <item m="1" x="7768"/>
        <item m="1" x="317"/>
        <item m="1" x="5353"/>
        <item m="1" x="4099"/>
        <item m="1" x="7410"/>
        <item m="1" x="6777"/>
        <item m="1" x="3683"/>
        <item m="1" x="430"/>
        <item m="1" x="6848"/>
        <item m="1" x="6282"/>
        <item m="1" x="3743"/>
        <item m="1" x="365"/>
        <item m="1" x="6244"/>
        <item m="1" x="5282"/>
        <item m="1" x="5808"/>
        <item m="1" x="6950"/>
        <item m="1" x="1947"/>
        <item m="1" x="4105"/>
        <item m="1" x="1353"/>
        <item m="1" x="4078"/>
        <item m="1" x="1554"/>
        <item m="1" x="813"/>
        <item m="1" x="1576"/>
        <item m="1" x="3729"/>
        <item m="1" x="630"/>
        <item m="1" x="7688"/>
        <item m="1" x="3937"/>
        <item m="1" x="4162"/>
        <item m="1" x="6052"/>
        <item m="1" x="7519"/>
        <item m="1" x="3717"/>
        <item m="1" x="3744"/>
        <item m="1" x="4703"/>
        <item m="1" x="5652"/>
        <item m="1" x="7653"/>
        <item m="1" x="476"/>
        <item m="1" x="3656"/>
        <item m="1" x="7216"/>
        <item m="1" x="5027"/>
        <item m="1" x="188"/>
        <item m="1" x="5231"/>
        <item m="1" x="1989"/>
        <item m="1" x="4249"/>
        <item m="1" x="3672"/>
        <item m="1" x="3136"/>
        <item m="1" x="2252"/>
        <item m="1" x="4331"/>
        <item m="1" x="878"/>
        <item m="1" x="7575"/>
        <item m="1" x="866"/>
        <item m="1" x="152"/>
        <item m="1" x="1141"/>
        <item m="1" x="7423"/>
        <item m="1" x="7978"/>
        <item m="1" x="7290"/>
        <item m="1" x="5634"/>
        <item m="1" x="1382"/>
        <item m="1" x="4617"/>
        <item m="1" x="823"/>
        <item m="1" x="4209"/>
        <item m="1" x="4357"/>
        <item m="1" x="1225"/>
        <item m="1" x="3481"/>
        <item m="1" x="2362"/>
        <item m="1" x="3772"/>
        <item m="1" x="5841"/>
        <item m="1" x="1270"/>
        <item m="1" x="1138"/>
        <item m="1" x="6316"/>
        <item m="1" x="5846"/>
        <item m="1" x="2693"/>
        <item m="1" x="5627"/>
        <item m="1" x="1983"/>
        <item m="1" x="338"/>
        <item m="1" x="5820"/>
        <item m="1" x="5800"/>
        <item m="1" x="5643"/>
        <item x="1"/>
        <item m="1" x="5407"/>
        <item m="1" x="1826"/>
        <item x="37"/>
        <item m="1" x="424"/>
        <item m="1" x="2603"/>
        <item m="1" x="2173"/>
        <item m="1" x="7727"/>
        <item m="1" x="7865"/>
        <item m="1" x="6245"/>
        <item m="1" x="1574"/>
        <item m="1" x="834"/>
        <item m="1" x="2199"/>
        <item m="1" x="3860"/>
        <item m="1" x="3081"/>
        <item m="1" x="7091"/>
        <item m="1" x="5757"/>
        <item m="1" x="454"/>
        <item m="1" x="3344"/>
        <item m="1" x="288"/>
        <item m="1" x="6120"/>
        <item m="1" x="5510"/>
        <item m="1" x="2316"/>
        <item m="1" x="7564"/>
        <item m="1" x="658"/>
        <item m="1" x="1789"/>
        <item m="1" x="3500"/>
        <item m="1" x="3393"/>
        <item m="1" x="1235"/>
        <item m="1" x="4991"/>
        <item m="1" x="3814"/>
        <item x="41"/>
        <item m="1" x="900"/>
        <item m="1" x="4265"/>
        <item m="1" x="7932"/>
        <item m="1" x="998"/>
        <item m="1" x="7818"/>
        <item m="1" x="5256"/>
        <item m="1" x="3728"/>
        <item m="1" x="6453"/>
        <item m="1" x="218"/>
        <item m="1" x="697"/>
        <item m="1" x="3680"/>
        <item m="1" x="2864"/>
        <item m="1" x="7486"/>
        <item m="1" x="3335"/>
        <item m="1" x="398"/>
        <item m="1" x="2134"/>
        <item m="1" x="1621"/>
        <item m="1" x="1887"/>
        <item m="1" x="57"/>
        <item m="1" x="7111"/>
        <item m="1" x="2557"/>
        <item m="1" x="1377"/>
        <item m="1" x="1472"/>
        <item m="1" x="2145"/>
        <item m="1" x="2146"/>
        <item m="1" x="7457"/>
        <item m="1" x="6336"/>
        <item m="1" x="6578"/>
        <item m="1" x="6352"/>
        <item m="1" x="3159"/>
        <item m="1" x="139"/>
        <item m="1" x="2055"/>
        <item m="1" x="4745"/>
        <item m="1" x="1956"/>
        <item m="1" x="2355"/>
        <item m="1" x="5909"/>
        <item m="1" x="6689"/>
        <item m="1" x="2768"/>
        <item m="1" x="4704"/>
        <item m="1" x="2951"/>
        <item m="1" x="4303"/>
        <item m="1" x="140"/>
        <item m="1" x="2115"/>
        <item m="1" x="1348"/>
        <item m="1" x="7697"/>
        <item m="1" x="5314"/>
        <item m="1" x="7717"/>
        <item m="1" x="390"/>
        <item m="1" x="4179"/>
        <item m="1" x="7323"/>
        <item m="1" x="4934"/>
        <item m="1" x="3442"/>
        <item m="1" x="6836"/>
        <item m="1" x="2931"/>
        <item m="1" x="5309"/>
        <item m="1" x="6590"/>
        <item m="1" x="322"/>
        <item m="1" x="7360"/>
        <item m="1" x="7728"/>
        <item m="1" x="1834"/>
        <item m="1" x="2164"/>
        <item m="1" x="6291"/>
        <item m="1" x="4197"/>
        <item m="1" x="2964"/>
        <item m="1" x="330"/>
        <item m="1" x="3701"/>
        <item m="1" x="6610"/>
        <item m="1" x="2529"/>
        <item m="1" x="5926"/>
        <item m="1" x="3075"/>
        <item m="1" x="3208"/>
        <item m="1" x="924"/>
        <item m="1" x="4792"/>
        <item m="1" x="183"/>
        <item m="1" x="916"/>
        <item m="1" x="1858"/>
        <item m="1" x="3480"/>
        <item m="1" x="3423"/>
        <item m="1" x="3085"/>
        <item m="1" x="7616"/>
        <item m="1" x="3878"/>
        <item m="1" x="1903"/>
        <item m="1" x="257"/>
        <item m="1" x="5564"/>
        <item m="1" x="6462"/>
        <item m="1" x="3711"/>
        <item m="1" x="6508"/>
        <item m="1" x="3498"/>
        <item m="1" x="1086"/>
        <item m="1" x="5609"/>
        <item m="1" x="5710"/>
        <item m="1" x="6345"/>
        <item m="1" x="7880"/>
        <item m="1" x="6339"/>
        <item m="1" x="4610"/>
        <item m="1" x="2981"/>
        <item m="1" x="5149"/>
        <item m="1" x="2777"/>
        <item m="1" x="3161"/>
        <item m="1" x="3545"/>
        <item m="1" x="4634"/>
        <item m="1" x="5377"/>
        <item m="1" x="5378"/>
        <item m="1" x="5379"/>
        <item m="1" x="5381"/>
        <item m="1" x="2778"/>
        <item m="1" x="3164"/>
        <item m="1" x="1752"/>
        <item m="1" x="3165"/>
        <item m="1" x="3169"/>
        <item m="1" x="3546"/>
        <item m="1" x="3547"/>
        <item m="1" x="3548"/>
        <item m="1" x="3549"/>
        <item m="1" x="3550"/>
        <item m="1" x="3551"/>
        <item m="1" x="3554"/>
        <item m="1" x="3556"/>
        <item m="1" x="3557"/>
        <item m="1" x="3558"/>
        <item m="1" x="3559"/>
        <item m="1" x="6152"/>
        <item m="1" x="3539"/>
        <item m="1" x="6606"/>
        <item m="1" x="3380"/>
        <item m="1" x="6264"/>
        <item m="1" x="6034"/>
        <item m="1" x="6650"/>
        <item m="1" x="1390"/>
        <item m="1" x="5324"/>
        <item m="1" x="129"/>
        <item m="1" x="1186"/>
        <item m="1" x="1664"/>
        <item m="1" x="2407"/>
        <item m="1" x="1497"/>
        <item m="1" x="2187"/>
        <item m="1" x="415"/>
        <item m="1" x="1675"/>
        <item m="1" x="2608"/>
        <item m="1" x="1951"/>
        <item m="1" x="1767"/>
        <item m="1" x="1931"/>
        <item m="1" x="1128"/>
        <item m="1" x="1160"/>
        <item m="1" x="5927"/>
        <item m="1" x="7087"/>
        <item m="1" x="7832"/>
        <item m="1" x="5615"/>
        <item m="1" x="7154"/>
        <item m="1" x="1625"/>
        <item m="1" x="217"/>
        <item m="1" x="2162"/>
        <item m="1" x="3299"/>
        <item m="1" x="6333"/>
        <item m="1" x="5181"/>
        <item m="1" x="7043"/>
        <item m="1" x="7509"/>
        <item m="1" x="5874"/>
        <item m="1" x="2386"/>
        <item m="1" x="1501"/>
        <item m="1" x="4426"/>
        <item m="1" x="7901"/>
        <item m="1" x="5066"/>
        <item m="1" x="7470"/>
        <item m="1" x="6605"/>
        <item m="1" x="7439"/>
        <item m="1" x="6463"/>
        <item m="1" x="2165"/>
        <item m="1" x="6573"/>
        <item m="1" x="3464"/>
        <item m="1" x="1482"/>
        <item m="1" x="615"/>
        <item m="1" x="2736"/>
        <item m="1" x="7058"/>
        <item m="1" x="974"/>
        <item m="1" x="2651"/>
        <item m="1" x="1601"/>
        <item m="1" x="2179"/>
        <item m="1" x="7553"/>
        <item m="1" x="1732"/>
        <item m="1" x="2962"/>
        <item m="1" x="7990"/>
        <item m="1" x="3978"/>
        <item m="1" x="1525"/>
        <item m="1" x="4968"/>
        <item m="1" x="1984"/>
        <item m="1" x="980"/>
        <item m="1" x="103"/>
        <item m="1" x="5432"/>
        <item m="1" x="7725"/>
        <item m="1" x="2773"/>
        <item m="1" x="7261"/>
        <item m="1" x="5588"/>
        <item m="1" x="6647"/>
        <item m="1" x="6198"/>
        <item m="1" x="1435"/>
        <item m="1" x="1031"/>
        <item m="1" x="3707"/>
        <item m="1" x="905"/>
        <item m="1" x="4371"/>
        <item m="1" x="5968"/>
        <item m="1" x="1254"/>
        <item m="1" x="5866"/>
        <item m="1" x="5263"/>
        <item m="1" x="844"/>
        <item m="1" x="4667"/>
        <item m="1" x="1673"/>
        <item m="1" x="5083"/>
        <item m="1" x="7153"/>
        <item m="1" x="4054"/>
        <item m="1" x="1997"/>
        <item m="1" x="473"/>
        <item m="1" x="2895"/>
        <item m="1" x="104"/>
        <item m="1" x="1846"/>
        <item m="1" x="7864"/>
        <item m="1" x="2093"/>
        <item m="1" x="4609"/>
        <item m="1" x="3265"/>
        <item m="1" x="4977"/>
        <item m="1" x="3782"/>
        <item m="1" x="1171"/>
        <item m="1" x="2325"/>
        <item m="1" x="1957"/>
        <item m="1" x="2920"/>
        <item m="1" x="3706"/>
        <item m="1" x="2330"/>
        <item m="1" x="1654"/>
        <item m="1" x="5461"/>
        <item m="1" x="5560"/>
        <item m="1" x="3240"/>
        <item m="1" x="6233"/>
        <item m="1" x="4657"/>
        <item m="1" x="2810"/>
        <item m="1" x="3105"/>
        <item m="1" x="3543"/>
        <item m="1" x="3204"/>
        <item m="1" x="6975"/>
        <item m="1" x="2976"/>
        <item m="1" x="879"/>
        <item m="1" x="4140"/>
        <item m="1" x="3082"/>
        <item m="1" x="4583"/>
        <item m="1" x="4353"/>
        <item m="1" x="854"/>
        <item m="1" x="3322"/>
        <item m="1" x="3917"/>
        <item m="1" x="3828"/>
        <item m="1" x="1539"/>
        <item m="1" x="5511"/>
        <item m="1" x="6764"/>
        <item m="1" x="3487"/>
        <item m="1" x="2801"/>
        <item m="1" x="895"/>
        <item m="1" x="3646"/>
        <item m="1" x="2896"/>
        <item m="1" x="170"/>
        <item m="1" x="6814"/>
        <item m="1" x="1876"/>
        <item m="1" x="2802"/>
        <item m="1" x="6653"/>
        <item m="1" x="4106"/>
        <item m="1" x="2323"/>
        <item m="1" x="4697"/>
        <item m="1" x="4441"/>
        <item m="1" x="7498"/>
        <item m="1" x="6688"/>
        <item m="1" x="2094"/>
        <item m="1" x="3205"/>
        <item m="1" x="4556"/>
        <item m="1" x="5164"/>
        <item m="1" x="7406"/>
        <item m="1" x="1110"/>
        <item m="1" x="2269"/>
        <item m="1" x="2647"/>
        <item m="1" x="1015"/>
        <item m="1" x="5960"/>
        <item m="1" x="7270"/>
        <item m="1" x="1378"/>
        <item m="1" x="686"/>
        <item m="1" x="6002"/>
        <item m="1" x="2626"/>
        <item m="1" x="4776"/>
        <item m="1" x="5171"/>
        <item m="1" x="5045"/>
        <item m="1" x="5131"/>
        <item m="1" x="6090"/>
        <item m="1" x="6290"/>
        <item m="1" x="7974"/>
        <item m="1" x="4547"/>
        <item m="1" x="3915"/>
        <item m="1" x="4644"/>
        <item m="1" x="5668"/>
        <item m="1" x="160"/>
        <item m="1" x="7590"/>
        <item m="1" x="2178"/>
        <item m="1" x="5362"/>
        <item m="1" x="6898"/>
        <item m="1" x="2192"/>
        <item m="1" x="2513"/>
        <item m="1" x="6312"/>
        <item m="1" x="287"/>
        <item m="1" x="2265"/>
        <item m="1" x="2509"/>
        <item m="1" x="2340"/>
        <item m="1" x="1420"/>
        <item m="1" x="3239"/>
        <item m="1" x="5973"/>
        <item m="1" x="2414"/>
        <item m="1" x="5459"/>
        <item m="1" x="7053"/>
        <item m="1" x="5145"/>
        <item m="1" x="1526"/>
        <item m="1" x="1473"/>
        <item m="1" x="3802"/>
        <item m="1" x="814"/>
        <item m="1" x="4998"/>
        <item m="1" x="2510"/>
        <item m="1" x="6486"/>
        <item m="1" x="5425"/>
        <item m="1" x="5873"/>
        <item m="1" x="1474"/>
        <item m="1" x="4266"/>
        <item m="1" x="1125"/>
        <item m="1" x="4603"/>
        <item m="1" x="2959"/>
        <item m="1" x="7634"/>
        <item m="1" x="4840"/>
        <item m="1" x="4304"/>
        <item m="1" x="7003"/>
        <item m="1" x="6313"/>
        <item m="1" x="7938"/>
        <item m="1" x="3401"/>
        <item m="1" x="1118"/>
        <item m="1" x="5341"/>
        <item m="1" x="835"/>
        <item m="1" x="2454"/>
        <item m="1" x="6699"/>
        <item m="1" x="6327"/>
        <item m="1" x="677"/>
        <item m="1" x="145"/>
        <item m="1" x="6856"/>
        <item m="1" x="5273"/>
        <item m="1" x="3916"/>
        <item m="1" x="5775"/>
        <item m="1" x="6127"/>
        <item m="1" x="3857"/>
        <item m="1" x="6768"/>
        <item m="1" x="6870"/>
        <item m="1" x="7857"/>
        <item m="1" x="4658"/>
        <item m="1" x="1512"/>
        <item m="1" x="2207"/>
        <item m="1" x="4406"/>
        <item m="1" x="3471"/>
        <item m="1" x="2130"/>
        <item m="1" x="1139"/>
        <item m="1" x="7528"/>
        <item m="1" x="1259"/>
        <item m="1" x="4142"/>
        <item m="1" x="4291"/>
        <item m="1" x="3943"/>
        <item m="1" x="5179"/>
        <item m="1" x="3157"/>
        <item m="1" x="3005"/>
        <item x="28"/>
        <item m="1" x="5867"/>
        <item m="1" x="2097"/>
        <item m="1" x="3189"/>
        <item m="1" x="2692"/>
        <item m="1" x="5025"/>
        <item m="1" x="4786"/>
        <item m="1" x="988"/>
        <item m="1" x="3902"/>
        <item m="1" x="5327"/>
        <item m="1" x="5328"/>
        <item m="1" x="6263"/>
        <item m="1" x="5408"/>
        <item m="1" x="5409"/>
        <item m="1" x="6447"/>
        <item m="1" x="6087"/>
        <item m="1" x="7654"/>
        <item m="1" x="6067"/>
        <item m="1" x="3988"/>
        <item m="1" x="1985"/>
        <item m="1" x="4670"/>
        <item m="1" x="1627"/>
        <item m="1" x="6639"/>
        <item m="1" x="847"/>
        <item m="1" x="2996"/>
        <item m="1" x="4445"/>
        <item m="1" x="4377"/>
        <item m="1" x="6496"/>
        <item m="1" x="7642"/>
        <item m="1" x="903"/>
        <item m="1" x="353"/>
        <item m="1" x="4887"/>
        <item m="1" x="3571"/>
        <item m="1" x="2578"/>
        <item m="1" x="1888"/>
        <item m="1" x="5664"/>
        <item m="1" x="3753"/>
        <item m="1" x="3858"/>
        <item m="1" x="7879"/>
        <item m="1" x="3813"/>
        <item m="1" x="4557"/>
        <item m="1" x="7919"/>
        <item m="1" x="6241"/>
        <item m="1" x="4781"/>
        <item m="1" x="3838"/>
        <item m="1" x="5479"/>
        <item m="1" x="4554"/>
        <item m="1" x="3388"/>
        <item m="1" x="5290"/>
        <item m="1" x="3083"/>
        <item m="1" x="6787"/>
        <item m="1" x="116"/>
        <item m="1" x="7596"/>
        <item m="1" x="445"/>
        <item m="1" x="4046"/>
        <item m="1" x="331"/>
        <item m="1" x="4937"/>
        <item m="1" x="5010"/>
        <item m="1" x="5829"/>
        <item m="1" x="1036"/>
        <item m="1" x="5541"/>
        <item m="1" x="4497"/>
        <item m="1" x="4408"/>
        <item m="1" x="1104"/>
        <item m="1" x="2154"/>
        <item m="1" x="2825"/>
        <item m="1" x="1309"/>
        <item m="1" x="619"/>
        <item m="1" x="2751"/>
        <item m="1" x="3349"/>
        <item m="1" x="7046"/>
        <item m="1" x="7888"/>
        <item m="1" x="4551"/>
        <item m="1" x="4596"/>
        <item m="1" x="4186"/>
        <item m="1" x="5310"/>
        <item m="1" x="3825"/>
        <item m="1" x="3375"/>
        <item m="1" x="6128"/>
        <item m="1" x="4180"/>
        <item m="1" x="5218"/>
        <item m="1" x="7251"/>
        <item m="1" x="7198"/>
        <item m="1" x="1736"/>
        <item m="1" x="6674"/>
        <item m="1" x="5063"/>
        <item m="1" x="2704"/>
        <item m="1" x="5196"/>
        <item m="1" x="64"/>
        <item m="1" x="3769"/>
        <item m="1" x="2512"/>
        <item m="1" x="5471"/>
        <item m="1" x="6778"/>
        <item m="1" x="5581"/>
        <item m="1" x="3247"/>
        <item m="1" x="578"/>
        <item m="1" x="6497"/>
        <item m="1" x="5951"/>
        <item m="1" x="3697"/>
        <item m="1" x="7939"/>
        <item m="1" x="1662"/>
        <item m="1" x="4969"/>
        <item m="1" x="6359"/>
        <item m="1" x="3776"/>
        <item m="1" x="2847"/>
        <item m="1" x="4079"/>
        <item m="1" x="3268"/>
        <item m="1" x="5384"/>
        <item m="1" x="7682"/>
        <item m="1" x="706"/>
        <item m="1" x="792"/>
        <item m="1" x="3411"/>
        <item m="1" x="7296"/>
        <item m="1" x="6554"/>
        <item m="1" x="1927"/>
        <item m="1" x="1008"/>
        <item m="1" x="2631"/>
        <item m="1" x="1478"/>
        <item m="1" x="3771"/>
        <item m="1" x="117"/>
        <item m="1" x="6592"/>
        <item m="1" x="4793"/>
        <item m="1" x="3786"/>
        <item m="1" x="2392"/>
        <item m="1" x="6663"/>
        <item m="1" x="7445"/>
        <item m="1" x="5146"/>
        <item m="1" x="4558"/>
        <item m="1" x="150"/>
        <item m="1" x="6270"/>
        <item m="1" x="7620"/>
        <item m="1" x="5974"/>
        <item m="1" x="179"/>
        <item m="1" x="7143"/>
        <item m="1" x="1796"/>
        <item m="1" x="3266"/>
        <item m="1" x="6409"/>
        <item m="1" x="7610"/>
        <item m="1" x="5919"/>
        <item m="1" x="7611"/>
        <item m="1" x="5539"/>
        <item m="1" x="3946"/>
        <item m="1" x="985"/>
        <item m="1" x="6851"/>
        <item m="1" x="1556"/>
        <item m="1" x="2604"/>
        <item m="1" x="76"/>
        <item m="1" x="3410"/>
        <item m="1" x="5772"/>
        <item m="1" x="3445"/>
        <item m="1" x="1000"/>
        <item m="1" x="222"/>
        <item m="1" x="6633"/>
        <item m="1" x="431"/>
        <item m="1" x="4691"/>
        <item m="1" x="6420"/>
        <item m="1" x="4523"/>
        <item m="1" x="1048"/>
        <item m="1" x="5105"/>
        <item m="1" x="4011"/>
        <item m="1" x="1896"/>
        <item m="1" x="555"/>
        <item m="1" x="523"/>
        <item m="1" x="7846"/>
        <item m="1" x="2341"/>
        <item m="1" x="1518"/>
        <item m="1" x="6177"/>
        <item m="1" x="1010"/>
        <item m="1" x="4952"/>
        <item m="1" x="1459"/>
        <item m="1" x="7543"/>
        <item m="1" x="7241"/>
        <item m="1" x="782"/>
        <item m="1" x="2472"/>
        <item m="1" x="2977"/>
        <item m="1" x="1534"/>
        <item m="1" x="612"/>
        <item m="1" x="2900"/>
        <item m="1" x="7471"/>
        <item m="1" x="1819"/>
        <item m="1" x="5681"/>
        <item m="1" x="2086"/>
        <item m="1" x="1113"/>
        <item m="1" x="3076"/>
        <item m="1" x="6567"/>
        <item m="1" x="2295"/>
        <item m="1" x="3884"/>
        <item m="1" x="1447"/>
        <item m="1" x="7655"/>
        <item m="1" x="2546"/>
        <item m="1" x="2684"/>
        <item m="1" x="605"/>
        <item m="1" x="2728"/>
        <item m="1" x="6921"/>
        <item m="1" x="6656"/>
        <item m="1" x="1033"/>
        <item m="1" x="6095"/>
        <item m="1" x="6933"/>
        <item m="1" x="2711"/>
        <item m="1" x="2596"/>
        <item m="1" x="666"/>
        <item m="1" x="1851"/>
        <item m="1" x="4880"/>
        <item m="1" x="3294"/>
        <item m="1" x="7844"/>
        <item m="1" x="5132"/>
        <item m="1" x="2924"/>
        <item m="1" x="2388"/>
        <item m="1" x="6189"/>
        <item m="1" x="3336"/>
        <item m="1" x="6833"/>
        <item m="1" x="6855"/>
        <item m="1" x="2016"/>
        <item m="1" x="7415"/>
        <item m="1" x="1127"/>
        <item m="1" x="3614"/>
        <item m="1" x="3932"/>
        <item m="1" x="6000"/>
        <item m="1" x="1477"/>
        <item m="1" x="571"/>
        <item m="1" x="2041"/>
        <item m="1" x="355"/>
        <item m="1" x="3011"/>
        <item m="1" x="1567"/>
        <item m="1" x="3415"/>
        <item m="1" x="7464"/>
        <item m="1" x="385"/>
        <item m="1" x="6755"/>
        <item m="1" x="2432"/>
        <item m="1" x="595"/>
        <item m="1" x="6806"/>
        <item m="1" x="6192"/>
        <item m="1" x="5254"/>
        <item m="1" x="1930"/>
        <item m="1" x="5166"/>
        <item m="1" x="2067"/>
        <item m="1" x="3232"/>
        <item m="1" x="87"/>
        <item m="1" x="4525"/>
        <item m="1" x="2908"/>
        <item m="1" x="6235"/>
        <item m="1" x="622"/>
        <item m="1" x="1358"/>
        <item m="1" x="4510"/>
        <item m="1" x="1255"/>
        <item m="1" x="5247"/>
        <item m="1" x="2556"/>
        <item m="1" x="1755"/>
        <item m="1" x="4965"/>
        <item m="1" x="7309"/>
        <item m="1" x="7757"/>
        <item m="1" x="937"/>
        <item m="1" x="7069"/>
        <item m="1" x="6765"/>
        <item m="1" x="5232"/>
        <item m="1" x="1626"/>
        <item m="1" x="3734"/>
        <item m="1" x="2273"/>
        <item m="1" x="943"/>
        <item m="1" x="70"/>
        <item m="1" x="6111"/>
        <item m="1" x="494"/>
        <item m="1" x="4393"/>
        <item m="1" x="7913"/>
        <item m="1" x="1312"/>
        <item m="1" x="5418"/>
        <item m="1" x="7293"/>
        <item m="1" x="7302"/>
        <item m="1" x="6478"/>
        <item m="1" x="7503"/>
        <item m="1" x="6923"/>
        <item m="1" x="3962"/>
        <item m="1" x="6206"/>
        <item m="1" x="7695"/>
        <item m="1" x="2059"/>
        <item m="1" x="1669"/>
        <item m="1" x="3823"/>
        <item m="1" x="5219"/>
        <item m="1" x="6624"/>
        <item m="1" x="2658"/>
        <item m="1" x="3660"/>
        <item m="1" x="2400"/>
        <item m="1" x="5944"/>
        <item m="1" x="6216"/>
        <item m="1" x="2853"/>
        <item m="1" x="2582"/>
        <item m="1" x="4187"/>
        <item m="1" x="193"/>
        <item m="1" x="4229"/>
        <item m="1" x="808"/>
        <item m="1" x="2335"/>
        <item m="1" x="1093"/>
        <item m="1" x="1090"/>
        <item m="1" x="6911"/>
        <item m="1" x="3901"/>
        <item m="1" x="7784"/>
        <item m="1" x="3310"/>
        <item m="1" x="1433"/>
        <item m="1" x="806"/>
        <item m="1" x="7669"/>
        <item m="1" x="2746"/>
        <item m="1" x="572"/>
        <item m="1" x="1527"/>
        <item m="1" x="3417"/>
        <item m="1" x="6677"/>
        <item m="1" x="6678"/>
        <item m="1" x="1891"/>
        <item m="1" x="6939"/>
        <item m="1" x="5450"/>
        <item m="1" x="4439"/>
        <item m="1" x="6354"/>
        <item m="1" x="5265"/>
        <item m="1" x="5672"/>
        <item m="1" x="6734"/>
        <item m="1" x="304"/>
        <item m="1" x="6666"/>
        <item m="1" x="2803"/>
        <item m="1" x="6119"/>
        <item m="1" x="379"/>
        <item m="1" x="981"/>
        <item m="1" x="1135"/>
        <item m="1" x="1175"/>
        <item m="1" x="1260"/>
        <item m="1" x="1306"/>
        <item m="1" x="716"/>
        <item m="1" x="303"/>
        <item m="1" x="2742"/>
        <item m="1" x="2490"/>
        <item m="1" x="6349"/>
        <item m="1" x="6579"/>
        <item m="1" x="5821"/>
        <item m="1" x="3712"/>
        <item m="1" x="7097"/>
        <item m="1" x="479"/>
        <item m="1" x="4448"/>
        <item m="1" x="195"/>
        <item m="1" x="802"/>
        <item m="1" x="6178"/>
        <item m="1" x="5325"/>
        <item m="1" x="4219"/>
        <item m="1" x="2075"/>
        <item m="1" x="3032"/>
        <item m="1" x="4867"/>
        <item m="1" x="3372"/>
        <item m="1" x="3824"/>
        <item m="1" x="154"/>
        <item m="1" x="7347"/>
        <item m="1" x="2357"/>
        <item m="1" x="3289"/>
        <item m="1" x="7250"/>
        <item m="1" x="7168"/>
        <item m="1" x="1336"/>
        <item m="1" x="3337"/>
        <item m="1" x="410"/>
        <item m="1" x="2866"/>
        <item m="1" x="3041"/>
        <item m="1" x="6396"/>
        <item m="1" x="4026"/>
        <item m="1" x="7927"/>
        <item m="1" x="2901"/>
        <item m="1" x="4174"/>
        <item m="1" x="2635"/>
        <item m="1" x="7612"/>
        <item m="1" x="3241"/>
        <item m="1" x="2141"/>
        <item m="1" x="3885"/>
        <item m="1" x="771"/>
        <item m="1" x="7257"/>
        <item m="1" x="1414"/>
        <item m="1" x="4394"/>
        <item m="1" x="2476"/>
        <item m="1" x="4813"/>
        <item m="1" x="3918"/>
        <item m="1" x="2244"/>
        <item m="1" x="4830"/>
        <item m="1" x="7834"/>
        <item m="1" x="3816"/>
        <item m="1" x="3669"/>
        <item m="1" x="2971"/>
        <item m="1" x="4311"/>
        <item m="1" x="855"/>
        <item m="1" x="1776"/>
        <item m="1" x="6298"/>
        <item m="1" x="4438"/>
        <item m="1" x="1974"/>
        <item m="1" x="2009"/>
        <item m="1" x="7387"/>
        <item m="1" x="2061"/>
        <item m="1" x="5602"/>
        <item m="1" x="6337"/>
        <item m="1" x="4824"/>
        <item m="1" x="3058"/>
        <item m="1" x="7477"/>
        <item m="1" x="7044"/>
        <item m="1" x="7313"/>
        <item m="1" x="1308"/>
        <item m="1" x="432"/>
        <item m="1" x="7621"/>
        <item m="1" x="4080"/>
        <item m="1" x="768"/>
        <item m="1" x="7744"/>
        <item m="1" x="2002"/>
        <item m="1" x="268"/>
        <item m="1" x="1483"/>
        <item m="1" x="3613"/>
        <item m="1" x="5120"/>
        <item m="1" x="3751"/>
        <item m="1" x="4305"/>
        <item m="1" x="552"/>
        <item m="1" x="5612"/>
        <item m="1" x="5972"/>
        <item m="1" x="5220"/>
        <item m="1" x="6283"/>
        <item m="1" x="6772"/>
        <item m="1" x="7127"/>
        <item m="1" x="7057"/>
        <item m="1" x="1604"/>
        <item m="1" x="3511"/>
        <item m="1" x="2482"/>
        <item m="1" x="5647"/>
        <item m="1" x="3143"/>
        <item m="1" x="7390"/>
        <item m="1" x="5914"/>
        <item m="1" x="5743"/>
        <item m="1" x="7941"/>
        <item m="1" x="2982"/>
        <item m="1" x="7962"/>
        <item m="1" x="3106"/>
        <item m="1" x="3992"/>
        <item m="1" x="880"/>
        <item m="1" x="6360"/>
        <item m="1" x="3138"/>
        <item m="1" x="1227"/>
        <item m="1" x="788"/>
        <item m="1" x="4259"/>
        <item m="1" x="3636"/>
        <item m="1" x="1505"/>
        <item m="1" x="187"/>
        <item m="1" x="6800"/>
        <item m="1" x="1712"/>
        <item m="1" x="1577"/>
        <item m="1" x="7067"/>
        <item m="1" x="91"/>
        <item m="1" x="3560"/>
        <item m="1" x="6428"/>
        <item m="1" x="4194"/>
        <item m="1" x="5189"/>
        <item m="1" x="7166"/>
        <item m="1" x="7921"/>
        <item m="1" x="6078"/>
        <item m="1" x="6332"/>
        <item m="1" x="5121"/>
        <item m="1" x="803"/>
        <item m="1" x="4285"/>
        <item m="1" x="7092"/>
        <item m="1" x="2547"/>
        <item m="1" x="7523"/>
        <item m="1" x="7295"/>
        <item m="1" x="4897"/>
        <item m="1" x="3525"/>
        <item m="1" x="5762"/>
        <item m="1" x="7524"/>
        <item m="1" x="5460"/>
        <item m="1" x="7249"/>
        <item m="1" x="2071"/>
        <item m="1" x="1484"/>
        <item m="1" x="3616"/>
        <item m="1" x="4245"/>
        <item m="1" x="2846"/>
        <item m="1" x="1998"/>
        <item m="1" x="7397"/>
        <item m="1" x="7070"/>
        <item m="1" x="5906"/>
        <item m="1" x="4230"/>
        <item m="1" x="3282"/>
        <item m="1" x="1023"/>
        <item m="1" x="176"/>
        <item m="1" x="2786"/>
        <item m="1" x="1111"/>
        <item m="1" x="1460"/>
        <item m="1" x="5035"/>
        <item m="1" x="982"/>
        <item m="1" x="1743"/>
        <item m="1" x="6713"/>
        <item m="1" x="2010"/>
        <item m="1" x="6377"/>
        <item m="1" x="5382"/>
        <item m="1" x="4951"/>
        <item m="1" x="5465"/>
        <item m="1" x="5122"/>
        <item m="1" x="2294"/>
        <item m="1" x="4727"/>
        <item m="1" x="3531"/>
        <item m="1" x="6708"/>
        <item m="1" x="2671"/>
        <item m="1" x="4681"/>
        <item m="1" x="1153"/>
        <item m="1" x="6518"/>
        <item m="1" x="1461"/>
        <item m="1" x="6540"/>
        <item m="1" x="2837"/>
        <item m="1" x="3392"/>
        <item m="1" x="7011"/>
        <item m="1" x="2640"/>
        <item m="1" x="1154"/>
        <item m="1" x="4354"/>
        <item m="1" x="5782"/>
        <item m="1" x="1852"/>
        <item m="1" x="5011"/>
        <item m="1" x="3253"/>
        <item m="1" x="3561"/>
        <item m="1" x="6307"/>
        <item m="1" x="3598"/>
        <item m="1" x="177"/>
        <item m="1" x="2177"/>
        <item m="1" x="3459"/>
        <item m="1" x="4240"/>
        <item m="1" x="2838"/>
        <item m="1" x="7035"/>
        <item m="1" x="85"/>
        <item m="1" x="3067"/>
        <item m="1" x="588"/>
        <item m="1" x="161"/>
        <item m="1" x="3225"/>
        <item m="1" x="7085"/>
        <item m="1" x="2890"/>
        <item m="1" x="7500"/>
        <item m="1" x="1421"/>
        <item m="1" x="5796"/>
        <item m="1" x="4267"/>
        <item m="1" x="6788"/>
        <item m="1" x="6464"/>
        <item m="1" x="6465"/>
        <item m="1" x="2147"/>
        <item m="1" x="6783"/>
        <item m="1" x="7256"/>
        <item m="1" x="5889"/>
        <item m="1" x="7071"/>
        <item m="1" x="5584"/>
        <item m="1" x="4524"/>
        <item m="1" x="2769"/>
        <item m="1" x="6088"/>
        <item m="1" x="764"/>
        <item m="1" x="2415"/>
        <item m="1" x="1136"/>
        <item m="1" x="4203"/>
        <item m="1" x="644"/>
        <item m="1" x="419"/>
        <item m="1" x="5140"/>
        <item m="1" x="4040"/>
        <item m="1" x="6123"/>
        <item m="1" x="6823"/>
        <item m="1" x="4668"/>
        <item m="1" x="1699"/>
        <item m="1" x="1596"/>
        <item m="1" x="678"/>
        <item m="1" x="6698"/>
        <item m="1" x="1788"/>
        <item m="1" x="92"/>
        <item m="1" x="6974"/>
        <item m="1" x="4590"/>
        <item m="1" x="5093"/>
        <item m="1" x="2399"/>
        <item m="1" x="1032"/>
        <item m="1" x="477"/>
        <item m="1" x="5513"/>
        <item m="1" x="1388"/>
        <item m="1" x="3068"/>
        <item m="1" x="2944"/>
        <item m="1" x="5363"/>
        <item m="1" x="1582"/>
        <item m="1" x="5658"/>
        <item m="1" x="2358"/>
        <item m="1" x="5925"/>
        <item m="1" x="6751"/>
        <item m="1" x="6891"/>
        <item m="1" x="7199"/>
        <item m="1" x="3341"/>
        <item m="1" x="2986"/>
        <item m="1" x="7601"/>
        <item m="1" x="5255"/>
        <item m="1" x="399"/>
        <item m="1" x="1126"/>
        <item m="1" x="6603"/>
        <item m="1" x="7501"/>
        <item m="1" x="2897"/>
        <item m="1" x="6269"/>
        <item m="1" x="5301"/>
        <item m="1" x="5311"/>
        <item m="1" x="5419"/>
        <item m="1" x="4888"/>
        <item m="1" x="3841"/>
        <item m="1" x="5616"/>
        <item m="1" x="2351"/>
        <item m="1" x="3979"/>
        <item m="1" x="4407"/>
        <item m="1" x="5738"/>
        <item m="1" x="1467"/>
        <item m="1" x="1324"/>
        <item m="1" x="3887"/>
        <item m="1" x="6429"/>
        <item m="1" x="7449"/>
        <item m="1" x="1059"/>
        <item m="1" x="5372"/>
        <item m="1" x="849"/>
        <item m="1" x="4318"/>
        <item m="1" x="7005"/>
        <item m="1" x="2602"/>
        <item m="1" x="4323"/>
        <item m="1" x="4757"/>
        <item m="1" x="3948"/>
        <item m="1" x="6179"/>
        <item m="1" x="2306"/>
        <item m="1" x="631"/>
        <item m="1" x="5304"/>
        <item m="1" x="4440"/>
        <item m="1" x="1614"/>
        <item m="1" x="1889"/>
        <item m="1" x="3568"/>
        <item m="1" x="3569"/>
        <item m="1" x="332"/>
        <item m="1" x="5977"/>
        <item m="1" x="3343"/>
        <item m="1" x="5659"/>
        <item x="26"/>
        <item m="1" x="3676"/>
        <item m="1" x="2046"/>
        <item m="1" x="570"/>
        <item m="1" x="5047"/>
        <item m="1" x="508"/>
        <item m="1" x="1248"/>
        <item m="1" x="1019"/>
        <item m="1" x="2443"/>
        <item m="1" x="7576"/>
        <item m="1" x="5463"/>
        <item m="1" x="7787"/>
        <item m="1" x="6495"/>
        <item m="1" x="7195"/>
        <item m="1" x="3207"/>
        <item m="1" x="7515"/>
        <item m="1" x="3521"/>
        <item m="1" x="4802"/>
        <item m="1" x="5030"/>
        <item m="1" x="6012"/>
        <item m="1" x="1555"/>
        <item m="1" x="6648"/>
        <item m="1" x="1513"/>
        <item m="1" x="1955"/>
        <item m="1" x="2126"/>
        <item m="1" x="3853"/>
        <item m="1" x="2584"/>
        <item m="1" x="930"/>
        <item m="1" x="2218"/>
        <item m="1" x="3763"/>
        <item m="1" x="5064"/>
        <item m="1" x="223"/>
        <item m="1" x="7284"/>
        <item m="1" x="6350"/>
        <item m="1" x="6046"/>
        <item m="1" x="870"/>
        <item m="1" x="7711"/>
        <item m="1" x="5492"/>
        <item m="1" x="3033"/>
        <item m="1" x="732"/>
        <item m="1" x="6889"/>
        <item m="1" x="56"/>
        <item m="1" x="7245"/>
        <item m="1" x="5006"/>
        <item m="1" x="888"/>
        <item m="1" x="5457"/>
        <item m="1" x="4284"/>
        <item m="1" x="5993"/>
        <item m="1" x="3685"/>
        <item m="1" x="1425"/>
        <item m="1" x="6583"/>
        <item m="1" x="6236"/>
        <item m="1" x="1703"/>
        <item m="1" x="2522"/>
        <item m="1" x="4474"/>
        <item m="1" x="2595"/>
        <item m="1" x="7282"/>
        <item m="1" x="142"/>
        <item m="1" x="84"/>
        <item m="1" x="6383"/>
        <item m="1" x="4608"/>
        <item m="1" x="4355"/>
        <item m="1" x="3104"/>
        <item m="1" x="5051"/>
        <item m="1" x="2499"/>
        <item m="1" x="2352"/>
        <item m="1" x="7600"/>
        <item m="1" x="1454"/>
        <item m="1" x="1003"/>
        <item m="1" x="4228"/>
        <item m="1" x="3469"/>
        <item m="1" x="1737"/>
        <item m="1" x="2023"/>
        <item m="1" x="6311"/>
        <item m="1" x="438"/>
        <item m="1" x="5661"/>
        <item m="1" x="5938"/>
        <item m="1" x="714"/>
        <item m="1" x="5861"/>
        <item m="1" x="920"/>
        <item m="1" x="4399"/>
        <item m="1" x="5662"/>
        <item m="1" x="5860"/>
        <item m="1" x="3516"/>
        <item m="1" x="1550"/>
        <item m="1" x="6854"/>
        <item m="1" x="2792"/>
        <item m="1" x="3715"/>
        <item m="1" x="3594"/>
        <item m="1" x="2307"/>
        <item m="1" x="2152"/>
        <item m="1" x="4490"/>
        <item m="1" x="785"/>
        <item m="1" x="7224"/>
        <item m="1" x="3959"/>
        <item m="1" x="6804"/>
        <item m="1" x="4282"/>
        <item m="1" x="5552"/>
        <item m="1" x="3254"/>
        <item m="1" x="1344"/>
        <item m="1" x="6953"/>
        <item m="1" x="3012"/>
        <item m="1" x="3602"/>
        <item m="1" x="384"/>
        <item m="1" x="2660"/>
        <item m="1" x="5855"/>
        <item m="1" x="1825"/>
        <item m="1" x="348"/>
        <item m="1" x="2168"/>
        <item m="1" x="3898"/>
        <item m="1" x="933"/>
        <item m="1" x="4262"/>
        <item m="1" x="5844"/>
        <item m="1" x="283"/>
        <item m="1" x="3171"/>
        <item m="1" x="5360"/>
        <item m="1" x="3749"/>
        <item m="1" x="4724"/>
        <item m="1" x="919"/>
        <item m="1" x="2095"/>
        <item m="1" x="2373"/>
        <item m="1" x="4896"/>
        <item m="1" x="4812"/>
        <item m="1" x="914"/>
        <item m="1" x="6017"/>
        <item m="1" x="4360"/>
        <item m="1" x="1827"/>
        <item m="1" x="7276"/>
        <item m="1" x="4063"/>
        <item m="1" x="4823"/>
        <item m="1" x="6589"/>
        <item m="1" x="5208"/>
        <item m="1" x="2169"/>
        <item m="1" x="3463"/>
        <item m="1" x="641"/>
        <item m="1" x="2600"/>
        <item m="1" x="3653"/>
        <item m="1" x="5790"/>
        <item m="1" x="3530"/>
        <item m="1" x="1307"/>
        <item m="1" x="3612"/>
        <item m="1" x="1292"/>
        <item m="1" x="119"/>
        <item m="1" x="5284"/>
        <item m="1" x="2722"/>
        <item m="1" x="936"/>
        <item m="1" x="1169"/>
        <item m="1" x="1265"/>
        <item m="1" x="3113"/>
        <item m="1" x="6894"/>
        <item m="1" x="2526"/>
        <item m="1" x="5686"/>
        <item m="1" x="1613"/>
        <item m="1" x="2942"/>
        <item m="1" x="7691"/>
        <item m="1" x="6529"/>
        <item m="1" x="909"/>
        <item m="1" x="6790"/>
        <item m="1" x="7685"/>
        <item m="1" x="524"/>
        <item m="1" x="7119"/>
        <item m="1" x="4606"/>
        <item m="1" x="5736"/>
        <item m="1" x="7823"/>
        <item m="1" x="5728"/>
        <item m="1" x="3582"/>
        <item m="1" x="758"/>
        <item m="1" x="72"/>
        <item m="1" x="4559"/>
        <item m="1" x="2001"/>
        <item m="1" x="4607"/>
        <item m="1" x="2080"/>
        <item m="1" x="352"/>
        <item m="1" x="5747"/>
        <item m="1" x="5439"/>
        <item m="1" x="80"/>
        <item m="1" x="7208"/>
        <item m="1" x="247"/>
        <item m="1" x="6138"/>
        <item m="1" x="1546"/>
        <item m="1" x="2353"/>
        <item m="1" x="2989"/>
        <item m="1" x="6623"/>
        <item m="1" x="4875"/>
        <item m="1" x="6559"/>
        <item m="1" x="6470"/>
        <item m="1" x="939"/>
        <item m="1" x="7083"/>
        <item m="1" x="4759"/>
        <item m="1" x="5486"/>
        <item m="1" x="4388"/>
        <item m="1" x="3623"/>
        <item m="1" x="6097"/>
        <item m="1" x="6059"/>
        <item m="1" x="6153"/>
        <item m="1" x="5069"/>
        <item m="1" x="1051"/>
        <item m="1" x="7838"/>
        <item m="1" x="5865"/>
        <item m="1" x="7858"/>
        <item m="1" x="5549"/>
        <item m="1" x="5388"/>
        <item m="1" x="230"/>
        <item m="1" x="5412"/>
        <item m="1" x="2461"/>
        <item m="1" x="2405"/>
        <item m="1" x="6619"/>
        <item m="1" x="6930"/>
        <item m="1" x="5619"/>
        <item m="1" x="1480"/>
        <item m="1" x="5126"/>
        <item m="1" x="5235"/>
        <item m="1" x="779"/>
        <item m="1" x="3408"/>
        <item m="1" x="1287"/>
        <item m="1" x="542"/>
        <item m="1" x="5595"/>
        <item m="1" x="6208"/>
        <item m="1" x="2754"/>
        <item m="1" x="4495"/>
        <item m="1" x="7265"/>
        <item m="1" x="5253"/>
        <item m="1" x="1805"/>
        <item m="1" x="634"/>
        <item m="1" x="770"/>
        <item m="1" x="3761"/>
        <item m="1" x="4713"/>
        <item m="1" x="2012"/>
        <item m="1" x="6454"/>
        <item m="1" x="4651"/>
        <item m="1" x="1061"/>
        <item m="1" x="7636"/>
        <item m="1" x="7779"/>
        <item m="1" x="598"/>
        <item m="1" x="5879"/>
        <item m="1" x="962"/>
        <item m="1" x="4494"/>
        <item m="1" x="769"/>
        <item m="1" x="2818"/>
        <item m="1" x="5367"/>
        <item m="1" x="2274"/>
        <item m="1" x="1532"/>
        <item m="1" x="7412"/>
        <item m="1" x="6275"/>
        <item m="1" x="3381"/>
        <item m="1" x="412"/>
        <item m="1" x="1642"/>
        <item m="1" x="4756"/>
        <item m="1" x="4261"/>
        <item m="1" x="6494"/>
        <item m="1" x="7983"/>
        <item m="1" x="3774"/>
        <item m="1" x="6829"/>
        <item m="1" x="191"/>
        <item m="1" x="2717"/>
        <item m="1" x="1423"/>
        <item m="1" x="5559"/>
        <item m="1" x="262"/>
        <item m="1" x="3077"/>
        <item m="1" x="7914"/>
        <item m="1" x="2699"/>
        <item m="1" x="2185"/>
        <item m="1" x="1098"/>
        <item m="1" x="5329"/>
        <item m="1" x="7837"/>
        <item m="1" x="6276"/>
        <item m="1" x="55"/>
        <item m="1" x="7632"/>
        <item m="1" x="5499"/>
        <item m="1" x="6482"/>
        <item m="1" x="406"/>
        <item m="1" x="3202"/>
        <item m="1" x="7958"/>
        <item m="1" x="1145"/>
        <item m="1" x="3162"/>
        <item m="1" x="957"/>
        <item m="1" x="5134"/>
        <item m="1" x="7219"/>
        <item m="1" x="2124"/>
        <item m="1" x="2848"/>
        <item m="1" x="7668"/>
        <item m="1" x="7934"/>
        <item m="1" x="1615"/>
        <item m="1" x="6534"/>
        <item m="1" x="6006"/>
        <item m="1" x="2040"/>
        <item m="1" x="5264"/>
        <item m="1" x="4098"/>
        <item m="1" x="1835"/>
        <item m="1" x="7859"/>
        <item m="1" x="2779"/>
        <item m="1" x="3167"/>
        <item m="1" x="1076"/>
        <item m="1" x="2132"/>
        <item m="1" x="1645"/>
        <item m="1" x="925"/>
        <item m="1" x="4744"/>
        <item m="1" x="3472"/>
        <item m="1" x="2449"/>
        <item m="1" x="5442"/>
        <item m="1" x="5130"/>
        <item m="1" x="6174"/>
        <item m="1" x="5654"/>
        <item m="1" x="910"/>
        <item m="1" x="1629"/>
        <item m="1" x="6683"/>
        <item m="1" x="4123"/>
        <item m="1" x="6707"/>
        <item m="1" x="1241"/>
        <item m="1" x="6205"/>
        <item m="1" x="5751"/>
        <item m="1" x="5267"/>
        <item m="1" x="6163"/>
        <item m="1" x="3553"/>
        <item m="1" x="253"/>
        <item m="1" x="5043"/>
        <item m="1" x="2368"/>
        <item m="1" x="7973"/>
        <item m="1" x="5041"/>
        <item m="1" x="5827"/>
        <item m="1" x="3008"/>
        <item m="1" x="6634"/>
        <item m="1" x="6243"/>
        <item m="1" x="5837"/>
        <item m="1" x="2281"/>
        <item m="1" x="3178"/>
        <item m="1" x="6044"/>
        <item m="1" x="4683"/>
        <item m="1" x="967"/>
        <item m="1" x="3010"/>
        <item m="1" x="1792"/>
        <item m="1" x="5270"/>
        <item m="1" x="4389"/>
        <item m="1" x="1133"/>
        <item m="1" x="6272"/>
        <item m="1" x="1192"/>
        <item m="1" x="2053"/>
        <item m="1" x="1924"/>
        <item m="1" x="7533"/>
        <item m="1" x="1063"/>
        <item m="1" x="3733"/>
        <item m="1" x="5633"/>
        <item m="1" x="2434"/>
        <item m="1" x="6231"/>
        <item m="1" x="4811"/>
        <item m="1" x="7409"/>
        <item m="1" x="606"/>
        <item m="1" x="7068"/>
        <item m="1" x="584"/>
        <item m="1" x="5401"/>
        <item m="1" x="1565"/>
        <item m="1" x="2078"/>
        <item m="1" x="3731"/>
        <item m="1" x="5012"/>
        <item m="1" x="1772"/>
        <item m="1" x="427"/>
        <item m="1" x="4211"/>
        <item m="1" x="75"/>
        <item m="1" x="2107"/>
        <item m="1" x="5585"/>
        <item m="1" x="6643"/>
        <item m="1" x="2799"/>
        <item m="1" x="5489"/>
        <item m="1" x="6617"/>
        <item m="1" x="1256"/>
        <item m="1" x="3198"/>
        <item m="1" x="302"/>
        <item m="1" x="5316"/>
        <item m="1" x="4132"/>
        <item m="1" x="2912"/>
        <item m="1" x="861"/>
        <item m="1" x="2489"/>
        <item m="1" x="4481"/>
        <item m="1" x="4446"/>
        <item m="1" x="1302"/>
        <item m="1" x="1908"/>
        <item m="1" x="241"/>
        <item m="1" x="1167"/>
        <item m="1" x="4973"/>
        <item m="1" x="4031"/>
        <item m="1" x="229"/>
        <item m="1" x="7499"/>
        <item m="1" x="846"/>
        <item m="1" x="3363"/>
        <item m="1" x="7437"/>
        <item m="1" x="6725"/>
        <item m="1" x="5034"/>
        <item m="1" x="1469"/>
        <item m="1" x="6422"/>
        <item m="1" x="6124"/>
        <item m="1" x="2140"/>
        <item m="1" x="493"/>
        <item m="1" x="1841"/>
        <item m="1" x="1439"/>
        <item m="1" x="7805"/>
        <item m="1" x="7605"/>
        <item m="1" x="5771"/>
        <item m="1" x="4409"/>
        <item m="1" x="6841"/>
        <item m="1" x="5682"/>
        <item m="1" x="5817"/>
        <item m="1" x="2811"/>
        <item m="1" x="1339"/>
        <item m="1" x="2909"/>
        <item m="1" x="3168"/>
        <item m="1" x="558"/>
        <item m="1" x="3997"/>
        <item m="1" x="881"/>
        <item m="1" x="6224"/>
        <item m="1" x="2503"/>
        <item m="1" x="6214"/>
        <item m="1" x="1541"/>
        <item m="1" x="1916"/>
        <item m="1" x="337"/>
        <item m="1" x="4462"/>
        <item m="1" x="6595"/>
        <item m="1" x="333"/>
        <item m="1" x="6838"/>
        <item m="1" x="5900"/>
        <item m="1" x="428"/>
        <item m="1" x="2955"/>
        <item m="1" x="105"/>
        <item m="1" x="5725"/>
        <item m="1" x="6697"/>
        <item m="1" x="5467"/>
        <item m="1" x="4581"/>
        <item m="1" x="5481"/>
        <item m="1" x="7002"/>
        <item m="1" x="6102"/>
        <item m="1" x="4339"/>
        <item m="1" x="7493"/>
        <item m="1" x="7494"/>
        <item m="1" x="6232"/>
        <item m="1" x="1849"/>
        <item m="1" x="2369"/>
        <item m="1" x="2605"/>
        <item m="1" x="3237"/>
        <item m="1" x="4957"/>
        <item m="1" x="3661"/>
        <item m="1" x="2135"/>
        <item m="1" x="6655"/>
        <item m="1" x="3639"/>
        <item m="1" x="5877"/>
        <item m="1" x="5081"/>
        <item m="1" x="4049"/>
        <item m="1" x="2105"/>
        <item m="1" x="5226"/>
        <item m="1" x="2735"/>
        <item m="1" x="7588"/>
        <item m="1" x="7598"/>
        <item m="1" x="4350"/>
        <item m="1" x="6572"/>
        <item m="1" x="2220"/>
        <item m="1" x="5062"/>
        <item m="1" x="757"/>
        <item m="1" x="3826"/>
        <item m="1" x="1758"/>
        <item m="1" x="4899"/>
        <item m="1" x="7190"/>
        <item m="1" x="5942"/>
        <item m="1" x="2627"/>
        <item m="1" x="260"/>
        <item m="1" x="5233"/>
        <item m="1" x="3574"/>
        <item m="1" x="6209"/>
        <item m="1" x="2277"/>
        <item m="1" x="2092"/>
        <item m="1" x="6382"/>
        <item m="1" x="3175"/>
        <item m="1" x="1276"/>
        <item m="1" x="1158"/>
        <item m="1" x="4631"/>
        <item m="1" x="3412"/>
        <item m="1" x="6379"/>
        <item m="1" x="4143"/>
        <item m="1" x="3007"/>
        <item m="1" x="2918"/>
        <item m="1" x="4638"/>
        <item m="1" x="2609"/>
        <item m="1" x="5724"/>
        <item m="1" x="5046"/>
        <item m="1" x="6671"/>
        <item m="1" x="4866"/>
        <item m="1" x="7485"/>
        <item m="1" x="868"/>
        <item m="1" x="7666"/>
        <item m="1" x="2528"/>
        <item m="1" x="4425"/>
        <item m="1" x="6314"/>
        <item m="1" x="1200"/>
        <item m="1" x="1286"/>
        <item m="1" x="1580"/>
        <item m="1" x="5380"/>
        <item m="1" x="1030"/>
        <item m="1" x="109"/>
        <item m="1" x="7139"/>
        <item m="1" x="305"/>
        <item m="1" x="2263"/>
        <item m="1" x="3194"/>
        <item m="1" x="6225"/>
        <item m="1" x="773"/>
        <item m="1" x="6959"/>
        <item m="1" x="5217"/>
        <item m="1" x="7751"/>
        <item m="1" x="3319"/>
        <item m="1" x="4818"/>
        <item m="1" x="1356"/>
        <item m="1" x="444"/>
        <item m="1" x="6510"/>
        <item m="1" x="7648"/>
        <item m="1" x="7207"/>
        <item m="1" x="4635"/>
        <item m="1" x="5410"/>
        <item m="1" x="6376"/>
        <item m="1" x="343"/>
        <item m="1" x="3394"/>
        <item m="1" x="4660"/>
        <item m="1" x="4605"/>
        <item m="1" x="7281"/>
        <item m="1" x="5100"/>
        <item m="1" x="6219"/>
        <item m="1" x="2884"/>
        <item m="1" x="4088"/>
        <item m="1" x="682"/>
        <item m="1" x="5715"/>
        <item m="1" x="987"/>
        <item m="1" x="2568"/>
        <item m="1" x="2789"/>
        <item m="1" x="3526"/>
        <item m="1" x="6594"/>
        <item m="1" x="3305"/>
        <item m="1" x="7676"/>
        <item m="1" x="742"/>
        <item m="1" x="4152"/>
        <item m="1" x="4816"/>
        <item m="1" x="4996"/>
        <item m="1" x="2371"/>
        <item m="1" x="5518"/>
        <item m="1" x="93"/>
        <item m="1" x="5779"/>
        <item m="1" x="3844"/>
        <item m="1" x="5394"/>
        <item m="1" x="5717"/>
        <item m="1" x="2721"/>
        <item m="1" x="738"/>
        <item m="1" x="3934"/>
        <item m="1" x="4164"/>
        <item m="1" x="3657"/>
        <item m="1" x="1404"/>
        <item m="1" x="1376"/>
        <item m="1" x="2143"/>
        <item m="1" x="3166"/>
        <item m="1" x="7148"/>
        <item m="1" x="1078"/>
        <item m="1" x="7820"/>
        <item m="1" x="5159"/>
        <item m="1" x="6904"/>
        <item m="1" x="7537"/>
        <item m="1" x="4428"/>
        <item m="1" x="5347"/>
        <item m="1" x="4769"/>
        <item m="1" x="4885"/>
        <item m="1" x="7354"/>
        <item m="1" x="3315"/>
        <item m="1" x="5502"/>
        <item m="1" x="7152"/>
        <item m="1" x="1824"/>
        <item m="1" x="2375"/>
        <item m="1" x="4927"/>
        <item m="1" x="2200"/>
        <item m="1" x="5059"/>
        <item m="1" x="3973"/>
        <item m="1" x="2644"/>
        <item m="1" x="4236"/>
        <item m="1" x="4030"/>
        <item m="1" x="4643"/>
        <item m="1" x="2451"/>
        <item m="1" x="3456"/>
        <item m="1" x="4918"/>
        <item m="1" x="5009"/>
        <item m="1" x="7594"/>
        <item m="1" x="4950"/>
        <item m="1" x="434"/>
        <item m="1" x="3275"/>
        <item m="1" x="4014"/>
        <item m="1" x="4699"/>
        <item m="1" x="1612"/>
        <item m="1" x="3125"/>
        <item m="1" x="65"/>
        <item m="1" x="6027"/>
        <item m="1" x="5106"/>
        <item m="1" x="918"/>
        <item m="1" x="2142"/>
        <item m="1" x="5620"/>
        <item m="1" x="1700"/>
        <item m="1" x="5814"/>
        <item m="1" x="1945"/>
        <item m="1" x="3147"/>
        <item m="1" x="6318"/>
        <item m="1" x="6816"/>
        <item m="1" x="6837"/>
        <item m="1" x="1453"/>
        <item m="1" x="690"/>
        <item m="1" x="5589"/>
        <item m="1" x="778"/>
        <item m="1" x="3990"/>
        <item m="1" x="7769"/>
        <item m="1" x="3430"/>
        <item m="1" x="540"/>
        <item m="1" x="1016"/>
        <item m="1" x="3736"/>
        <item m="1" x="4810"/>
        <item m="1" x="2109"/>
        <item m="1" x="1165"/>
        <item m="1" x="5207"/>
        <item m="1" x="3513"/>
        <item m="1" x="6992"/>
        <item m="1" x="7911"/>
        <item m="1" x="6847"/>
        <item m="1" x="5618"/>
        <item m="1" x="6657"/>
        <item m="1" x="2943"/>
        <item m="1" x="5095"/>
        <item m="1" x="1124"/>
        <item m="1" x="6013"/>
        <item m="1" x="6172"/>
        <item m="1" x="3234"/>
        <item m="1" x="5376"/>
        <item m="1" x="71"/>
        <item m="1" x="7442"/>
        <item m="1" x="7991"/>
        <item m="1" x="1545"/>
        <item m="1" x="1657"/>
        <item m="1" x="3220"/>
        <item m="1" x="4101"/>
        <item m="1" x="6018"/>
        <item m="1" x="3114"/>
        <item m="1" x="4372"/>
        <item m="1" x="7687"/>
        <item m="1" x="318"/>
        <item m="1" x="1900"/>
        <item m="1" x="5036"/>
        <item m="1" x="1622"/>
        <item m="1" x="604"/>
        <item m="1" x="1082"/>
        <item m="1" x="5965"/>
        <item m="1" x="3907"/>
        <item m="1" x="3095"/>
        <item m="1" x="4346"/>
        <item m="1" x="708"/>
        <item m="1" x="1131"/>
        <item m="1" x="5252"/>
        <item m="1" x="5842"/>
        <item m="1" x="507"/>
        <item m="1" x="197"/>
        <item m="1" x="3678"/>
        <item m="1" x="2972"/>
        <item m="1" x="6211"/>
        <item m="1" x="3295"/>
        <item m="1" x="2344"/>
        <item m="1" x="6057"/>
        <item m="1" x="1239"/>
        <item m="1" x="1440"/>
        <item m="1" x="3552"/>
        <item m="1" x="1892"/>
        <item m="1" x="2419"/>
        <item m="1" x="3684"/>
        <item m="1" x="2073"/>
        <item m="1" x="3263"/>
        <item m="1" x="5320"/>
        <item m="1" x="2653"/>
        <item m="1" x="3777"/>
        <item m="1" x="6161"/>
        <item m="1" x="3520"/>
        <item m="1" x="7131"/>
        <item m="1" x="3185"/>
        <item m="1" x="7151"/>
        <item m="1" x="7803"/>
        <item m="1" x="7244"/>
        <item m="1" x="276"/>
        <item m="1" x="6971"/>
        <item m="1" x="4492"/>
        <item m="1" x="5430"/>
        <item m="1" x="4633"/>
        <item m="1" x="5210"/>
        <item m="1" x="5298"/>
        <item m="1" x="2066"/>
        <item m="1" x="451"/>
        <item m="1" x="4846"/>
        <item m="1" x="812"/>
        <item m="1" x="6197"/>
        <item m="1" x="2632"/>
        <item m="1" x="2906"/>
        <item m="1" x="3148"/>
        <item m="1" x="4192"/>
        <item m="1" x="1226"/>
        <item m="1" x="1301"/>
        <item m="1" x="416"/>
        <item m="1" x="3845"/>
        <item m="1" x="2049"/>
        <item m="1" x="149"/>
        <item m="1" x="5466"/>
        <item m="1" x="7317"/>
        <item m="1" x="6024"/>
        <item m="1" x="7592"/>
        <item m="1" x="1961"/>
        <item m="1" x="1475"/>
        <item m="1" x="3949"/>
        <item m="1" x="6850"/>
        <item m="1" x="3677"/>
        <item m="1" x="1095"/>
        <item m="1" x="5547"/>
        <item m="1" x="4702"/>
        <item m="1" x="4842"/>
        <item m="1" x="2389"/>
        <item m="1" x="6546"/>
        <item m="1" x="5385"/>
        <item m="1" x="1919"/>
        <item m="1" x="917"/>
        <item m="1" x="4223"/>
        <item m="1" x="2378"/>
        <item m="1" x="1489"/>
        <item m="1" x="6522"/>
        <item m="1" x="2437"/>
        <item m="1" x="1926"/>
        <item m="1" x="1857"/>
        <item m="1" x="761"/>
        <item m="1" x="7643"/>
        <item m="1" x="6744"/>
        <item m="1" x="4452"/>
        <item m="1" x="5498"/>
        <item m="1" x="1391"/>
        <item m="1" x="5197"/>
        <item m="1" x="4715"/>
        <item m="1" x="297"/>
        <item m="1" x="5242"/>
        <item m="1" x="4954"/>
        <item m="1" x="6990"/>
        <item m="1" x="2275"/>
        <item m="1" x="1578"/>
        <item m="1" x="528"/>
        <item m="1" x="3750"/>
        <item m="1" x="5631"/>
        <item m="1" x="6862"/>
        <item m="1" x="829"/>
        <item m="1" x="2889"/>
        <item m="1" x="607"/>
        <item m="1" x="6371"/>
        <item m="1" x="4505"/>
        <item m="1" x="1886"/>
        <item m="1" x="6767"/>
        <item m="1" x="7013"/>
        <item m="1" x="234"/>
        <item m="1" x="452"/>
        <item m="1" x="2211"/>
        <item m="1" x="4103"/>
        <item m="1" x="3626"/>
        <item m="1" x="6251"/>
        <item m="1" x="5621"/>
        <item m="1" x="2125"/>
        <item m="1" x="7916"/>
        <item m="1" x="3209"/>
        <item m="1" x="351"/>
        <item m="1" x="3982"/>
        <item m="1" x="2438"/>
        <item m="1" x="6402"/>
        <item m="1" x="6587"/>
        <item m="1" x="4300"/>
        <item m="1" x="7107"/>
        <item m="1" x="3390"/>
        <item m="1" x="7191"/>
        <item m="1" x="741"/>
        <item m="1" x="4493"/>
        <item m="1" x="6918"/>
        <item m="1" x="4999"/>
        <item m="1" x="2473"/>
        <item m="1" x="4771"/>
        <item m="1" x="5930"/>
        <item m="1" x="4012"/>
        <item m="1" x="2534"/>
        <item m="1" x="675"/>
        <item m="1" x="2101"/>
        <item m="1" x="805"/>
        <item m="1" x="5097"/>
        <item m="1" x="7637"/>
        <item m="1" x="826"/>
        <item m="1" x="178"/>
        <item m="1" x="7940"/>
        <item m="1" x="5172"/>
        <item m="1" x="1370"/>
        <item m="1" x="2304"/>
        <item m="1" x="6632"/>
        <item m="1" x="254"/>
        <item m="1" x="6122"/>
        <item m="1" x="7929"/>
        <item m="1" x="5644"/>
        <item m="1" x="1914"/>
        <item m="1" x="6852"/>
        <item m="1" x="171"/>
        <item m="1" x="6803"/>
        <item m="1" x="329"/>
        <item m="1" x="2970"/>
        <item m="1" x="6296"/>
        <item m="1" x="2648"/>
        <item m="1" x="6159"/>
        <item m="1" x="382"/>
        <item m="1" x="4841"/>
        <item m="1" x="6395"/>
        <item m="1" x="5611"/>
        <item m="1" x="3309"/>
        <item m="1" x="7413"/>
        <item m="1" x="4790"/>
        <item m="1" x="5819"/>
        <item m="1" x="3199"/>
        <item m="1" x="7536"/>
        <item m="1" x="6641"/>
        <item m="1" x="3211"/>
        <item m="1" x="5995"/>
        <item m="1" x="1904"/>
        <item m="1" x="5497"/>
        <item m="1" x="3960"/>
        <item m="1" x="3119"/>
        <item m="1" x="3048"/>
        <item m="1" x="7565"/>
        <item m="1" x="3846"/>
        <item m="1" x="6003"/>
        <item m="1" x="5684"/>
        <item m="1" x="1519"/>
        <item m="1" x="1476"/>
        <item m="1" x="6207"/>
        <item m="1" x="4375"/>
        <item m="1" x="7899"/>
        <item m="1" x="4684"/>
        <item m="1" x="2606"/>
        <item m="1" x="4032"/>
        <item m="1" x="6025"/>
        <item m="1" x="5241"/>
        <item m="1" x="6761"/>
        <item m="1" x="1500"/>
        <item m="1" x="7815"/>
        <item m="1" x="141"/>
        <item m="1" x="645"/>
        <item m="1" x="6865"/>
        <item m="1" x="1765"/>
        <item m="1" x="6265"/>
        <item m="1" x="7862"/>
        <item m="1" x="1263"/>
        <item m="1" x="799"/>
        <item m="1" x="4158"/>
        <item m="1" x="6079"/>
        <item m="1" x="1284"/>
        <item m="1" x="5599"/>
        <item m="1" x="6476"/>
        <item m="1" x="7539"/>
        <item m="1" x="4182"/>
        <item m="1" x="2674"/>
        <item m="1" x="4283"/>
        <item m="1" x="1885"/>
        <item m="1" x="810"/>
        <item m="1" x="5237"/>
        <item m="1" x="3953"/>
        <item m="1" x="135"/>
        <item m="1" x="6730"/>
        <item m="1" x="189"/>
        <item m="1" x="6363"/>
        <item m="1" x="603"/>
        <item m="1" x="6849"/>
        <item m="1" x="153"/>
        <item m="1" x="2401"/>
        <item m="1" x="3583"/>
        <item m="1" x="2463"/>
        <item m="1" x="626"/>
        <item m="1" x="1282"/>
        <item m="1" x="2865"/>
        <item m="1" x="6289"/>
        <item m="1" x="1405"/>
        <item m="1" x="5739"/>
        <item m="1" x="6105"/>
        <item m="1" x="6797"/>
        <item m="1" x="886"/>
        <item m="1" x="1488"/>
        <item m="1" x="6964"/>
        <item m="1" x="4115"/>
        <item m="1" x="4118"/>
        <item m="1" x="4971"/>
        <item m="1" x="4894"/>
        <item m="1" x="6391"/>
        <item m="1" x="1218"/>
        <item m="1" x="5707"/>
        <item m="1" x="6723"/>
        <item m="1" x="2096"/>
        <item m="1" x="6809"/>
        <item m="1" x="7113"/>
        <item m="1" x="1867"/>
        <item m="1" x="1958"/>
        <item m="1" x="4500"/>
        <item m="1" x="6295"/>
        <item m="1" x="2299"/>
        <item m="1" x="730"/>
        <item m="1" x="2668"/>
        <item x="44"/>
        <item m="1" x="3950"/>
        <item m="1" x="7854"/>
        <item m="1" x="7377"/>
        <item m="1" x="1456"/>
        <item m="1" x="3030"/>
        <item m="1" x="4983"/>
        <item m="1" x="5561"/>
        <item m="1" x="5158"/>
        <item m="1" x="3457"/>
        <item m="1" x="6902"/>
        <item m="1" x="7622"/>
        <item m="1" x="3034"/>
        <item m="1" x="6570"/>
        <item m="1" x="1811"/>
        <item m="1" x="1611"/>
        <item m="1" x="938"/>
        <item m="1" x="1959"/>
        <item m="1" x="455"/>
        <item m="1" x="2308"/>
        <item m="1" x="6217"/>
        <item m="1" x="717"/>
        <item m="1" x="6367"/>
        <item m="1" x="6685"/>
        <item m="1" x="2113"/>
        <item m="1" x="88"/>
        <item m="1" x="2563"/>
        <item m="1" x="2238"/>
        <item m="1" x="2038"/>
        <item m="1" x="1865"/>
        <item m="1" x="3745"/>
        <item m="1" x="1079"/>
        <item m="1" x="2844"/>
        <item m="1" x="6888"/>
        <item m="1" x="1115"/>
        <item m="1" x="7597"/>
        <item m="1" x="4569"/>
        <item m="1" x="6733"/>
        <item m="1" x="4829"/>
        <item m="1" x="1821"/>
        <item m="1" x="7741"/>
        <item m="1" x="4755"/>
        <item m="1" x="6859"/>
        <item m="1" x="2190"/>
        <item m="1" x="926"/>
        <item m="1" x="5355"/>
        <item m="1" x="2645"/>
        <item m="1" x="2246"/>
        <item m="1" x="3951"/>
        <item m="1" x="2990"/>
        <item m="1" x="7174"/>
        <item m="1" x="4263"/>
        <item m="1" x="3362"/>
        <item m="1" x="2202"/>
        <item m="1" x="2744"/>
        <item m="1" x="5488"/>
        <item m="1" x="2161"/>
        <item m="1" x="7414"/>
        <item m="1" x="3611"/>
        <item m="1" x="7121"/>
        <item m="1" x="5313"/>
        <item m="1" x="2554"/>
        <item m="1" x="5280"/>
        <item m="1" x="1801"/>
        <item m="1" x="5365"/>
        <item m="1" x="3664"/>
        <item m="1" x="5997"/>
        <item m="1" x="4879"/>
        <item m="1" x="4975"/>
        <item m="1" x="3450"/>
        <item m="1" x="67"/>
        <item m="1" x="7851"/>
        <item m="1" x="5340"/>
        <item m="1" x="1445"/>
        <item m="1" x="5058"/>
        <item m="1" x="1509"/>
        <item m="1" x="3468"/>
        <item m="1" x="4391"/>
        <item m="1" x="4338"/>
        <item m="1" x="6112"/>
        <item m="1" x="3060"/>
        <item m="1" x="6973"/>
        <item m="1" x="5804"/>
        <item m="1" x="1617"/>
        <item m="1" x="5190"/>
        <item m="1" x="2624"/>
        <item m="1" x="6485"/>
        <item m="1" x="561"/>
        <item m="1" x="922"/>
        <item m="1" x="2612"/>
        <item m="1" x="1018"/>
        <item m="1" x="336"/>
        <item m="1" x="3958"/>
        <item m="1" x="4252"/>
        <item m="1" x="3889"/>
        <item m="1" x="4094"/>
        <item m="1" x="2879"/>
        <item m="1" x="539"/>
        <item m="1" x="2577"/>
        <item m="1" x="7572"/>
        <item m="1" x="6609"/>
        <item m="1" x="533"/>
        <item m="1" x="4599"/>
        <item m="1" x="5191"/>
        <item m="1" x="4226"/>
        <item m="1" x="7582"/>
        <item m="1" x="4222"/>
        <item m="1" x="1566"/>
        <item m="1" x="2044"/>
        <item m="1" x="4217"/>
        <item m="1" x="3131"/>
        <item m="1" x="6966"/>
        <item m="1" x="3632"/>
        <item m="1" x="258"/>
        <item m="1" x="359"/>
        <item m="1" x="6347"/>
        <item m="1" x="1649"/>
        <item m="1" x="2969"/>
        <item m="1" x="3585"/>
        <item m="1" x="1332"/>
        <item m="1" x="4595"/>
        <item m="1" x="3675"/>
        <item m="1" x="5798"/>
        <item m="1" x="107"/>
        <item m="1" x="2574"/>
        <item m="1" x="2515"/>
        <item m="1" x="7985"/>
        <item m="1" x="7262"/>
        <item m="1" x="206"/>
        <item m="1" x="2524"/>
        <item m="1" x="2551"/>
        <item m="1" x="2783"/>
        <item m="1" x="2601"/>
        <item m="1" x="6442"/>
        <item m="1" x="5826"/>
        <item m="1" x="3313"/>
        <item m="1" x="2619"/>
        <item m="1" x="368"/>
        <item m="1" x="4939"/>
        <item m="1" x="2229"/>
        <item m="1" x="6037"/>
        <item m="1" x="5153"/>
        <item m="1" x="6658"/>
        <item m="1" x="4671"/>
        <item m="1" x="7923"/>
        <item m="1" x="4447"/>
        <item m="1" x="2247"/>
        <item m="1" x="256"/>
        <item m="1" x="4834"/>
        <item m="1" x="1592"/>
        <item m="1" x="1034"/>
        <item m="1" x="6621"/>
        <item m="1" x="3184"/>
        <item m="1" x="4238"/>
        <item m="1" x="6942"/>
        <item m="1" x="7023"/>
        <item m="1" x="7112"/>
        <item m="1" x="4166"/>
        <item m="1" x="4175"/>
        <item m="1" x="2599"/>
        <item m="1" x="3725"/>
        <item m="1" x="60"/>
        <item m="1" x="7847"/>
        <item m="1" x="1517"/>
        <item m="1" x="4800"/>
        <item m="1" x="4586"/>
        <item m="1" x="6160"/>
        <item m="1" x="1790"/>
        <item m="1" x="3507"/>
        <item m="1" x="3489"/>
        <item m="1" x="1734"/>
        <item m="1" x="3791"/>
        <item m="1" x="2391"/>
        <item m="1" x="1300"/>
        <item m="1" x="2139"/>
        <item m="1" x="4029"/>
        <item m="1" x="1937"/>
        <item m="1" x="5610"/>
        <item m="1" x="2921"/>
        <item m="1" x="4772"/>
        <item m="1" x="5293"/>
        <item m="1" x="4412"/>
        <item m="1" x="7371"/>
        <item m="1" x="2470"/>
        <item m="1" x="6134"/>
        <item m="1" x="5302"/>
        <item m="1" x="2932"/>
        <item m="1" x="1438"/>
        <item m="1" x="2222"/>
        <item m="1" x="4763"/>
        <item m="1" x="7458"/>
        <item m="1" x="402"/>
        <item m="1" x="5957"/>
        <item m="1" x="7146"/>
        <item m="1" x="1830"/>
        <item m="1" x="512"/>
        <item m="1" x="6961"/>
        <item m="1" x="4476"/>
        <item m="1" x="4664"/>
        <item m="1" x="2112"/>
        <item m="1" x="6438"/>
        <item m="1" x="1407"/>
        <item m="1" x="5939"/>
        <item m="1" x="794"/>
        <item m="1" x="6978"/>
        <item m="1" x="5876"/>
        <item m="1" x="599"/>
        <item m="1" x="6063"/>
        <item m="1" x="2975"/>
        <item m="1" x="5262"/>
        <item m="1" x="5904"/>
        <item m="1" x="775"/>
        <item m="1" x="6230"/>
        <item m="1" x="4561"/>
        <item m="1" x="3246"/>
        <item m="1" x="2780"/>
        <item m="1" x="1446"/>
        <item m="1" x="4687"/>
        <item m="1" x="989"/>
        <item m="1" x="693"/>
        <item m="1" x="5271"/>
        <item m="1" x="2120"/>
        <item m="1" x="891"/>
        <item m="1" x="7775"/>
        <item x="0"/>
        <item m="1" x="2573"/>
        <item m="1" x="7052"/>
        <item m="1" x="6991"/>
        <item m="1" x="2215"/>
        <item m="1" x="2444"/>
        <item m="1" x="5351"/>
        <item m="1" x="5389"/>
        <item m="1" x="1733"/>
        <item m="1" x="6038"/>
        <item m="1" x="1492"/>
        <item m="1" x="5656"/>
        <item m="1" x="2298"/>
        <item m="1" x="5991"/>
        <item m="1" x="5205"/>
        <item m="1" x="5606"/>
        <item m="1" x="1964"/>
        <item m="1" x="1065"/>
        <item m="1" x="7000"/>
        <item m="1" x="4933"/>
        <item m="1" x="617"/>
        <item m="1" x="1054"/>
        <item m="1" x="5996"/>
        <item m="1" x="4429"/>
        <item m="1" x="2466"/>
        <item m="1" x="344"/>
        <item m="1" x="7320"/>
        <item m="1" x="6277"/>
        <item m="1" x="4857"/>
        <item m="1" x="3300"/>
        <item m="1" x="580"/>
        <item m="1" x="906"/>
        <item m="1" x="6879"/>
        <item m="1" x="5249"/>
        <item m="1" x="2249"/>
        <item m="1" x="1975"/>
        <item m="1" x="4328"/>
        <item m="1" x="7348"/>
        <item m="1" x="5225"/>
        <item m="1" x="6021"/>
        <item m="1" x="3524"/>
        <item m="1" x="833"/>
        <item m="1" x="1884"/>
        <item m="1" x="6004"/>
        <item m="1" x="2994"/>
        <item m="1" x="5696"/>
        <item m="1" x="1696"/>
        <item m="1" x="2017"/>
        <item m="1" x="1828"/>
        <item m="1" x="4900"/>
        <item m="1" x="6151"/>
        <item m="1" x="743"/>
        <item m="1" x="3624"/>
        <item m="1" x="986"/>
        <item m="1" x="1966"/>
        <item m="1" x="867"/>
        <item m="1" x="7279"/>
        <item m="1" x="1496"/>
        <item m="1" x="347"/>
        <item m="1" x="2702"/>
        <item m="1" x="3555"/>
        <item m="1" x="5638"/>
        <item x="11"/>
        <item m="1" x="6001"/>
        <item m="1" x="5998"/>
        <item m="1" x="1605"/>
        <item m="1" x="7618"/>
        <item m="1" x="3597"/>
        <item m="1" x="7200"/>
        <item m="1" x="6864"/>
        <item m="1" x="6817"/>
        <item m="1" x="6029"/>
        <item m="1" x="252"/>
        <item m="1" x="7827"/>
        <item m="1" x="5890"/>
        <item m="1" x="1006"/>
        <item m="1" x="4893"/>
        <item m="1" x="269"/>
        <item m="1" x="2436"/>
        <item m="1" x="7972"/>
        <item m="1" x="7924"/>
        <item m="1" x="2309"/>
        <item x="27"/>
        <item m="1" x="226"/>
        <item m="1" x="6775"/>
        <item m="1" x="566"/>
        <item m="1" x="4662"/>
        <item m="1" x="5474"/>
        <item m="1" x="1822"/>
        <item m="1" x="2544"/>
        <item m="1" x="1701"/>
        <item m="1" x="7730"/>
        <item m="1" x="4482"/>
        <item m="1" x="7391"/>
        <item m="1" x="2440"/>
        <item m="1" x="5580"/>
        <item m="1" x="2328"/>
        <item m="1" x="6062"/>
        <item m="1" x="1973"/>
        <item m="1" x="3108"/>
        <item m="1" x="2408"/>
        <item m="1" x="5520"/>
        <item m="1" x="4365"/>
        <item m="1" x="3474"/>
        <item m="1" x="1337"/>
        <item m="1" x="2062"/>
        <item m="1" x="1967"/>
        <item m="1" x="5921"/>
        <item m="1" x="5882"/>
        <item m="1" x="6348"/>
        <item m="1" x="7306"/>
        <item m="1" x="2649"/>
        <item m="1" x="3681"/>
        <item m="1" x="5535"/>
        <item m="1" x="6805"/>
        <item m="1" x="587"/>
        <item m="1" x="966"/>
        <item m="1" x="2511"/>
        <item m="1" x="5856"/>
        <item m="1" x="4669"/>
        <item m="1" x="7247"/>
        <item m="1" x="2056"/>
        <item m="1" x="672"/>
        <item m="1" x="3354"/>
        <item m="1" x="5534"/>
        <item m="1" x="2938"/>
        <item m="1" x="6620"/>
        <item m="1" x="320"/>
        <item m="1" x="6931"/>
        <item m="1" x="871"/>
        <item m="1" x="5799"/>
        <item m="1" x="235"/>
        <item m="1" x="1362"/>
        <item m="1" x="731"/>
        <item m="1" x="198"/>
        <item m="1" x="5635"/>
        <item m="1" x="5019"/>
        <item m="1" x="5167"/>
        <item m="1" x="4920"/>
        <item m="1" x="585"/>
        <item m="1" x="5532"/>
        <item m="1" x="6980"/>
        <item m="1" x="3541"/>
        <item m="1" x="3972"/>
        <item m="1" x="3378"/>
        <item m="1" x="4112"/>
        <item m="1" x="7546"/>
        <item m="1" x="4803"/>
        <item m="1" x="5983"/>
        <item m="1" x="6076"/>
        <item m="1" x="3835"/>
        <item m="1" x="7006"/>
        <item m="1" x="6278"/>
        <item m="1" x="5818"/>
        <item m="1" x="2675"/>
        <item m="1" x="3029"/>
        <item m="1" x="6791"/>
        <item m="1" x="2301"/>
        <item m="1" x="1899"/>
        <item m="1" x="1535"/>
        <item m="1" x="3837"/>
        <item m="1" x="5431"/>
        <item m="1" x="3920"/>
        <item m="1" x="4914"/>
        <item m="1" x="7389"/>
        <item m="1" x="6564"/>
        <item m="1" x="2731"/>
        <item m="1" x="6511"/>
        <item m="1" x="6180"/>
        <item m="1" x="3311"/>
        <item m="1" x="3163"/>
        <item m="1" x="1068"/>
        <item m="1" x="5693"/>
        <item m="1" x="1360"/>
        <item m="1" x="7738"/>
        <item m="1" x="340"/>
        <item m="1" x="929"/>
        <item x="32"/>
        <item m="1" x="5020"/>
        <item m="1" x="1651"/>
        <item m="1" x="4594"/>
        <item m="1" x="6599"/>
        <item m="1" x="1802"/>
        <item m="1" x="6353"/>
        <item m="1" x="1694"/>
        <item m="1" x="59"/>
        <item m="1" x="7694"/>
        <item m="1" x="4487"/>
        <item m="1" x="1035"/>
        <item m="1" x="4378"/>
        <item m="1" x="1663"/>
        <item x="43"/>
        <item m="1" x="6807"/>
        <item m="1" x="4576"/>
        <item m="1" x="5447"/>
        <item m="1" x="1335"/>
        <item m="1" x="5369"/>
        <item m="1" x="2552"/>
        <item m="1" x="815"/>
        <item m="1" x="3405"/>
        <item m="1" x="4622"/>
        <item m="1" x="3142"/>
        <item m="1" x="1072"/>
        <item m="1" x="5023"/>
        <item m="1" x="6899"/>
        <item m="1" x="5350"/>
        <item m="1" x="4415"/>
        <item m="1" x="4231"/>
        <item x="29"/>
        <item m="1" x="5091"/>
        <item m="1" x="2474"/>
        <item m="1" x="4773"/>
        <item m="1" x="3628"/>
        <item m="1" x="192"/>
        <item m="1" x="5162"/>
        <item m="1" x="5880"/>
        <item m="1" x="4344"/>
        <item m="1" x="148"/>
        <item x="22"/>
        <item m="1" x="5828"/>
        <item m="1" x="7517"/>
        <item m="1" x="1418"/>
        <item m="1" x="7122"/>
        <item m="1" x="3212"/>
        <item m="1" x="2946"/>
        <item m="1" x="3420"/>
        <item m="1" x="3709"/>
        <item m="1" x="4656"/>
        <item m="1" x="6440"/>
        <item m="1" x="1406"/>
        <item m="1" x="7384"/>
        <item m="1" x="2585"/>
        <item m="1" x="134"/>
        <item m="1" x="7557"/>
        <item x="6"/>
        <item m="1" x="7797"/>
        <item m="1" x="1264"/>
        <item x="47"/>
        <item m="1" x="6411"/>
        <item m="1" x="4877"/>
        <item m="1" x="7878"/>
        <item m="1" x="7886"/>
        <item m="1" x="4278"/>
        <item m="1" x="7686"/>
        <item m="1" x="859"/>
        <item m="1" x="7826"/>
        <item x="8"/>
        <item x="9"/>
        <item x="10"/>
        <item m="1" x="7746"/>
        <item x="24"/>
        <item m="1" x="3741"/>
        <item x="34"/>
        <item m="1" x="4033"/>
        <item m="1" x="7405"/>
        <item m="1" x="7079"/>
        <item m="1" x="1155"/>
        <item m="1" x="3418"/>
        <item x="16"/>
        <item x="17"/>
        <item x="20"/>
        <item m="1" x="7994"/>
        <item m="1" x="7874"/>
        <item m="1" x="1053"/>
        <item m="1" x="3523"/>
        <item x="36"/>
        <item x="40"/>
        <item x="42"/>
        <item x="45"/>
        <item m="1" x="5980"/>
        <item m="1" x="592"/>
        <item m="1" x="7999"/>
        <item m="1" x="5896"/>
        <item m="1" x="2593"/>
        <item m="1" x="2256"/>
        <item m="1" x="4921"/>
        <item m="1" x="3037"/>
        <item m="1" x="367"/>
        <item m="1" x="1845"/>
        <item m="1" x="6799"/>
        <item m="1" x="4843"/>
        <item m="1" x="2402"/>
        <item m="1" x="6356"/>
        <item m="1" x="4138"/>
        <item m="1" x="4473"/>
        <item m="1" x="1949"/>
        <item m="1" x="6822"/>
        <item m="1" x="4319"/>
        <item m="1" x="7996"/>
        <item m="1" x="4321"/>
        <item m="1" x="7997"/>
        <item m="1" x="7998"/>
        <item m="1" x="2817"/>
        <item m="1" x="7995"/>
        <item x="2"/>
        <item x="3"/>
        <item x="5"/>
        <item x="7"/>
        <item x="13"/>
        <item x="14"/>
        <item x="15"/>
        <item x="23"/>
        <item x="30"/>
        <item x="31"/>
        <item x="33"/>
        <item x="38"/>
        <item x="48"/>
        <item x="49"/>
        <item x="52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2">
        <item x="9"/>
        <item x="2"/>
        <item m="1" x="35"/>
        <item m="1" x="46"/>
        <item m="1" x="50"/>
        <item m="1" x="57"/>
        <item m="1" x="79"/>
        <item m="1" x="86"/>
        <item x="0"/>
        <item m="1" x="58"/>
        <item x="17"/>
        <item x="15"/>
        <item x="14"/>
        <item m="1" x="75"/>
        <item m="1" x="47"/>
        <item x="12"/>
        <item m="1" x="53"/>
        <item m="1" x="91"/>
        <item m="1" x="60"/>
        <item m="1" x="81"/>
        <item m="1" x="48"/>
        <item m="1" x="85"/>
        <item m="1" x="22"/>
        <item m="1" x="26"/>
        <item m="1" x="30"/>
        <item m="1" x="33"/>
        <item m="1" x="40"/>
        <item m="1" x="44"/>
        <item m="1" x="49"/>
        <item x="18"/>
        <item m="1" x="62"/>
        <item x="5"/>
        <item x="4"/>
        <item x="3"/>
        <item m="1" x="84"/>
        <item m="1" x="36"/>
        <item m="1" x="51"/>
        <item m="1" x="67"/>
        <item m="1" x="83"/>
        <item m="1" x="41"/>
        <item x="1"/>
        <item m="1" x="80"/>
        <item x="8"/>
        <item m="1" x="29"/>
        <item m="1" x="66"/>
        <item m="1" x="43"/>
        <item x="7"/>
        <item m="1" x="82"/>
        <item m="1" x="21"/>
        <item m="1" x="24"/>
        <item m="1" x="52"/>
        <item m="1" x="39"/>
        <item x="10"/>
        <item m="1" x="69"/>
        <item m="1" x="65"/>
        <item m="1" x="34"/>
        <item m="1" x="74"/>
        <item m="1" x="32"/>
        <item m="1" x="25"/>
        <item m="1" x="61"/>
        <item m="1" x="76"/>
        <item m="1" x="37"/>
        <item m="1" x="77"/>
        <item x="13"/>
        <item m="1" x="72"/>
        <item m="1" x="59"/>
        <item m="1" x="90"/>
        <item m="1" x="68"/>
        <item m="1" x="73"/>
        <item x="11"/>
        <item m="1" x="19"/>
        <item m="1" x="31"/>
        <item m="1" x="27"/>
        <item m="1" x="23"/>
        <item m="1" x="63"/>
        <item m="1" x="28"/>
        <item m="1" x="64"/>
        <item m="1" x="89"/>
        <item m="1" x="56"/>
        <item m="1" x="71"/>
        <item m="1" x="45"/>
        <item m="1" x="78"/>
        <item m="1" x="38"/>
        <item m="1" x="54"/>
        <item m="1" x="88"/>
        <item m="1" x="70"/>
        <item m="1" x="87"/>
        <item m="1" x="55"/>
        <item x="6"/>
        <item m="1" x="20"/>
        <item m="1" x="42"/>
        <item x="16"/>
      </items>
    </pivotField>
    <pivotField name="Ubic. Obtenida" compact="0" outline="0" showAll="0" sortType="ascending" defaultSubtotal="0"/>
    <pivotField name="PagE" axis="axisRow" subtotalCaption="∑ ?" compact="0" outline="0" showAll="0" includeNewItemsInFilter="1" sortType="ascending">
      <items count="66">
        <item x="0"/>
        <item m="1" x="43"/>
        <item m="1" x="26"/>
        <item x="7"/>
        <item x="12"/>
        <item m="1" x="19"/>
        <item m="1" x="28"/>
        <item x="5"/>
        <item x="11"/>
        <item x="10"/>
        <item m="1" x="54"/>
        <item m="1" x="59"/>
        <item m="1" x="63"/>
        <item x="8"/>
        <item m="1" x="20"/>
        <item m="1" x="24"/>
        <item m="1" x="29"/>
        <item m="1" x="31"/>
        <item m="1" x="33"/>
        <item x="3"/>
        <item x="2"/>
        <item x="6"/>
        <item m="1" x="40"/>
        <item m="1" x="44"/>
        <item m="1" x="47"/>
        <item x="1"/>
        <item m="1" x="51"/>
        <item m="1" x="53"/>
        <item m="1" x="56"/>
        <item m="1" x="58"/>
        <item m="1" x="61"/>
        <item x="4"/>
        <item x="9"/>
        <item m="1" x="37"/>
        <item m="1" x="14"/>
        <item m="1" x="39"/>
        <item m="1" x="16"/>
        <item m="1" x="42"/>
        <item m="1" x="18"/>
        <item m="1" x="46"/>
        <item m="1" x="22"/>
        <item m="1" x="49"/>
        <item m="1" x="23"/>
        <item m="1" x="50"/>
        <item m="1" x="25"/>
        <item m="1" x="52"/>
        <item m="1" x="27"/>
        <item m="1" x="55"/>
        <item m="1" x="30"/>
        <item m="1" x="57"/>
        <item m="1" x="32"/>
        <item m="1" x="60"/>
        <item m="1" x="34"/>
        <item m="1" x="62"/>
        <item m="1" x="35"/>
        <item m="1" x="64"/>
        <item m="1" x="36"/>
        <item m="1" x="13"/>
        <item m="1" x="38"/>
        <item m="1" x="15"/>
        <item m="1" x="41"/>
        <item m="1" x="17"/>
        <item m="1" x="45"/>
        <item m="1" x="21"/>
        <item m="1" x="48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52">
        <item m="1" x="27"/>
        <item m="1" x="145"/>
        <item m="1" x="130"/>
        <item m="1" x="116"/>
        <item m="1" x="107"/>
        <item m="1" x="94"/>
        <item m="1" x="80"/>
        <item m="1" x="69"/>
        <item m="1" x="59"/>
        <item m="1" x="41"/>
        <item m="1" x="30"/>
        <item m="1" x="148"/>
        <item m="1" x="134"/>
        <item m="1" x="120"/>
        <item m="1" x="109"/>
        <item m="1" x="98"/>
        <item m="1" x="84"/>
        <item m="1" x="73"/>
        <item m="1" x="62"/>
        <item m="1" x="46"/>
        <item m="1" x="33"/>
        <item m="1" x="22"/>
        <item m="1" x="138"/>
        <item m="1" x="124"/>
        <item m="1" x="102"/>
        <item m="1" x="88"/>
        <item m="1" x="75"/>
        <item m="1" x="51"/>
        <item m="1" x="26"/>
        <item m="1" x="143"/>
        <item m="1" x="128"/>
        <item x="20"/>
        <item x="19"/>
        <item x="12"/>
        <item x="13"/>
        <item x="2"/>
        <item x="10"/>
        <item m="1" x="135"/>
        <item m="1" x="121"/>
        <item x="7"/>
        <item m="1" x="99"/>
        <item x="0"/>
        <item x="8"/>
        <item m="1" x="63"/>
        <item x="4"/>
        <item m="1" x="34"/>
        <item m="1" x="23"/>
        <item m="1" x="139"/>
        <item m="1" x="125"/>
        <item x="5"/>
        <item m="1" x="104"/>
        <item m="1" x="90"/>
        <item m="1" x="66"/>
        <item m="1" x="52"/>
        <item m="1" x="144"/>
        <item m="1" x="57"/>
        <item x="17"/>
        <item m="1" x="111"/>
        <item x="9"/>
        <item m="1" x="85"/>
        <item m="1" x="74"/>
        <item m="1" x="64"/>
        <item m="1" x="47"/>
        <item x="14"/>
        <item m="1" x="24"/>
        <item m="1" x="140"/>
        <item m="1" x="127"/>
        <item m="1" x="113"/>
        <item m="1" x="105"/>
        <item m="1" x="91"/>
        <item m="1" x="78"/>
        <item x="1"/>
        <item m="1" x="53"/>
        <item x="6"/>
        <item m="1" x="28"/>
        <item m="1" x="146"/>
        <item m="1" x="131"/>
        <item m="1" x="117"/>
        <item x="3"/>
        <item m="1" x="95"/>
        <item m="1" x="70"/>
        <item m="1" x="58"/>
        <item m="1" x="42"/>
        <item m="1" x="31"/>
        <item m="1" x="110"/>
        <item m="1" x="141"/>
        <item m="1" x="114"/>
        <item m="1" x="92"/>
        <item m="1" x="54"/>
        <item m="1" x="38"/>
        <item m="1" x="132"/>
        <item m="1" x="118"/>
        <item m="1" x="108"/>
        <item m="1" x="96"/>
        <item m="1" x="81"/>
        <item m="1" x="71"/>
        <item m="1" x="60"/>
        <item m="1" x="43"/>
        <item m="1" x="32"/>
        <item m="1" x="149"/>
        <item m="1" x="136"/>
        <item m="1" x="122"/>
        <item m="1" x="100"/>
        <item m="1" x="86"/>
        <item m="1" x="35"/>
        <item x="18"/>
        <item m="1" x="67"/>
        <item m="1" x="55"/>
        <item m="1" x="39"/>
        <item m="1" x="147"/>
        <item m="1" x="119"/>
        <item x="21"/>
        <item m="1" x="97"/>
        <item m="1" x="82"/>
        <item x="16"/>
        <item m="1" x="44"/>
        <item m="1" x="150"/>
        <item m="1" x="137"/>
        <item m="1" x="123"/>
        <item m="1" x="101"/>
        <item m="1" x="87"/>
        <item m="1" x="48"/>
        <item m="1" x="36"/>
        <item x="15"/>
        <item m="1" x="45"/>
        <item m="1" x="151"/>
        <item m="1" x="76"/>
        <item m="1" x="49"/>
        <item x="11"/>
        <item m="1" x="61"/>
        <item m="1" x="126"/>
        <item m="1" x="112"/>
        <item m="1" x="103"/>
        <item m="1" x="89"/>
        <item m="1" x="77"/>
        <item m="1" x="65"/>
        <item m="1" x="50"/>
        <item m="1" x="37"/>
        <item m="1" x="25"/>
        <item m="1" x="142"/>
        <item m="1" x="129"/>
        <item m="1" x="115"/>
        <item m="1" x="106"/>
        <item m="1" x="93"/>
        <item m="1" x="79"/>
        <item m="1" x="68"/>
        <item m="1" x="56"/>
        <item m="1" x="40"/>
        <item m="1" x="29"/>
        <item m="1" x="133"/>
        <item m="1" x="83"/>
        <item m="1" x="72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73">
    <i>
      <x/>
      <x v="7"/>
      <x/>
      <x v="32"/>
      <x/>
      <x v="123"/>
      <x v="7999"/>
      <x v="1"/>
      <x v="7999"/>
      <x v="1"/>
      <x v="7999"/>
    </i>
    <i t="default" r="2">
      <x/>
    </i>
    <i r="1">
      <x v="14"/>
      <x v="13"/>
      <x/>
      <x/>
      <x v="42"/>
      <x v="7995"/>
      <x/>
      <x/>
      <x/>
      <x v="7993"/>
    </i>
    <i t="default" r="2">
      <x v="13"/>
    </i>
    <i r="2">
      <x v="19"/>
      <x v="33"/>
      <x/>
      <x v="114"/>
      <x v="7941"/>
      <x v="1"/>
      <x v="2"/>
      <x v="1"/>
      <x v="7898"/>
    </i>
    <i t="default" r="2">
      <x v="19"/>
    </i>
    <i>
      <x v="2"/>
      <x v="7"/>
      <x v="4"/>
      <x v="33"/>
      <x/>
      <x v="111"/>
      <x v="2130"/>
      <x v="1"/>
      <x v="7333"/>
      <x v="2"/>
      <x v="7907"/>
    </i>
    <i t="default" r="2">
      <x v="4"/>
    </i>
    <i r="1">
      <x v="9"/>
      <x v="7"/>
      <x v="32"/>
      <x/>
      <x v="63"/>
      <x v="7998"/>
      <x v="1"/>
      <x v="7997"/>
      <x v="1"/>
      <x v="7997"/>
    </i>
    <i t="default" r="2">
      <x v="7"/>
    </i>
    <i r="2">
      <x v="8"/>
      <x v="52"/>
      <x/>
      <x v="123"/>
      <x v="1715"/>
      <x v="1"/>
      <x v="7998"/>
      <x v="1"/>
      <x v="7998"/>
    </i>
    <i t="default" r="2">
      <x v="8"/>
    </i>
    <i r="1">
      <x v="12"/>
      <x/>
      <x v="29"/>
      <x/>
      <x v="39"/>
      <x v="7997"/>
      <x v="1"/>
      <x/>
      <x/>
      <x v="7996"/>
    </i>
    <i t="default" r="2">
      <x/>
    </i>
    <i r="1">
      <x v="13"/>
      <x/>
      <x v="10"/>
      <x/>
      <x v="32"/>
      <x v="4637"/>
      <x/>
      <x/>
      <x/>
      <x v="7695"/>
    </i>
    <i r="6">
      <x v="7959"/>
      <x/>
      <x/>
      <x/>
      <x v="7694"/>
    </i>
    <i r="5">
      <x v="33"/>
      <x v="7928"/>
      <x/>
      <x/>
      <x/>
      <x v="7872"/>
    </i>
    <i r="5">
      <x v="36"/>
      <x v="7467"/>
      <x/>
      <x/>
      <x/>
      <x v="7657"/>
    </i>
    <i r="3">
      <x v="11"/>
      <x/>
      <x v="33"/>
      <x v="7958"/>
      <x/>
      <x v="7959"/>
      <x v="1"/>
      <x v="7906"/>
    </i>
    <i r="3">
      <x v="12"/>
      <x/>
      <x v="31"/>
      <x v="7957"/>
      <x/>
      <x/>
      <x/>
      <x v="7456"/>
    </i>
    <i r="5">
      <x v="32"/>
      <x v="5577"/>
      <x/>
      <x/>
      <x/>
      <x v="7693"/>
    </i>
    <i r="3">
      <x v="15"/>
      <x/>
      <x v="34"/>
      <x v="5549"/>
      <x v="1"/>
      <x/>
      <x/>
      <x v="7871"/>
    </i>
    <i r="3">
      <x v="63"/>
      <x/>
      <x v="31"/>
      <x v="7996"/>
      <x/>
      <x/>
      <x/>
      <x v="7421"/>
    </i>
    <i r="5">
      <x v="33"/>
      <x v="311"/>
      <x/>
      <x/>
      <x/>
      <x v="7756"/>
    </i>
    <i r="3">
      <x v="69"/>
      <x/>
      <x v="31"/>
      <x v="7956"/>
      <x/>
      <x/>
      <x/>
      <x v="7645"/>
    </i>
    <i r="3">
      <x v="91"/>
      <x/>
      <x v="31"/>
      <x v="7882"/>
      <x/>
      <x/>
      <x/>
      <x v="7789"/>
    </i>
    <i t="default" r="2">
      <x/>
    </i>
    <i r="1">
      <x v="14"/>
      <x/>
      <x v="31"/>
      <x/>
      <x v="32"/>
      <x v="7773"/>
      <x v="1"/>
      <x v="7955"/>
      <x v="1"/>
      <x v="7901"/>
    </i>
    <i r="3">
      <x v="33"/>
      <x v="1"/>
      <x v="39"/>
      <x v="7909"/>
      <x v="1"/>
      <x v="7921"/>
      <x v="1"/>
      <x v="7992"/>
    </i>
    <i t="default" r="2">
      <x/>
    </i>
    <i r="2">
      <x v="3"/>
      <x/>
      <x/>
      <x v="114"/>
      <x v="7868"/>
      <x v="1"/>
      <x v="7967"/>
      <x v="2"/>
      <x v="7934"/>
    </i>
    <i t="default" r="2">
      <x v="3"/>
    </i>
    <i r="2">
      <x v="7"/>
      <x v="88"/>
      <x/>
      <x v="114"/>
      <x v="7899"/>
      <x v="1"/>
      <x v="2"/>
      <x v="1"/>
      <x v="7903"/>
    </i>
    <i t="default" r="2">
      <x v="7"/>
    </i>
    <i r="2">
      <x v="9"/>
      <x v="52"/>
      <x v="1"/>
      <x v="123"/>
      <x v="2353"/>
      <x v="1"/>
      <x v="7996"/>
      <x v="1"/>
      <x v="7995"/>
    </i>
    <i t="default" r="2">
      <x v="9"/>
    </i>
    <i r="2">
      <x v="20"/>
      <x v="33"/>
      <x/>
      <x v="123"/>
      <x v="7992"/>
      <x/>
      <x/>
      <x/>
      <x v="7928"/>
    </i>
    <i t="default" r="2">
      <x v="20"/>
    </i>
    <i r="2">
      <x v="21"/>
      <x v="42"/>
      <x/>
      <x v="39"/>
      <x v="7994"/>
      <x/>
      <x v="7908"/>
      <x v="1"/>
      <x v="7785"/>
    </i>
    <i t="default" r="2">
      <x v="21"/>
    </i>
    <i r="2">
      <x v="25"/>
      <x v="33"/>
      <x/>
      <x v="39"/>
      <x v="7909"/>
      <x v="1"/>
      <x/>
      <x/>
      <x v="7811"/>
    </i>
    <i r="5">
      <x v="63"/>
      <x v="3855"/>
      <x v="1"/>
      <x v="7529"/>
      <x v="2"/>
      <x v="7306"/>
    </i>
    <i t="default" r="2">
      <x v="25"/>
    </i>
    <i r="2">
      <x v="31"/>
      <x v="31"/>
      <x/>
      <x v="105"/>
      <x v="5943"/>
      <x v="1"/>
      <x v="7956"/>
      <x v="1"/>
      <x v="7902"/>
    </i>
    <i r="6">
      <x v="6567"/>
      <x v="1"/>
      <x v="7954"/>
      <x v="1"/>
      <x v="7900"/>
    </i>
    <i r="3">
      <x v="32"/>
      <x/>
      <x v="56"/>
      <x v="4739"/>
      <x v="1"/>
      <x v="7953"/>
      <x v="1"/>
      <x v="7899"/>
    </i>
    <i r="3">
      <x v="46"/>
      <x/>
      <x v="56"/>
      <x v="7993"/>
      <x v="1"/>
      <x v="7958"/>
      <x v="1"/>
      <x v="7905"/>
    </i>
    <i t="default" r="2">
      <x v="31"/>
    </i>
    <i r="2">
      <x v="32"/>
      <x v="52"/>
      <x/>
      <x v="123"/>
      <x v="7943"/>
      <x v="1"/>
      <x v="2"/>
      <x v="1"/>
      <x v="7994"/>
    </i>
    <i t="default" r="2">
      <x v="32"/>
    </i>
    <i r="1">
      <x v="15"/>
      <x/>
      <x v="1"/>
      <x/>
      <x v="33"/>
      <x v="1954"/>
      <x/>
      <x v="7951"/>
      <x v="1"/>
      <x v="7897"/>
    </i>
    <i r="5">
      <x v="34"/>
      <x v="7951"/>
      <x/>
      <x/>
      <x/>
      <x v="7927"/>
    </i>
    <i r="5">
      <x v="36"/>
      <x v="7949"/>
      <x/>
      <x/>
      <x/>
      <x v="7847"/>
    </i>
    <i r="6">
      <x v="7990"/>
      <x/>
      <x/>
      <x/>
      <x v="7763"/>
    </i>
    <i r="5">
      <x v="41"/>
      <x v="7989"/>
      <x v="1"/>
      <x/>
      <x/>
      <x v="7687"/>
    </i>
    <i r="5">
      <x v="42"/>
      <x v="7753"/>
      <x v="1"/>
      <x v="7798"/>
      <x v="1"/>
      <x v="7625"/>
    </i>
    <i r="5">
      <x v="58"/>
      <x v="275"/>
      <x/>
      <x/>
      <x/>
      <x v="7991"/>
    </i>
    <i r="6">
      <x v="2738"/>
      <x/>
      <x/>
      <x/>
      <x v="7641"/>
    </i>
    <i r="6">
      <x v="7991"/>
      <x/>
      <x/>
      <x/>
      <x v="7846"/>
    </i>
    <i r="5">
      <x v="128"/>
      <x v="7950"/>
      <x/>
      <x v="7929"/>
      <x v="1"/>
      <x v="7896"/>
    </i>
    <i r="3">
      <x v="8"/>
      <x/>
      <x v="35"/>
      <x v="7985"/>
      <x/>
      <x/>
      <x/>
      <x v="7973"/>
    </i>
    <i r="10">
      <x v="7985"/>
    </i>
    <i r="5">
      <x v="41"/>
      <x v="7691"/>
      <x/>
      <x/>
      <x/>
      <x v="7972"/>
    </i>
    <i r="5">
      <x v="44"/>
      <x v="3146"/>
      <x/>
      <x/>
      <x/>
      <x v="7843"/>
    </i>
    <i r="6">
      <x v="7988"/>
      <x/>
      <x/>
      <x/>
      <x v="7982"/>
    </i>
    <i r="5">
      <x v="49"/>
      <x v="7987"/>
      <x/>
      <x/>
      <x/>
      <x v="7976"/>
    </i>
    <i r="5">
      <x v="71"/>
      <x v="5546"/>
      <x/>
      <x/>
      <x/>
      <x v="7810"/>
    </i>
    <i r="5">
      <x v="73"/>
      <x v="7925"/>
      <x/>
      <x/>
      <x/>
      <x v="7861"/>
    </i>
    <i r="5">
      <x v="78"/>
      <x v="7986"/>
      <x/>
      <x/>
      <x/>
      <x v="7831"/>
    </i>
    <i r="3">
      <x v="40"/>
      <x/>
      <x v="39"/>
      <x v="7938"/>
      <x/>
      <x/>
      <x/>
      <x v="7894"/>
    </i>
    <i r="5">
      <x v="41"/>
      <x v="7937"/>
      <x/>
      <x/>
      <x/>
      <x v="7893"/>
    </i>
    <i r="6">
      <x v="7939"/>
      <x/>
      <x/>
      <x/>
      <x v="7920"/>
    </i>
    <i t="default" r="2">
      <x/>
    </i>
  </rowItems>
  <colItems count="1">
    <i/>
  </colItems>
  <dataFields count="1">
    <dataField name="#" fld="1" subtotal="count" baseField="11" baseItem="3"/>
  </dataFields>
  <formats count="17399">
    <format dxfId="17405">
      <pivotArea outline="0" collapsedLevelsAreSubtotals="1" fieldPosition="0"/>
    </format>
    <format dxfId="17404">
      <pivotArea dataOnly="0" labelOnly="1" outline="0" axis="axisValues" fieldPosition="0"/>
    </format>
    <format dxfId="17403">
      <pivotArea dataOnly="0" outline="0" fieldPosition="0">
        <references count="1">
          <reference field="12" count="0" defaultSubtotal="1"/>
        </references>
      </pivotArea>
    </format>
    <format dxfId="17402">
      <pivotArea dataOnly="0" outline="0" fieldPosition="0">
        <references count="1">
          <reference field="12" count="0" defaultSubtotal="1"/>
        </references>
      </pivotArea>
    </format>
    <format dxfId="17401">
      <pivotArea outline="0" collapsedLevelsAreSubtotals="1" fieldPosition="0"/>
    </format>
    <format dxfId="17400">
      <pivotArea dataOnly="0" labelOnly="1" outline="0" axis="axisValues" fieldPosition="0"/>
    </format>
    <format dxfId="17399">
      <pivotArea outline="0" collapsedLevelsAreSubtotals="1" fieldPosition="0"/>
    </format>
    <format dxfId="17398">
      <pivotArea dataOnly="0" labelOnly="1" outline="0" axis="axisValues" fieldPosition="0"/>
    </format>
    <format dxfId="17397">
      <pivotArea outline="0" collapsedLevelsAreSubtotals="1" fieldPosition="0"/>
    </format>
    <format dxfId="17396">
      <pivotArea dataOnly="0" labelOnly="1" outline="0" axis="axisValues" fieldPosition="0"/>
    </format>
    <format dxfId="17395">
      <pivotArea dataOnly="0" labelOnly="1" outline="0" axis="axisValues" fieldPosition="0"/>
    </format>
    <format dxfId="17394">
      <pivotArea outline="0" collapsedLevelsAreSubtotals="1" fieldPosition="0"/>
    </format>
    <format dxfId="17393">
      <pivotArea field="12" type="button" dataOnly="0" labelOnly="1" outline="0" axis="axisRow" fieldPosition="2"/>
    </format>
    <format dxfId="17392">
      <pivotArea field="10" type="button" dataOnly="0" labelOnly="1" outline="0" axis="axisRow" fieldPosition="3"/>
    </format>
    <format dxfId="17391">
      <pivotArea field="16" type="button" dataOnly="0" labelOnly="1" outline="0" axis="axisRow" fieldPosition="4"/>
    </format>
    <format dxfId="17390">
      <pivotArea field="18" type="button" dataOnly="0" labelOnly="1" outline="0" axis="axisRow" fieldPosition="5"/>
    </format>
    <format dxfId="17389">
      <pivotArea field="5" type="button" dataOnly="0" labelOnly="1" outline="0" axis="axisRow" fieldPosition="6"/>
    </format>
    <format dxfId="17388">
      <pivotArea field="9" type="button" dataOnly="0" labelOnly="1" outline="0" axis="axisRow" fieldPosition="7"/>
    </format>
    <format dxfId="17387">
      <pivotArea field="3" type="button" dataOnly="0" labelOnly="1" outline="0" axis="axisRow" fieldPosition="8"/>
    </format>
    <format dxfId="17386">
      <pivotArea field="7" type="button" dataOnly="0" labelOnly="1" outline="0" axis="axisRow" fieldPosition="9"/>
    </format>
    <format dxfId="17385">
      <pivotArea field="1" type="button" dataOnly="0" labelOnly="1" outline="0" axis="axisRow" fieldPosition="10"/>
    </format>
    <format dxfId="17384">
      <pivotArea dataOnly="0" labelOnly="1" outline="0" axis="axisValues" fieldPosition="0"/>
    </format>
    <format dxfId="1738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738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738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738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7379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737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7377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7376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7375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7374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737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37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37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37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369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7368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736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36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3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36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3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736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736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3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3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3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3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3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3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3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3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3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73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3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734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734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34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34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34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34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34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34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3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34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33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3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73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3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3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73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73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733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33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3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732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73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73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73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3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73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3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73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73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73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73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73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73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73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73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731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731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731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31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731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30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73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73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73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73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73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73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72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72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72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729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2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72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72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72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72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72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72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7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7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72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72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72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72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72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72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72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72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72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72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72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72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727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727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727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727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727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72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72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72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72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7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7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7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7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7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7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7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7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7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72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72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72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72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72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72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7250">
      <pivotArea dataOnly="0" labelOnly="1" outline="0" fieldPosition="0">
        <references count="7">
          <reference field="0" count="1" selected="0">
            <x v="7"/>
          </reference>
          <reference field="5" count="1">
            <x v="749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7249">
      <pivotArea dataOnly="0" labelOnly="1" outline="0" fieldPosition="0">
        <references count="7">
          <reference field="0" count="1" selected="0">
            <x v="13"/>
          </reference>
          <reference field="5" count="1">
            <x v="4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7248">
      <pivotArea dataOnly="0" labelOnly="1" outline="0" fieldPosition="0">
        <references count="7">
          <reference field="0" count="1" selected="0">
            <x v="13"/>
          </reference>
          <reference field="5" count="1">
            <x v="259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7247">
      <pivotArea dataOnly="0" labelOnly="1" outline="0" fieldPosition="0">
        <references count="7">
          <reference field="0" count="1" selected="0">
            <x v="13"/>
          </reference>
          <reference field="5" count="1">
            <x v="74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7246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7245">
      <pivotArea dataOnly="0" labelOnly="1" outline="0" fieldPosition="0">
        <references count="7">
          <reference field="0" count="1" selected="0">
            <x v="14"/>
          </reference>
          <reference field="5" count="1">
            <x v="594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7244">
      <pivotArea dataOnly="0" labelOnly="1" outline="0" fieldPosition="0">
        <references count="7">
          <reference field="0" count="1" selected="0">
            <x v="7"/>
          </reference>
          <reference field="5" count="1">
            <x v="213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7243">
      <pivotArea dataOnly="0" labelOnly="1" outline="0" fieldPosition="0">
        <references count="7">
          <reference field="0" count="1" selected="0">
            <x v="7"/>
          </reference>
          <reference field="5" count="1">
            <x v="749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242">
      <pivotArea dataOnly="0" labelOnly="1" outline="0" fieldPosition="0">
        <references count="7">
          <reference field="0" count="1" selected="0">
            <x v="7"/>
          </reference>
          <reference field="5" count="1">
            <x v="748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241">
      <pivotArea dataOnly="0" labelOnly="1" outline="0" fieldPosition="0">
        <references count="7">
          <reference field="0" count="1" selected="0">
            <x v="7"/>
          </reference>
          <reference field="5" count="1">
            <x v="749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240">
      <pivotArea dataOnly="0" labelOnly="1" outline="0" fieldPosition="0">
        <references count="7">
          <reference field="0" count="1" selected="0">
            <x v="7"/>
          </reference>
          <reference field="5" count="1">
            <x v="749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7239">
      <pivotArea dataOnly="0" labelOnly="1" outline="0" fieldPosition="0">
        <references count="7">
          <reference field="0" count="1" selected="0">
            <x v="7"/>
          </reference>
          <reference field="5" count="1">
            <x v="7492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7238">
      <pivotArea dataOnly="0" labelOnly="1" outline="0" fieldPosition="0">
        <references count="7">
          <reference field="0" count="1" selected="0">
            <x v="7"/>
          </reference>
          <reference field="5" count="1">
            <x v="749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237">
      <pivotArea dataOnly="0" labelOnly="1" outline="0" fieldPosition="0">
        <references count="7">
          <reference field="0" count="1" selected="0">
            <x v="7"/>
          </reference>
          <reference field="5" count="1">
            <x v="748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236">
      <pivotArea dataOnly="0" labelOnly="1" outline="0" fieldPosition="0">
        <references count="7">
          <reference field="0" count="1" selected="0">
            <x v="7"/>
          </reference>
          <reference field="5" count="1">
            <x v="7494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235">
      <pivotArea dataOnly="0" labelOnly="1" outline="0" fieldPosition="0">
        <references count="7">
          <reference field="0" count="1" selected="0">
            <x v="11"/>
          </reference>
          <reference field="5" count="1">
            <x v="734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7234">
      <pivotArea dataOnly="0" labelOnly="1" outline="0" fieldPosition="0">
        <references count="7">
          <reference field="0" count="1" selected="0">
            <x v="11"/>
          </reference>
          <reference field="5" count="1">
            <x v="495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233">
      <pivotArea dataOnly="0" labelOnly="1" outline="0" fieldPosition="0">
        <references count="7">
          <reference field="0" count="1" selected="0">
            <x v="11"/>
          </reference>
          <reference field="5" count="1">
            <x v="619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7232">
      <pivotArea dataOnly="0" labelOnly="1" outline="0" fieldPosition="0">
        <references count="7">
          <reference field="0" count="1" selected="0">
            <x v="11"/>
          </reference>
          <reference field="5" count="2">
            <x v="5280"/>
            <x v="709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231">
      <pivotArea dataOnly="0" labelOnly="1" outline="0" fieldPosition="0">
        <references count="7">
          <reference field="0" count="1" selected="0">
            <x v="11"/>
          </reference>
          <reference field="5" count="1">
            <x v="718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7230">
      <pivotArea dataOnly="0" labelOnly="1" outline="0" fieldPosition="0">
        <references count="7">
          <reference field="0" count="1" selected="0">
            <x v="12"/>
          </reference>
          <reference field="5" count="1">
            <x v="594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7229">
      <pivotArea dataOnly="0" labelOnly="1" outline="0" fieldPosition="0">
        <references count="7">
          <reference field="0" count="1" selected="0">
            <x v="12"/>
          </reference>
          <reference field="5" count="1">
            <x v="74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228">
      <pivotArea dataOnly="0" labelOnly="1" outline="0" fieldPosition="0">
        <references count="7">
          <reference field="0" count="1" selected="0">
            <x v="12"/>
          </reference>
          <reference field="5" count="1">
            <x v="748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227">
      <pivotArea dataOnly="0" labelOnly="1" outline="0" fieldPosition="0">
        <references count="7">
          <reference field="0" count="1" selected="0">
            <x v="12"/>
          </reference>
          <reference field="5" count="1">
            <x v="748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7226">
      <pivotArea dataOnly="0" labelOnly="1" outline="0" fieldPosition="0">
        <references count="7">
          <reference field="0" count="1" selected="0">
            <x v="13"/>
          </reference>
          <reference field="5" count="1">
            <x v="74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225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224">
      <pivotArea dataOnly="0" labelOnly="1" outline="0" fieldPosition="0">
        <references count="7">
          <reference field="0" count="1" selected="0">
            <x v="13"/>
          </reference>
          <reference field="5" count="1"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223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7222">
      <pivotArea dataOnly="0" labelOnly="1" outline="0" fieldPosition="0">
        <references count="7">
          <reference field="0" count="1" selected="0">
            <x v="14"/>
          </reference>
          <reference field="5" count="1">
            <x v="748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7221">
      <pivotArea dataOnly="0" labelOnly="1" outline="0" fieldPosition="0">
        <references count="7">
          <reference field="0" count="1" selected="0">
            <x v="14"/>
          </reference>
          <reference field="5" count="1">
            <x v="748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220">
      <pivotArea dataOnly="0" labelOnly="1" outline="0" fieldPosition="0">
        <references count="7">
          <reference field="0" count="1" selected="0">
            <x v="14"/>
          </reference>
          <reference field="5" count="1">
            <x v="740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219">
      <pivotArea dataOnly="0" labelOnly="1" outline="0" fieldPosition="0">
        <references count="7">
          <reference field="0" count="1" selected="0">
            <x v="14"/>
          </reference>
          <reference field="5" count="1">
            <x v="614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218">
      <pivotArea dataOnly="0" labelOnly="1" outline="0" fieldPosition="0">
        <references count="7">
          <reference field="0" count="1" selected="0">
            <x v="14"/>
          </reference>
          <reference field="5" count="1">
            <x v="7482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217">
      <pivotArea dataOnly="0" labelOnly="1" outline="0" fieldPosition="0">
        <references count="7">
          <reference field="0" count="1" selected="0">
            <x v="14"/>
          </reference>
          <reference field="5" count="1">
            <x v="3546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216">
      <pivotArea dataOnly="0" labelOnly="1" outline="0" fieldPosition="0">
        <references count="7">
          <reference field="0" count="1" selected="0">
            <x v="14"/>
          </reference>
          <reference field="5" count="1">
            <x v="656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7215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7214">
      <pivotArea dataOnly="0" labelOnly="1" outline="0" fieldPosition="0">
        <references count="7">
          <reference field="0" count="1" selected="0">
            <x v="15"/>
          </reference>
          <reference field="5" count="2">
            <x v="7464"/>
            <x v="74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213">
      <pivotArea dataOnly="0" labelOnly="1" outline="0" fieldPosition="0">
        <references count="7">
          <reference field="0" count="1" selected="0">
            <x v="15"/>
          </reference>
          <reference field="5" count="1">
            <x v="748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212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7211">
      <pivotArea dataOnly="0" labelOnly="1" outline="0" fieldPosition="0">
        <references count="7">
          <reference field="0" count="1" selected="0">
            <x v="15"/>
          </reference>
          <reference field="5" count="1">
            <x v="745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2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72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72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72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72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2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2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72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72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2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20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3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719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4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71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1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1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71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71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1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1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1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71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6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18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7188">
      <pivotArea dataOnly="0" labelOnly="1" outline="0" fieldPosition="0">
        <references count="9">
          <reference field="0" count="1" selected="0">
            <x v="7"/>
          </reference>
          <reference field="3" count="1">
            <x v="7448"/>
          </reference>
          <reference field="5" count="1" selected="0">
            <x v="74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71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7186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7185">
      <pivotArea dataOnly="0" labelOnly="1" outline="0" fieldPosition="0">
        <references count="9">
          <reference field="0" count="1" selected="0">
            <x v="7"/>
          </reference>
          <reference field="3" count="1">
            <x v="7333"/>
          </reference>
          <reference field="5" count="1" selected="0">
            <x v="21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7184">
      <pivotArea dataOnly="0" labelOnly="1" outline="0" fieldPosition="0">
        <references count="9">
          <reference field="0" count="1" selected="0">
            <x v="7"/>
          </reference>
          <reference field="3" count="1">
            <x v="7447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183">
      <pivotArea dataOnly="0" labelOnly="1" outline="0" fieldPosition="0">
        <references count="9">
          <reference field="0" count="1" selected="0">
            <x v="7"/>
          </reference>
          <reference field="3" count="1">
            <x v="7441"/>
          </reference>
          <reference field="5" count="1" selected="0">
            <x v="74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18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181">
      <pivotArea dataOnly="0" labelOnly="1" outline="0" fieldPosition="0">
        <references count="9">
          <reference field="0" count="1" selected="0">
            <x v="7"/>
          </reference>
          <reference field="3" count="1">
            <x v="7449"/>
          </reference>
          <reference field="5" count="1" selected="0">
            <x v="74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7180">
      <pivotArea dataOnly="0" labelOnly="1" outline="0" fieldPosition="0">
        <references count="9">
          <reference field="0" count="1" selected="0">
            <x v="7"/>
          </reference>
          <reference field="3" count="1">
            <x v="7448"/>
          </reference>
          <reference field="5" count="1" selected="0">
            <x v="74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7179">
      <pivotArea dataOnly="0" labelOnly="1" outline="0" fieldPosition="0">
        <references count="9">
          <reference field="0" count="1" selected="0">
            <x v="7"/>
          </reference>
          <reference field="3" count="1">
            <x v="7446"/>
          </reference>
          <reference field="5" count="1" selected="0">
            <x v="7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178">
      <pivotArea dataOnly="0" labelOnly="1" outline="0" fieldPosition="0">
        <references count="9">
          <reference field="0" count="1" selected="0">
            <x v="7"/>
          </reference>
          <reference field="3" count="1">
            <x v="7445"/>
          </reference>
          <reference field="5" count="1" selected="0">
            <x v="74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177">
      <pivotArea dataOnly="0" labelOnly="1" outline="0" fieldPosition="0">
        <references count="9">
          <reference field="0" count="1" selected="0">
            <x v="7"/>
          </reference>
          <reference field="3" count="1">
            <x v="2923"/>
          </reference>
          <reference field="5" count="1" selected="0">
            <x v="7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176">
      <pivotArea dataOnly="0" labelOnly="1" outline="0" fieldPosition="0">
        <references count="9">
          <reference field="0" count="1" selected="0">
            <x v="11"/>
          </reference>
          <reference field="3" count="1">
            <x v="7327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7175">
      <pivotArea dataOnly="0" labelOnly="1" outline="0" fieldPosition="0">
        <references count="9">
          <reference field="0" count="1" selected="0">
            <x v="11"/>
          </reference>
          <reference field="3" count="1">
            <x v="7318"/>
          </reference>
          <reference field="5" count="1" selected="0">
            <x v="49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174">
      <pivotArea dataOnly="0" labelOnly="1" outline="0" fieldPosition="0">
        <references count="9">
          <reference field="0" count="1" selected="0">
            <x v="11"/>
          </reference>
          <reference field="3" count="1">
            <x v="7324"/>
          </reference>
          <reference field="5" count="1" selected="0">
            <x v="52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173">
      <pivotArea dataOnly="0" labelOnly="1" outline="0" fieldPosition="0">
        <references count="9">
          <reference field="0" count="1" selected="0">
            <x v="11"/>
          </reference>
          <reference field="3" count="1">
            <x v="7409"/>
          </reference>
          <reference field="5" count="1" selected="0">
            <x v="70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17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4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7171">
      <pivotArea dataOnly="0" labelOnly="1" outline="0" fieldPosition="0">
        <references count="9">
          <reference field="0" count="1" selected="0">
            <x v="12"/>
          </reference>
          <reference field="3" count="1">
            <x v="7439"/>
          </reference>
          <reference field="5" count="1" selected="0">
            <x v="748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17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16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7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1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7167">
      <pivotArea dataOnly="0" labelOnly="1" outline="0" fieldPosition="0">
        <references count="9">
          <reference field="0" count="1" selected="0">
            <x v="14"/>
          </reference>
          <reference field="3" count="1">
            <x v="7332"/>
          </reference>
          <reference field="5" count="1" selected="0">
            <x v="74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7166">
      <pivotArea dataOnly="0" labelOnly="1" outline="0" fieldPosition="0">
        <references count="9">
          <reference field="0" count="1" selected="0">
            <x v="14"/>
          </reference>
          <reference field="3" count="1">
            <x v="3823"/>
          </reference>
          <reference field="5" count="1" selected="0">
            <x v="748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1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0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16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4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163">
      <pivotArea dataOnly="0" labelOnly="1" outline="0" fieldPosition="0">
        <references count="9">
          <reference field="0" count="1" selected="0">
            <x v="14"/>
          </reference>
          <reference field="3" count="1">
            <x v="2923"/>
          </reference>
          <reference field="5" count="1" selected="0">
            <x v="74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162">
      <pivotArea dataOnly="0" labelOnly="1" outline="0" fieldPosition="0">
        <references count="9">
          <reference field="0" count="1" selected="0">
            <x v="14"/>
          </reference>
          <reference field="3" count="1">
            <x v="7438"/>
          </reference>
          <reference field="5" count="1" selected="0">
            <x v="354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161">
      <pivotArea dataOnly="0" labelOnly="1" outline="0" fieldPosition="0">
        <references count="9">
          <reference field="0" count="1" selected="0">
            <x v="14"/>
          </reference>
          <reference field="3" count="1">
            <x v="7312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716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6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159">
      <pivotArea dataOnly="0" labelOnly="1" outline="0" fieldPosition="0">
        <references count="9">
          <reference field="0" count="1" selected="0">
            <x v="15"/>
          </reference>
          <reference field="3" count="1">
            <x v="7424"/>
          </reference>
          <reference field="5" count="1" selected="0">
            <x v="74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158">
      <pivotArea dataOnly="0" labelOnly="1" outline="0" fieldPosition="0">
        <references count="9">
          <reference field="0" count="1" selected="0">
            <x v="15"/>
          </reference>
          <reference field="3" count="1">
            <x v="7437"/>
          </reference>
          <reference field="5" count="1" selected="0">
            <x v="748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1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48"/>
          </reference>
          <reference field="5" count="1" selected="0">
            <x v="74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71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71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71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3"/>
          </reference>
          <reference field="5" count="1" selected="0">
            <x v="21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71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47"/>
          </reference>
          <reference field="5" count="1" selected="0">
            <x v="74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1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1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49"/>
          </reference>
          <reference field="5" count="1" selected="0">
            <x v="74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71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48"/>
          </reference>
          <reference field="5" count="1" selected="0">
            <x v="74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71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46"/>
          </reference>
          <reference field="5" count="1" selected="0">
            <x v="74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1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923"/>
          </reference>
          <reference field="5" count="1" selected="0">
            <x v="74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14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327"/>
          </reference>
          <reference field="5" count="1" selected="0">
            <x v="73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714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714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39"/>
          </reference>
          <reference field="5" count="1" selected="0">
            <x v="74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14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14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1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71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2"/>
          </reference>
          <reference field="5" count="1" selected="0">
            <x v="74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71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823"/>
          </reference>
          <reference field="5" count="1" selected="0">
            <x v="74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1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1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1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23"/>
          </reference>
          <reference field="5" count="1" selected="0">
            <x v="74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1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8"/>
          </reference>
          <reference field="5" count="1" selected="0">
            <x v="35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1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2"/>
          </reference>
          <reference field="5" count="1" selected="0">
            <x v="6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71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1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24"/>
          </reference>
          <reference field="5" count="1" selected="0">
            <x v="74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132">
      <pivotArea dataOnly="0" labelOnly="1" outline="0" fieldPosition="0">
        <references count="11">
          <reference field="0" count="1" selected="0">
            <x v="7"/>
          </reference>
          <reference field="1" count="1">
            <x v="7207"/>
          </reference>
          <reference field="3" count="1" selected="0">
            <x v="7448"/>
          </reference>
          <reference field="5" count="1" selected="0">
            <x v="749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7131">
      <pivotArea dataOnly="0" labelOnly="1" outline="0" fieldPosition="0">
        <references count="11">
          <reference field="0" count="1" selected="0">
            <x v="7"/>
          </reference>
          <reference field="1" count="1">
            <x v="7205"/>
          </reference>
          <reference field="3" count="1" selected="0">
            <x v="7449"/>
          </reference>
          <reference field="5" count="1" selected="0">
            <x v="74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7130">
      <pivotArea dataOnly="0" labelOnly="1" outline="0" fieldPosition="0">
        <references count="11">
          <reference field="0" count="1" selected="0">
            <x v="7"/>
          </reference>
          <reference field="1" count="1">
            <x v="7204"/>
          </reference>
          <reference field="3" count="1" selected="0">
            <x v="7446"/>
          </reference>
          <reference field="5" count="1" selected="0">
            <x v="74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129">
      <pivotArea dataOnly="0" labelOnly="1" outline="0" fieldPosition="0">
        <references count="11">
          <reference field="0" count="1" selected="0">
            <x v="11"/>
          </reference>
          <reference field="1" count="1">
            <x v="7072"/>
          </reference>
          <reference field="3" count="1" selected="0">
            <x v="7324"/>
          </reference>
          <reference field="5" count="1" selected="0">
            <x v="52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128">
      <pivotArea dataOnly="0" labelOnly="1" outline="0" fieldPosition="0">
        <references count="11">
          <reference field="0" count="1" selected="0">
            <x v="12"/>
          </reference>
          <reference field="1" count="1">
            <x v="7202"/>
          </reference>
          <reference field="3" count="1" selected="0">
            <x v="7439"/>
          </reference>
          <reference field="5" count="1" selected="0">
            <x v="74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7127">
      <pivotArea dataOnly="0" labelOnly="1" outline="0" fieldPosition="0">
        <references count="11">
          <reference field="0" count="1" selected="0">
            <x v="14"/>
          </reference>
          <reference field="1" count="1">
            <x v="7090"/>
          </reference>
          <reference field="3" count="1" selected="0">
            <x v="0"/>
          </reference>
          <reference field="5" count="1" selected="0">
            <x v="61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126">
      <pivotArea dataOnly="0" labelOnly="1" outline="0" fieldPosition="0">
        <references count="11">
          <reference field="0" count="1" selected="0">
            <x v="15"/>
          </reference>
          <reference field="1" count="1">
            <x v="7181"/>
          </reference>
          <reference field="3" count="1" selected="0">
            <x v="7424"/>
          </reference>
          <reference field="5" count="1" selected="0">
            <x v="747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125">
      <pivotArea dataOnly="0" labelOnly="1" outline="0" fieldPosition="0">
        <references count="11">
          <reference field="0" count="1" selected="0">
            <x v="15"/>
          </reference>
          <reference field="1" count="1">
            <x v="7199"/>
          </reference>
          <reference field="3" count="1" selected="0">
            <x v="7437"/>
          </reference>
          <reference field="5" count="1" selected="0">
            <x v="748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124">
      <pivotArea dataOnly="0" labelOnly="1" outline="0" fieldPosition="0">
        <references count="11">
          <reference field="0" count="1" selected="0">
            <x v="15"/>
          </reference>
          <reference field="1" count="1">
            <x v="7060"/>
          </reference>
          <reference field="3" count="1" selected="0">
            <x v="0"/>
          </reference>
          <reference field="5" count="1" selected="0">
            <x v="2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7123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27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7122">
      <pivotArea field="13" type="button" dataOnly="0" labelOnly="1" outline="0" axis="axisRow" fieldPosition="0"/>
    </format>
    <format dxfId="17121">
      <pivotArea field="0" type="button" dataOnly="0" labelOnly="1" outline="0" axis="axisRow" fieldPosition="1"/>
    </format>
    <format dxfId="17120">
      <pivotArea field="12" type="button" dataOnly="0" labelOnly="1" outline="0" axis="axisRow" fieldPosition="2"/>
    </format>
    <format dxfId="17119">
      <pivotArea field="10" type="button" dataOnly="0" labelOnly="1" outline="0" axis="axisRow" fieldPosition="3"/>
    </format>
    <format dxfId="17118">
      <pivotArea field="16" type="button" dataOnly="0" labelOnly="1" outline="0" axis="axisRow" fieldPosition="4"/>
    </format>
    <format dxfId="17117">
      <pivotArea field="18" type="button" dataOnly="0" labelOnly="1" outline="0" axis="axisRow" fieldPosition="5"/>
    </format>
    <format dxfId="17116">
      <pivotArea field="5" type="button" dataOnly="0" labelOnly="1" outline="0" axis="axisRow" fieldPosition="6"/>
    </format>
    <format dxfId="17115">
      <pivotArea field="9" type="button" dataOnly="0" labelOnly="1" outline="0" axis="axisRow" fieldPosition="7"/>
    </format>
    <format dxfId="17114">
      <pivotArea field="3" type="button" dataOnly="0" labelOnly="1" outline="0" axis="axisRow" fieldPosition="8"/>
    </format>
    <format dxfId="17113">
      <pivotArea field="7" type="button" dataOnly="0" labelOnly="1" outline="0" axis="axisRow" fieldPosition="9"/>
    </format>
    <format dxfId="17112">
      <pivotArea field="1" type="button" dataOnly="0" labelOnly="1" outline="0" axis="axisRow" fieldPosition="10"/>
    </format>
    <format dxfId="17111">
      <pivotArea dataOnly="0" labelOnly="1" outline="0" fieldPosition="0">
        <references count="1">
          <reference field="13" count="0"/>
        </references>
      </pivotArea>
    </format>
    <format dxfId="17110">
      <pivotArea dataOnly="0" labelOnly="1" outline="0" fieldPosition="0">
        <references count="2">
          <reference field="0" count="3">
            <x v="7"/>
            <x v="13"/>
            <x v="14"/>
          </reference>
          <reference field="13" count="1" selected="0">
            <x v="0"/>
          </reference>
        </references>
      </pivotArea>
    </format>
    <format dxfId="17109">
      <pivotArea dataOnly="0" labelOnly="1" outline="0" fieldPosition="0">
        <references count="2">
          <reference field="0" count="0"/>
          <reference field="13" count="1" selected="0">
            <x v="2"/>
          </reference>
        </references>
      </pivotArea>
    </format>
    <format dxfId="1710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710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710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710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7104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710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7102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7101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7100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7099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709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09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09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09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094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7093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709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09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0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08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0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708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708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0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0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0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0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0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0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0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0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0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70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0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707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707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07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07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07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06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06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06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0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0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06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0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70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0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0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70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70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705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05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0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705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70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7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70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0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70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0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70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70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70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70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70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70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70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70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703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703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703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03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703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03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7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7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7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70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70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70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70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70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70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702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0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70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70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70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70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70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70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7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7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70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70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70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70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70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70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70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70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70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70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70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70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99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699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699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699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699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69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69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69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69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6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6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6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6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6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6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6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6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6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6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6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69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69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6975">
      <pivotArea dataOnly="0" labelOnly="1" outline="0" fieldPosition="0">
        <references count="7">
          <reference field="0" count="1" selected="0">
            <x v="7"/>
          </reference>
          <reference field="5" count="1">
            <x v="749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6974">
      <pivotArea dataOnly="0" labelOnly="1" outline="0" fieldPosition="0">
        <references count="7">
          <reference field="0" count="1" selected="0">
            <x v="13"/>
          </reference>
          <reference field="5" count="1">
            <x v="4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6973">
      <pivotArea dataOnly="0" labelOnly="1" outline="0" fieldPosition="0">
        <references count="7">
          <reference field="0" count="1" selected="0">
            <x v="13"/>
          </reference>
          <reference field="5" count="1">
            <x v="259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6972">
      <pivotArea dataOnly="0" labelOnly="1" outline="0" fieldPosition="0">
        <references count="7">
          <reference field="0" count="1" selected="0">
            <x v="13"/>
          </reference>
          <reference field="5" count="1">
            <x v="74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6971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6970">
      <pivotArea dataOnly="0" labelOnly="1" outline="0" fieldPosition="0">
        <references count="7">
          <reference field="0" count="1" selected="0">
            <x v="14"/>
          </reference>
          <reference field="5" count="1">
            <x v="594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6969">
      <pivotArea dataOnly="0" labelOnly="1" outline="0" fieldPosition="0">
        <references count="7">
          <reference field="0" count="1" selected="0">
            <x v="7"/>
          </reference>
          <reference field="5" count="1">
            <x v="213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968">
      <pivotArea dataOnly="0" labelOnly="1" outline="0" fieldPosition="0">
        <references count="7">
          <reference field="0" count="1" selected="0">
            <x v="7"/>
          </reference>
          <reference field="5" count="1">
            <x v="749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967">
      <pivotArea dataOnly="0" labelOnly="1" outline="0" fieldPosition="0">
        <references count="7">
          <reference field="0" count="1" selected="0">
            <x v="7"/>
          </reference>
          <reference field="5" count="1">
            <x v="748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966">
      <pivotArea dataOnly="0" labelOnly="1" outline="0" fieldPosition="0">
        <references count="7">
          <reference field="0" count="1" selected="0">
            <x v="7"/>
          </reference>
          <reference field="5" count="1">
            <x v="749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965">
      <pivotArea dataOnly="0" labelOnly="1" outline="0" fieldPosition="0">
        <references count="7">
          <reference field="0" count="1" selected="0">
            <x v="7"/>
          </reference>
          <reference field="5" count="1">
            <x v="749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964">
      <pivotArea dataOnly="0" labelOnly="1" outline="0" fieldPosition="0">
        <references count="7">
          <reference field="0" count="1" selected="0">
            <x v="7"/>
          </reference>
          <reference field="5" count="1">
            <x v="7492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963">
      <pivotArea dataOnly="0" labelOnly="1" outline="0" fieldPosition="0">
        <references count="7">
          <reference field="0" count="1" selected="0">
            <x v="7"/>
          </reference>
          <reference field="5" count="1">
            <x v="749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962">
      <pivotArea dataOnly="0" labelOnly="1" outline="0" fieldPosition="0">
        <references count="7">
          <reference field="0" count="1" selected="0">
            <x v="7"/>
          </reference>
          <reference field="5" count="1">
            <x v="748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961">
      <pivotArea dataOnly="0" labelOnly="1" outline="0" fieldPosition="0">
        <references count="7">
          <reference field="0" count="1" selected="0">
            <x v="7"/>
          </reference>
          <reference field="5" count="1">
            <x v="7494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960">
      <pivotArea dataOnly="0" labelOnly="1" outline="0" fieldPosition="0">
        <references count="7">
          <reference field="0" count="1" selected="0">
            <x v="11"/>
          </reference>
          <reference field="5" count="1">
            <x v="734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959">
      <pivotArea dataOnly="0" labelOnly="1" outline="0" fieldPosition="0">
        <references count="7">
          <reference field="0" count="1" selected="0">
            <x v="11"/>
          </reference>
          <reference field="5" count="1">
            <x v="495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958">
      <pivotArea dataOnly="0" labelOnly="1" outline="0" fieldPosition="0">
        <references count="7">
          <reference field="0" count="1" selected="0">
            <x v="11"/>
          </reference>
          <reference field="5" count="1">
            <x v="619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6957">
      <pivotArea dataOnly="0" labelOnly="1" outline="0" fieldPosition="0">
        <references count="7">
          <reference field="0" count="1" selected="0">
            <x v="11"/>
          </reference>
          <reference field="5" count="2">
            <x v="5280"/>
            <x v="709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956">
      <pivotArea dataOnly="0" labelOnly="1" outline="0" fieldPosition="0">
        <references count="7">
          <reference field="0" count="1" selected="0">
            <x v="11"/>
          </reference>
          <reference field="5" count="1">
            <x v="718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955">
      <pivotArea dataOnly="0" labelOnly="1" outline="0" fieldPosition="0">
        <references count="7">
          <reference field="0" count="1" selected="0">
            <x v="12"/>
          </reference>
          <reference field="5" count="1">
            <x v="594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6954">
      <pivotArea dataOnly="0" labelOnly="1" outline="0" fieldPosition="0">
        <references count="7">
          <reference field="0" count="1" selected="0">
            <x v="12"/>
          </reference>
          <reference field="5" count="1">
            <x v="74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953">
      <pivotArea dataOnly="0" labelOnly="1" outline="0" fieldPosition="0">
        <references count="7">
          <reference field="0" count="1" selected="0">
            <x v="12"/>
          </reference>
          <reference field="5" count="1">
            <x v="748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952">
      <pivotArea dataOnly="0" labelOnly="1" outline="0" fieldPosition="0">
        <references count="7">
          <reference field="0" count="1" selected="0">
            <x v="12"/>
          </reference>
          <reference field="5" count="1">
            <x v="748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6951">
      <pivotArea dataOnly="0" labelOnly="1" outline="0" fieldPosition="0">
        <references count="7">
          <reference field="0" count="1" selected="0">
            <x v="13"/>
          </reference>
          <reference field="5" count="1">
            <x v="74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950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949">
      <pivotArea dataOnly="0" labelOnly="1" outline="0" fieldPosition="0">
        <references count="7">
          <reference field="0" count="1" selected="0">
            <x v="13"/>
          </reference>
          <reference field="5" count="1"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948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6947">
      <pivotArea dataOnly="0" labelOnly="1" outline="0" fieldPosition="0">
        <references count="7">
          <reference field="0" count="1" selected="0">
            <x v="14"/>
          </reference>
          <reference field="5" count="1">
            <x v="748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6946">
      <pivotArea dataOnly="0" labelOnly="1" outline="0" fieldPosition="0">
        <references count="7">
          <reference field="0" count="1" selected="0">
            <x v="14"/>
          </reference>
          <reference field="5" count="1">
            <x v="748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945">
      <pivotArea dataOnly="0" labelOnly="1" outline="0" fieldPosition="0">
        <references count="7">
          <reference field="0" count="1" selected="0">
            <x v="14"/>
          </reference>
          <reference field="5" count="1">
            <x v="740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944">
      <pivotArea dataOnly="0" labelOnly="1" outline="0" fieldPosition="0">
        <references count="7">
          <reference field="0" count="1" selected="0">
            <x v="14"/>
          </reference>
          <reference field="5" count="1">
            <x v="614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943">
      <pivotArea dataOnly="0" labelOnly="1" outline="0" fieldPosition="0">
        <references count="7">
          <reference field="0" count="1" selected="0">
            <x v="14"/>
          </reference>
          <reference field="5" count="1">
            <x v="7482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942">
      <pivotArea dataOnly="0" labelOnly="1" outline="0" fieldPosition="0">
        <references count="7">
          <reference field="0" count="1" selected="0">
            <x v="14"/>
          </reference>
          <reference field="5" count="1">
            <x v="3546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941">
      <pivotArea dataOnly="0" labelOnly="1" outline="0" fieldPosition="0">
        <references count="7">
          <reference field="0" count="1" selected="0">
            <x v="14"/>
          </reference>
          <reference field="5" count="1">
            <x v="656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6940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6939">
      <pivotArea dataOnly="0" labelOnly="1" outline="0" fieldPosition="0">
        <references count="7">
          <reference field="0" count="1" selected="0">
            <x v="15"/>
          </reference>
          <reference field="5" count="2">
            <x v="7464"/>
            <x v="74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938">
      <pivotArea dataOnly="0" labelOnly="1" outline="0" fieldPosition="0">
        <references count="7">
          <reference field="0" count="1" selected="0">
            <x v="15"/>
          </reference>
          <reference field="5" count="1">
            <x v="748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937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6936">
      <pivotArea dataOnly="0" labelOnly="1" outline="0" fieldPosition="0">
        <references count="7">
          <reference field="0" count="1" selected="0">
            <x v="15"/>
          </reference>
          <reference field="5" count="1">
            <x v="745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9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69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69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69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9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9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9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9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9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9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92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3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92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4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69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92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9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69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69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9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9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9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69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6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9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6913">
      <pivotArea dataOnly="0" labelOnly="1" outline="0" fieldPosition="0">
        <references count="9">
          <reference field="0" count="1" selected="0">
            <x v="7"/>
          </reference>
          <reference field="3" count="1">
            <x v="7448"/>
          </reference>
          <reference field="5" count="1" selected="0">
            <x v="74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69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6911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6910">
      <pivotArea dataOnly="0" labelOnly="1" outline="0" fieldPosition="0">
        <references count="9">
          <reference field="0" count="1" selected="0">
            <x v="7"/>
          </reference>
          <reference field="3" count="1">
            <x v="7333"/>
          </reference>
          <reference field="5" count="1" selected="0">
            <x v="21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909">
      <pivotArea dataOnly="0" labelOnly="1" outline="0" fieldPosition="0">
        <references count="9">
          <reference field="0" count="1" selected="0">
            <x v="7"/>
          </reference>
          <reference field="3" count="1">
            <x v="7447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908">
      <pivotArea dataOnly="0" labelOnly="1" outline="0" fieldPosition="0">
        <references count="9">
          <reference field="0" count="1" selected="0">
            <x v="7"/>
          </reference>
          <reference field="3" count="1">
            <x v="7441"/>
          </reference>
          <reference field="5" count="1" selected="0">
            <x v="74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90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906">
      <pivotArea dataOnly="0" labelOnly="1" outline="0" fieldPosition="0">
        <references count="9">
          <reference field="0" count="1" selected="0">
            <x v="7"/>
          </reference>
          <reference field="3" count="1">
            <x v="7449"/>
          </reference>
          <reference field="5" count="1" selected="0">
            <x v="74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905">
      <pivotArea dataOnly="0" labelOnly="1" outline="0" fieldPosition="0">
        <references count="9">
          <reference field="0" count="1" selected="0">
            <x v="7"/>
          </reference>
          <reference field="3" count="1">
            <x v="7448"/>
          </reference>
          <reference field="5" count="1" selected="0">
            <x v="74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904">
      <pivotArea dataOnly="0" labelOnly="1" outline="0" fieldPosition="0">
        <references count="9">
          <reference field="0" count="1" selected="0">
            <x v="7"/>
          </reference>
          <reference field="3" count="1">
            <x v="7446"/>
          </reference>
          <reference field="5" count="1" selected="0">
            <x v="7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903">
      <pivotArea dataOnly="0" labelOnly="1" outline="0" fieldPosition="0">
        <references count="9">
          <reference field="0" count="1" selected="0">
            <x v="7"/>
          </reference>
          <reference field="3" count="1">
            <x v="7445"/>
          </reference>
          <reference field="5" count="1" selected="0">
            <x v="74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902">
      <pivotArea dataOnly="0" labelOnly="1" outline="0" fieldPosition="0">
        <references count="9">
          <reference field="0" count="1" selected="0">
            <x v="7"/>
          </reference>
          <reference field="3" count="1">
            <x v="2923"/>
          </reference>
          <reference field="5" count="1" selected="0">
            <x v="7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901">
      <pivotArea dataOnly="0" labelOnly="1" outline="0" fieldPosition="0">
        <references count="9">
          <reference field="0" count="1" selected="0">
            <x v="11"/>
          </reference>
          <reference field="3" count="1">
            <x v="7327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900">
      <pivotArea dataOnly="0" labelOnly="1" outline="0" fieldPosition="0">
        <references count="9">
          <reference field="0" count="1" selected="0">
            <x v="11"/>
          </reference>
          <reference field="3" count="1">
            <x v="7318"/>
          </reference>
          <reference field="5" count="1" selected="0">
            <x v="49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899">
      <pivotArea dataOnly="0" labelOnly="1" outline="0" fieldPosition="0">
        <references count="9">
          <reference field="0" count="1" selected="0">
            <x v="11"/>
          </reference>
          <reference field="3" count="1">
            <x v="7324"/>
          </reference>
          <reference field="5" count="1" selected="0">
            <x v="52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898">
      <pivotArea dataOnly="0" labelOnly="1" outline="0" fieldPosition="0">
        <references count="9">
          <reference field="0" count="1" selected="0">
            <x v="11"/>
          </reference>
          <reference field="3" count="1">
            <x v="7409"/>
          </reference>
          <reference field="5" count="1" selected="0">
            <x v="70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89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4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6896">
      <pivotArea dataOnly="0" labelOnly="1" outline="0" fieldPosition="0">
        <references count="9">
          <reference field="0" count="1" selected="0">
            <x v="12"/>
          </reference>
          <reference field="3" count="1">
            <x v="7439"/>
          </reference>
          <reference field="5" count="1" selected="0">
            <x v="748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89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89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7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8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6892">
      <pivotArea dataOnly="0" labelOnly="1" outline="0" fieldPosition="0">
        <references count="9">
          <reference field="0" count="1" selected="0">
            <x v="14"/>
          </reference>
          <reference field="3" count="1">
            <x v="7332"/>
          </reference>
          <reference field="5" count="1" selected="0">
            <x v="74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6891">
      <pivotArea dataOnly="0" labelOnly="1" outline="0" fieldPosition="0">
        <references count="9">
          <reference field="0" count="1" selected="0">
            <x v="14"/>
          </reference>
          <reference field="3" count="1">
            <x v="3823"/>
          </reference>
          <reference field="5" count="1" selected="0">
            <x v="748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8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0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88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4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888">
      <pivotArea dataOnly="0" labelOnly="1" outline="0" fieldPosition="0">
        <references count="9">
          <reference field="0" count="1" selected="0">
            <x v="14"/>
          </reference>
          <reference field="3" count="1">
            <x v="2923"/>
          </reference>
          <reference field="5" count="1" selected="0">
            <x v="74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887">
      <pivotArea dataOnly="0" labelOnly="1" outline="0" fieldPosition="0">
        <references count="9">
          <reference field="0" count="1" selected="0">
            <x v="14"/>
          </reference>
          <reference field="3" count="1">
            <x v="7438"/>
          </reference>
          <reference field="5" count="1" selected="0">
            <x v="354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886">
      <pivotArea dataOnly="0" labelOnly="1" outline="0" fieldPosition="0">
        <references count="9">
          <reference field="0" count="1" selected="0">
            <x v="14"/>
          </reference>
          <reference field="3" count="1">
            <x v="7312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688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6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884">
      <pivotArea dataOnly="0" labelOnly="1" outline="0" fieldPosition="0">
        <references count="9">
          <reference field="0" count="1" selected="0">
            <x v="15"/>
          </reference>
          <reference field="3" count="1">
            <x v="7424"/>
          </reference>
          <reference field="5" count="1" selected="0">
            <x v="74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883">
      <pivotArea dataOnly="0" labelOnly="1" outline="0" fieldPosition="0">
        <references count="9">
          <reference field="0" count="1" selected="0">
            <x v="15"/>
          </reference>
          <reference field="3" count="1">
            <x v="7437"/>
          </reference>
          <reference field="5" count="1" selected="0">
            <x v="748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8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48"/>
          </reference>
          <reference field="5" count="1" selected="0">
            <x v="74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68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68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68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3"/>
          </reference>
          <reference field="5" count="1" selected="0">
            <x v="21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8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47"/>
          </reference>
          <reference field="5" count="1" selected="0">
            <x v="74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8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8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49"/>
          </reference>
          <reference field="5" count="1" selected="0">
            <x v="74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8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48"/>
          </reference>
          <reference field="5" count="1" selected="0">
            <x v="74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8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46"/>
          </reference>
          <reference field="5" count="1" selected="0">
            <x v="74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8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923"/>
          </reference>
          <reference field="5" count="1" selected="0">
            <x v="74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87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327"/>
          </reference>
          <reference field="5" count="1" selected="0">
            <x v="73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87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687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39"/>
          </reference>
          <reference field="5" count="1" selected="0">
            <x v="74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8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86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8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68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2"/>
          </reference>
          <reference field="5" count="1" selected="0">
            <x v="74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68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823"/>
          </reference>
          <reference field="5" count="1" selected="0">
            <x v="74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8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8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8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23"/>
          </reference>
          <reference field="5" count="1" selected="0">
            <x v="74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8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8"/>
          </reference>
          <reference field="5" count="1" selected="0">
            <x v="35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8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2"/>
          </reference>
          <reference field="5" count="1" selected="0">
            <x v="6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68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8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24"/>
          </reference>
          <reference field="5" count="1" selected="0">
            <x v="74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857">
      <pivotArea dataOnly="0" labelOnly="1" outline="0" fieldPosition="0">
        <references count="11">
          <reference field="0" count="1" selected="0">
            <x v="7"/>
          </reference>
          <reference field="1" count="1">
            <x v="7207"/>
          </reference>
          <reference field="3" count="1" selected="0">
            <x v="7448"/>
          </reference>
          <reference field="5" count="1" selected="0">
            <x v="749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6856">
      <pivotArea dataOnly="0" labelOnly="1" outline="0" fieldPosition="0">
        <references count="11">
          <reference field="0" count="1" selected="0">
            <x v="7"/>
          </reference>
          <reference field="1" count="1">
            <x v="7205"/>
          </reference>
          <reference field="3" count="1" selected="0">
            <x v="7449"/>
          </reference>
          <reference field="5" count="1" selected="0">
            <x v="74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855">
      <pivotArea dataOnly="0" labelOnly="1" outline="0" fieldPosition="0">
        <references count="11">
          <reference field="0" count="1" selected="0">
            <x v="7"/>
          </reference>
          <reference field="1" count="1">
            <x v="7204"/>
          </reference>
          <reference field="3" count="1" selected="0">
            <x v="7446"/>
          </reference>
          <reference field="5" count="1" selected="0">
            <x v="74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854">
      <pivotArea dataOnly="0" labelOnly="1" outline="0" fieldPosition="0">
        <references count="11">
          <reference field="0" count="1" selected="0">
            <x v="11"/>
          </reference>
          <reference field="1" count="1">
            <x v="7072"/>
          </reference>
          <reference field="3" count="1" selected="0">
            <x v="7324"/>
          </reference>
          <reference field="5" count="1" selected="0">
            <x v="52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853">
      <pivotArea dataOnly="0" labelOnly="1" outline="0" fieldPosition="0">
        <references count="11">
          <reference field="0" count="1" selected="0">
            <x v="12"/>
          </reference>
          <reference field="1" count="1">
            <x v="7202"/>
          </reference>
          <reference field="3" count="1" selected="0">
            <x v="7439"/>
          </reference>
          <reference field="5" count="1" selected="0">
            <x v="74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852">
      <pivotArea dataOnly="0" labelOnly="1" outline="0" fieldPosition="0">
        <references count="11">
          <reference field="0" count="1" selected="0">
            <x v="14"/>
          </reference>
          <reference field="1" count="1">
            <x v="7090"/>
          </reference>
          <reference field="3" count="1" selected="0">
            <x v="0"/>
          </reference>
          <reference field="5" count="1" selected="0">
            <x v="61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851">
      <pivotArea dataOnly="0" labelOnly="1" outline="0" fieldPosition="0">
        <references count="11">
          <reference field="0" count="1" selected="0">
            <x v="15"/>
          </reference>
          <reference field="1" count="1">
            <x v="7181"/>
          </reference>
          <reference field="3" count="1" selected="0">
            <x v="7424"/>
          </reference>
          <reference field="5" count="1" selected="0">
            <x v="747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850">
      <pivotArea dataOnly="0" labelOnly="1" outline="0" fieldPosition="0">
        <references count="11">
          <reference field="0" count="1" selected="0">
            <x v="15"/>
          </reference>
          <reference field="1" count="1">
            <x v="7199"/>
          </reference>
          <reference field="3" count="1" selected="0">
            <x v="7437"/>
          </reference>
          <reference field="5" count="1" selected="0">
            <x v="748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849">
      <pivotArea dataOnly="0" labelOnly="1" outline="0" fieldPosition="0">
        <references count="11">
          <reference field="0" count="1" selected="0">
            <x v="15"/>
          </reference>
          <reference field="1" count="1">
            <x v="7060"/>
          </reference>
          <reference field="3" count="1" selected="0">
            <x v="0"/>
          </reference>
          <reference field="5" count="1" selected="0">
            <x v="2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6848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27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6847">
      <pivotArea outline="0" collapsedLevelsAreSubtotals="1" fieldPosition="0"/>
    </format>
    <format dxfId="16846">
      <pivotArea dataOnly="0" labelOnly="1" outline="0" axis="axisValues" fieldPosition="0"/>
    </format>
    <format dxfId="16845">
      <pivotArea dataOnly="0" outline="0" fieldPosition="0">
        <references count="1">
          <reference field="12" count="0" defaultSubtotal="1"/>
        </references>
      </pivotArea>
    </format>
    <format dxfId="16844">
      <pivotArea outline="0" collapsedLevelsAreSubtotals="1" fieldPosition="0"/>
    </format>
    <format dxfId="16843">
      <pivotArea dataOnly="0" labelOnly="1" outline="0" axis="axisValues" fieldPosition="0"/>
    </format>
    <format dxfId="16842">
      <pivotArea outline="0" collapsedLevelsAreSubtotals="1" fieldPosition="0"/>
    </format>
    <format dxfId="16841">
      <pivotArea dataOnly="0" labelOnly="1" outline="0" axis="axisValues" fieldPosition="0"/>
    </format>
    <format dxfId="16840">
      <pivotArea dataOnly="0" labelOnly="1" outline="0" axis="axisValues" fieldPosition="0"/>
    </format>
    <format dxfId="16839">
      <pivotArea outline="0" collapsedLevelsAreSubtotals="1" fieldPosition="0"/>
    </format>
    <format dxfId="16838">
      <pivotArea field="12" type="button" dataOnly="0" labelOnly="1" outline="0" axis="axisRow" fieldPosition="2"/>
    </format>
    <format dxfId="16837">
      <pivotArea field="10" type="button" dataOnly="0" labelOnly="1" outline="0" axis="axisRow" fieldPosition="3"/>
    </format>
    <format dxfId="16836">
      <pivotArea field="16" type="button" dataOnly="0" labelOnly="1" outline="0" axis="axisRow" fieldPosition="4"/>
    </format>
    <format dxfId="16835">
      <pivotArea field="18" type="button" dataOnly="0" labelOnly="1" outline="0" axis="axisRow" fieldPosition="5"/>
    </format>
    <format dxfId="16834">
      <pivotArea field="5" type="button" dataOnly="0" labelOnly="1" outline="0" axis="axisRow" fieldPosition="6"/>
    </format>
    <format dxfId="16833">
      <pivotArea field="9" type="button" dataOnly="0" labelOnly="1" outline="0" axis="axisRow" fieldPosition="7"/>
    </format>
    <format dxfId="16832">
      <pivotArea field="3" type="button" dataOnly="0" labelOnly="1" outline="0" axis="axisRow" fieldPosition="8"/>
    </format>
    <format dxfId="16831">
      <pivotArea field="7" type="button" dataOnly="0" labelOnly="1" outline="0" axis="axisRow" fieldPosition="9"/>
    </format>
    <format dxfId="16830">
      <pivotArea field="1" type="button" dataOnly="0" labelOnly="1" outline="0" axis="axisRow" fieldPosition="10"/>
    </format>
    <format dxfId="16829">
      <pivotArea dataOnly="0" labelOnly="1" outline="0" axis="axisValues" fieldPosition="0"/>
    </format>
    <format dxfId="1682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82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82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82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824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682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6822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6821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6820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6819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681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81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81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81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814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6813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681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81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8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80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8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680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680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8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8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8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8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8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8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7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7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7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7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7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679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679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79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79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79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78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78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78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7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78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78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7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7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7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7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67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677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77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77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7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677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6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6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67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7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67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7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67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67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67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67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67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67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67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67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675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675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675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75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675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75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7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7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67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67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67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6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6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67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67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6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67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674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7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67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67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67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67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67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67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6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6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67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67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67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7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67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7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67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67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67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67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67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7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71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671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671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671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671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67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67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67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67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67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67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67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67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6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6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6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6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6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6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6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66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66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6695">
      <pivotArea dataOnly="0" labelOnly="1" outline="0" fieldPosition="0">
        <references count="7">
          <reference field="0" count="1" selected="0">
            <x v="7"/>
          </reference>
          <reference field="5" count="1">
            <x v="749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6694">
      <pivotArea dataOnly="0" labelOnly="1" outline="0" fieldPosition="0">
        <references count="7">
          <reference field="0" count="1" selected="0">
            <x v="13"/>
          </reference>
          <reference field="5" count="1">
            <x v="4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6693">
      <pivotArea dataOnly="0" labelOnly="1" outline="0" fieldPosition="0">
        <references count="7">
          <reference field="0" count="1" selected="0">
            <x v="13"/>
          </reference>
          <reference field="5" count="1">
            <x v="259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6692">
      <pivotArea dataOnly="0" labelOnly="1" outline="0" fieldPosition="0">
        <references count="7">
          <reference field="0" count="1" selected="0">
            <x v="13"/>
          </reference>
          <reference field="5" count="1">
            <x v="74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6691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6690">
      <pivotArea dataOnly="0" labelOnly="1" outline="0" fieldPosition="0">
        <references count="7">
          <reference field="0" count="1" selected="0">
            <x v="14"/>
          </reference>
          <reference field="5" count="1">
            <x v="594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6689">
      <pivotArea dataOnly="0" labelOnly="1" outline="0" fieldPosition="0">
        <references count="7">
          <reference field="0" count="1" selected="0">
            <x v="7"/>
          </reference>
          <reference field="5" count="1">
            <x v="213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688">
      <pivotArea dataOnly="0" labelOnly="1" outline="0" fieldPosition="0">
        <references count="7">
          <reference field="0" count="1" selected="0">
            <x v="7"/>
          </reference>
          <reference field="5" count="1">
            <x v="749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687">
      <pivotArea dataOnly="0" labelOnly="1" outline="0" fieldPosition="0">
        <references count="7">
          <reference field="0" count="1" selected="0">
            <x v="7"/>
          </reference>
          <reference field="5" count="1">
            <x v="748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686">
      <pivotArea dataOnly="0" labelOnly="1" outline="0" fieldPosition="0">
        <references count="7">
          <reference field="0" count="1" selected="0">
            <x v="7"/>
          </reference>
          <reference field="5" count="1">
            <x v="749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685">
      <pivotArea dataOnly="0" labelOnly="1" outline="0" fieldPosition="0">
        <references count="7">
          <reference field="0" count="1" selected="0">
            <x v="7"/>
          </reference>
          <reference field="5" count="1">
            <x v="749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684">
      <pivotArea dataOnly="0" labelOnly="1" outline="0" fieldPosition="0">
        <references count="7">
          <reference field="0" count="1" selected="0">
            <x v="7"/>
          </reference>
          <reference field="5" count="1">
            <x v="7492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683">
      <pivotArea dataOnly="0" labelOnly="1" outline="0" fieldPosition="0">
        <references count="7">
          <reference field="0" count="1" selected="0">
            <x v="7"/>
          </reference>
          <reference field="5" count="1">
            <x v="749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682">
      <pivotArea dataOnly="0" labelOnly="1" outline="0" fieldPosition="0">
        <references count="7">
          <reference field="0" count="1" selected="0">
            <x v="7"/>
          </reference>
          <reference field="5" count="1">
            <x v="748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681">
      <pivotArea dataOnly="0" labelOnly="1" outline="0" fieldPosition="0">
        <references count="7">
          <reference field="0" count="1" selected="0">
            <x v="7"/>
          </reference>
          <reference field="5" count="1">
            <x v="7494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680">
      <pivotArea dataOnly="0" labelOnly="1" outline="0" fieldPosition="0">
        <references count="7">
          <reference field="0" count="1" selected="0">
            <x v="11"/>
          </reference>
          <reference field="5" count="1">
            <x v="734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679">
      <pivotArea dataOnly="0" labelOnly="1" outline="0" fieldPosition="0">
        <references count="7">
          <reference field="0" count="1" selected="0">
            <x v="11"/>
          </reference>
          <reference field="5" count="1">
            <x v="495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678">
      <pivotArea dataOnly="0" labelOnly="1" outline="0" fieldPosition="0">
        <references count="7">
          <reference field="0" count="1" selected="0">
            <x v="11"/>
          </reference>
          <reference field="5" count="1">
            <x v="619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6677">
      <pivotArea dataOnly="0" labelOnly="1" outline="0" fieldPosition="0">
        <references count="7">
          <reference field="0" count="1" selected="0">
            <x v="11"/>
          </reference>
          <reference field="5" count="2">
            <x v="5280"/>
            <x v="709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676">
      <pivotArea dataOnly="0" labelOnly="1" outline="0" fieldPosition="0">
        <references count="7">
          <reference field="0" count="1" selected="0">
            <x v="11"/>
          </reference>
          <reference field="5" count="1">
            <x v="718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675">
      <pivotArea dataOnly="0" labelOnly="1" outline="0" fieldPosition="0">
        <references count="7">
          <reference field="0" count="1" selected="0">
            <x v="12"/>
          </reference>
          <reference field="5" count="1">
            <x v="594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6674">
      <pivotArea dataOnly="0" labelOnly="1" outline="0" fieldPosition="0">
        <references count="7">
          <reference field="0" count="1" selected="0">
            <x v="12"/>
          </reference>
          <reference field="5" count="1">
            <x v="74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673">
      <pivotArea dataOnly="0" labelOnly="1" outline="0" fieldPosition="0">
        <references count="7">
          <reference field="0" count="1" selected="0">
            <x v="12"/>
          </reference>
          <reference field="5" count="1">
            <x v="748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672">
      <pivotArea dataOnly="0" labelOnly="1" outline="0" fieldPosition="0">
        <references count="7">
          <reference field="0" count="1" selected="0">
            <x v="12"/>
          </reference>
          <reference field="5" count="1">
            <x v="748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6671">
      <pivotArea dataOnly="0" labelOnly="1" outline="0" fieldPosition="0">
        <references count="7">
          <reference field="0" count="1" selected="0">
            <x v="13"/>
          </reference>
          <reference field="5" count="1">
            <x v="74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670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669">
      <pivotArea dataOnly="0" labelOnly="1" outline="0" fieldPosition="0">
        <references count="7">
          <reference field="0" count="1" selected="0">
            <x v="13"/>
          </reference>
          <reference field="5" count="1"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668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6667">
      <pivotArea dataOnly="0" labelOnly="1" outline="0" fieldPosition="0">
        <references count="7">
          <reference field="0" count="1" selected="0">
            <x v="14"/>
          </reference>
          <reference field="5" count="1">
            <x v="748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6666">
      <pivotArea dataOnly="0" labelOnly="1" outline="0" fieldPosition="0">
        <references count="7">
          <reference field="0" count="1" selected="0">
            <x v="14"/>
          </reference>
          <reference field="5" count="1">
            <x v="748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665">
      <pivotArea dataOnly="0" labelOnly="1" outline="0" fieldPosition="0">
        <references count="7">
          <reference field="0" count="1" selected="0">
            <x v="14"/>
          </reference>
          <reference field="5" count="1">
            <x v="740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664">
      <pivotArea dataOnly="0" labelOnly="1" outline="0" fieldPosition="0">
        <references count="7">
          <reference field="0" count="1" selected="0">
            <x v="14"/>
          </reference>
          <reference field="5" count="1">
            <x v="614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663">
      <pivotArea dataOnly="0" labelOnly="1" outline="0" fieldPosition="0">
        <references count="7">
          <reference field="0" count="1" selected="0">
            <x v="14"/>
          </reference>
          <reference field="5" count="1">
            <x v="7482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662">
      <pivotArea dataOnly="0" labelOnly="1" outline="0" fieldPosition="0">
        <references count="7">
          <reference field="0" count="1" selected="0">
            <x v="14"/>
          </reference>
          <reference field="5" count="1">
            <x v="3546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661">
      <pivotArea dataOnly="0" labelOnly="1" outline="0" fieldPosition="0">
        <references count="7">
          <reference field="0" count="1" selected="0">
            <x v="14"/>
          </reference>
          <reference field="5" count="1">
            <x v="656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6660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6659">
      <pivotArea dataOnly="0" labelOnly="1" outline="0" fieldPosition="0">
        <references count="7">
          <reference field="0" count="1" selected="0">
            <x v="15"/>
          </reference>
          <reference field="5" count="2">
            <x v="7464"/>
            <x v="74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658">
      <pivotArea dataOnly="0" labelOnly="1" outline="0" fieldPosition="0">
        <references count="7">
          <reference field="0" count="1" selected="0">
            <x v="15"/>
          </reference>
          <reference field="5" count="1">
            <x v="748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657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6656">
      <pivotArea dataOnly="0" labelOnly="1" outline="0" fieldPosition="0">
        <references count="7">
          <reference field="0" count="1" selected="0">
            <x v="15"/>
          </reference>
          <reference field="5" count="1">
            <x v="745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6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66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66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66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6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6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6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6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6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6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64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3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64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4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66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6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6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66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66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6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6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6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66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6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6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6633">
      <pivotArea dataOnly="0" labelOnly="1" outline="0" fieldPosition="0">
        <references count="9">
          <reference field="0" count="1" selected="0">
            <x v="7"/>
          </reference>
          <reference field="3" count="1">
            <x v="7448"/>
          </reference>
          <reference field="5" count="1" selected="0">
            <x v="74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66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6631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6630">
      <pivotArea dataOnly="0" labelOnly="1" outline="0" fieldPosition="0">
        <references count="9">
          <reference field="0" count="1" selected="0">
            <x v="7"/>
          </reference>
          <reference field="3" count="1">
            <x v="7333"/>
          </reference>
          <reference field="5" count="1" selected="0">
            <x v="21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629">
      <pivotArea dataOnly="0" labelOnly="1" outline="0" fieldPosition="0">
        <references count="9">
          <reference field="0" count="1" selected="0">
            <x v="7"/>
          </reference>
          <reference field="3" count="1">
            <x v="7447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628">
      <pivotArea dataOnly="0" labelOnly="1" outline="0" fieldPosition="0">
        <references count="9">
          <reference field="0" count="1" selected="0">
            <x v="7"/>
          </reference>
          <reference field="3" count="1">
            <x v="7441"/>
          </reference>
          <reference field="5" count="1" selected="0">
            <x v="74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62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626">
      <pivotArea dataOnly="0" labelOnly="1" outline="0" fieldPosition="0">
        <references count="9">
          <reference field="0" count="1" selected="0">
            <x v="7"/>
          </reference>
          <reference field="3" count="1">
            <x v="7449"/>
          </reference>
          <reference field="5" count="1" selected="0">
            <x v="74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625">
      <pivotArea dataOnly="0" labelOnly="1" outline="0" fieldPosition="0">
        <references count="9">
          <reference field="0" count="1" selected="0">
            <x v="7"/>
          </reference>
          <reference field="3" count="1">
            <x v="7448"/>
          </reference>
          <reference field="5" count="1" selected="0">
            <x v="74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624">
      <pivotArea dataOnly="0" labelOnly="1" outline="0" fieldPosition="0">
        <references count="9">
          <reference field="0" count="1" selected="0">
            <x v="7"/>
          </reference>
          <reference field="3" count="1">
            <x v="7446"/>
          </reference>
          <reference field="5" count="1" selected="0">
            <x v="7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623">
      <pivotArea dataOnly="0" labelOnly="1" outline="0" fieldPosition="0">
        <references count="9">
          <reference field="0" count="1" selected="0">
            <x v="7"/>
          </reference>
          <reference field="3" count="1">
            <x v="7445"/>
          </reference>
          <reference field="5" count="1" selected="0">
            <x v="74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622">
      <pivotArea dataOnly="0" labelOnly="1" outline="0" fieldPosition="0">
        <references count="9">
          <reference field="0" count="1" selected="0">
            <x v="7"/>
          </reference>
          <reference field="3" count="1">
            <x v="2923"/>
          </reference>
          <reference field="5" count="1" selected="0">
            <x v="7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621">
      <pivotArea dataOnly="0" labelOnly="1" outline="0" fieldPosition="0">
        <references count="9">
          <reference field="0" count="1" selected="0">
            <x v="11"/>
          </reference>
          <reference field="3" count="1">
            <x v="7327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620">
      <pivotArea dataOnly="0" labelOnly="1" outline="0" fieldPosition="0">
        <references count="9">
          <reference field="0" count="1" selected="0">
            <x v="11"/>
          </reference>
          <reference field="3" count="1">
            <x v="7318"/>
          </reference>
          <reference field="5" count="1" selected="0">
            <x v="49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619">
      <pivotArea dataOnly="0" labelOnly="1" outline="0" fieldPosition="0">
        <references count="9">
          <reference field="0" count="1" selected="0">
            <x v="11"/>
          </reference>
          <reference field="3" count="1">
            <x v="7324"/>
          </reference>
          <reference field="5" count="1" selected="0">
            <x v="52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618">
      <pivotArea dataOnly="0" labelOnly="1" outline="0" fieldPosition="0">
        <references count="9">
          <reference field="0" count="1" selected="0">
            <x v="11"/>
          </reference>
          <reference field="3" count="1">
            <x v="7409"/>
          </reference>
          <reference field="5" count="1" selected="0">
            <x v="70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61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4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6616">
      <pivotArea dataOnly="0" labelOnly="1" outline="0" fieldPosition="0">
        <references count="9">
          <reference field="0" count="1" selected="0">
            <x v="12"/>
          </reference>
          <reference field="3" count="1">
            <x v="7439"/>
          </reference>
          <reference field="5" count="1" selected="0">
            <x v="748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61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61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7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6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6612">
      <pivotArea dataOnly="0" labelOnly="1" outline="0" fieldPosition="0">
        <references count="9">
          <reference field="0" count="1" selected="0">
            <x v="14"/>
          </reference>
          <reference field="3" count="1">
            <x v="7332"/>
          </reference>
          <reference field="5" count="1" selected="0">
            <x v="74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6611">
      <pivotArea dataOnly="0" labelOnly="1" outline="0" fieldPosition="0">
        <references count="9">
          <reference field="0" count="1" selected="0">
            <x v="14"/>
          </reference>
          <reference field="3" count="1">
            <x v="3823"/>
          </reference>
          <reference field="5" count="1" selected="0">
            <x v="748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6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0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60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4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608">
      <pivotArea dataOnly="0" labelOnly="1" outline="0" fieldPosition="0">
        <references count="9">
          <reference field="0" count="1" selected="0">
            <x v="14"/>
          </reference>
          <reference field="3" count="1">
            <x v="2923"/>
          </reference>
          <reference field="5" count="1" selected="0">
            <x v="74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607">
      <pivotArea dataOnly="0" labelOnly="1" outline="0" fieldPosition="0">
        <references count="9">
          <reference field="0" count="1" selected="0">
            <x v="14"/>
          </reference>
          <reference field="3" count="1">
            <x v="7438"/>
          </reference>
          <reference field="5" count="1" selected="0">
            <x v="354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606">
      <pivotArea dataOnly="0" labelOnly="1" outline="0" fieldPosition="0">
        <references count="9">
          <reference field="0" count="1" selected="0">
            <x v="14"/>
          </reference>
          <reference field="3" count="1">
            <x v="7312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660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6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604">
      <pivotArea dataOnly="0" labelOnly="1" outline="0" fieldPosition="0">
        <references count="9">
          <reference field="0" count="1" selected="0">
            <x v="15"/>
          </reference>
          <reference field="3" count="1">
            <x v="7424"/>
          </reference>
          <reference field="5" count="1" selected="0">
            <x v="74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603">
      <pivotArea dataOnly="0" labelOnly="1" outline="0" fieldPosition="0">
        <references count="9">
          <reference field="0" count="1" selected="0">
            <x v="15"/>
          </reference>
          <reference field="3" count="1">
            <x v="7437"/>
          </reference>
          <reference field="5" count="1" selected="0">
            <x v="748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6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48"/>
          </reference>
          <reference field="5" count="1" selected="0">
            <x v="74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66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66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65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3"/>
          </reference>
          <reference field="5" count="1" selected="0">
            <x v="21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5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47"/>
          </reference>
          <reference field="5" count="1" selected="0">
            <x v="74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5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5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49"/>
          </reference>
          <reference field="5" count="1" selected="0">
            <x v="74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5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48"/>
          </reference>
          <reference field="5" count="1" selected="0">
            <x v="74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5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46"/>
          </reference>
          <reference field="5" count="1" selected="0">
            <x v="74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5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923"/>
          </reference>
          <reference field="5" count="1" selected="0">
            <x v="74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59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327"/>
          </reference>
          <reference field="5" count="1" selected="0">
            <x v="73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59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659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39"/>
          </reference>
          <reference field="5" count="1" selected="0">
            <x v="74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5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5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5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65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2"/>
          </reference>
          <reference field="5" count="1" selected="0">
            <x v="74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65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823"/>
          </reference>
          <reference field="5" count="1" selected="0">
            <x v="74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5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5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5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23"/>
          </reference>
          <reference field="5" count="1" selected="0">
            <x v="74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5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8"/>
          </reference>
          <reference field="5" count="1" selected="0">
            <x v="35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5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2"/>
          </reference>
          <reference field="5" count="1" selected="0">
            <x v="6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65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5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24"/>
          </reference>
          <reference field="5" count="1" selected="0">
            <x v="74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577">
      <pivotArea dataOnly="0" labelOnly="1" outline="0" fieldPosition="0">
        <references count="11">
          <reference field="0" count="1" selected="0">
            <x v="7"/>
          </reference>
          <reference field="1" count="1">
            <x v="7207"/>
          </reference>
          <reference field="3" count="1" selected="0">
            <x v="7448"/>
          </reference>
          <reference field="5" count="1" selected="0">
            <x v="749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6576">
      <pivotArea dataOnly="0" labelOnly="1" outline="0" fieldPosition="0">
        <references count="11">
          <reference field="0" count="1" selected="0">
            <x v="7"/>
          </reference>
          <reference field="1" count="1">
            <x v="7205"/>
          </reference>
          <reference field="3" count="1" selected="0">
            <x v="7449"/>
          </reference>
          <reference field="5" count="1" selected="0">
            <x v="74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575">
      <pivotArea dataOnly="0" labelOnly="1" outline="0" fieldPosition="0">
        <references count="11">
          <reference field="0" count="1" selected="0">
            <x v="7"/>
          </reference>
          <reference field="1" count="1">
            <x v="7204"/>
          </reference>
          <reference field="3" count="1" selected="0">
            <x v="7446"/>
          </reference>
          <reference field="5" count="1" selected="0">
            <x v="74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574">
      <pivotArea dataOnly="0" labelOnly="1" outline="0" fieldPosition="0">
        <references count="11">
          <reference field="0" count="1" selected="0">
            <x v="11"/>
          </reference>
          <reference field="1" count="1">
            <x v="7072"/>
          </reference>
          <reference field="3" count="1" selected="0">
            <x v="7324"/>
          </reference>
          <reference field="5" count="1" selected="0">
            <x v="52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573">
      <pivotArea dataOnly="0" labelOnly="1" outline="0" fieldPosition="0">
        <references count="11">
          <reference field="0" count="1" selected="0">
            <x v="12"/>
          </reference>
          <reference field="1" count="1">
            <x v="7202"/>
          </reference>
          <reference field="3" count="1" selected="0">
            <x v="7439"/>
          </reference>
          <reference field="5" count="1" selected="0">
            <x v="74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572">
      <pivotArea dataOnly="0" labelOnly="1" outline="0" fieldPosition="0">
        <references count="11">
          <reference field="0" count="1" selected="0">
            <x v="14"/>
          </reference>
          <reference field="1" count="1">
            <x v="7090"/>
          </reference>
          <reference field="3" count="1" selected="0">
            <x v="0"/>
          </reference>
          <reference field="5" count="1" selected="0">
            <x v="61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571">
      <pivotArea dataOnly="0" labelOnly="1" outline="0" fieldPosition="0">
        <references count="11">
          <reference field="0" count="1" selected="0">
            <x v="15"/>
          </reference>
          <reference field="1" count="1">
            <x v="7181"/>
          </reference>
          <reference field="3" count="1" selected="0">
            <x v="7424"/>
          </reference>
          <reference field="5" count="1" selected="0">
            <x v="747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570">
      <pivotArea dataOnly="0" labelOnly="1" outline="0" fieldPosition="0">
        <references count="11">
          <reference field="0" count="1" selected="0">
            <x v="15"/>
          </reference>
          <reference field="1" count="1">
            <x v="7199"/>
          </reference>
          <reference field="3" count="1" selected="0">
            <x v="7437"/>
          </reference>
          <reference field="5" count="1" selected="0">
            <x v="748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569">
      <pivotArea dataOnly="0" labelOnly="1" outline="0" fieldPosition="0">
        <references count="11">
          <reference field="0" count="1" selected="0">
            <x v="15"/>
          </reference>
          <reference field="1" count="1">
            <x v="7060"/>
          </reference>
          <reference field="3" count="1" selected="0">
            <x v="0"/>
          </reference>
          <reference field="5" count="1" selected="0">
            <x v="2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6568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27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6567">
      <pivotArea outline="0" collapsedLevelsAreSubtotals="1" fieldPosition="0"/>
    </format>
    <format dxfId="16566">
      <pivotArea dataOnly="0" labelOnly="1" outline="0" axis="axisValues" fieldPosition="0"/>
    </format>
    <format dxfId="16565">
      <pivotArea dataOnly="0" outline="0" fieldPosition="0">
        <references count="1">
          <reference field="12" count="0" defaultSubtotal="1"/>
        </references>
      </pivotArea>
    </format>
    <format dxfId="16564">
      <pivotArea outline="0" collapsedLevelsAreSubtotals="1" fieldPosition="0"/>
    </format>
    <format dxfId="16563">
      <pivotArea dataOnly="0" labelOnly="1" outline="0" axis="axisValues" fieldPosition="0"/>
    </format>
    <format dxfId="16562">
      <pivotArea outline="0" collapsedLevelsAreSubtotals="1" fieldPosition="0"/>
    </format>
    <format dxfId="16561">
      <pivotArea dataOnly="0" labelOnly="1" outline="0" axis="axisValues" fieldPosition="0"/>
    </format>
    <format dxfId="16560">
      <pivotArea dataOnly="0" labelOnly="1" outline="0" axis="axisValues" fieldPosition="0"/>
    </format>
    <format dxfId="16559">
      <pivotArea outline="0" collapsedLevelsAreSubtotals="1" fieldPosition="0"/>
    </format>
    <format dxfId="16558">
      <pivotArea field="12" type="button" dataOnly="0" labelOnly="1" outline="0" axis="axisRow" fieldPosition="2"/>
    </format>
    <format dxfId="16557">
      <pivotArea field="10" type="button" dataOnly="0" labelOnly="1" outline="0" axis="axisRow" fieldPosition="3"/>
    </format>
    <format dxfId="16556">
      <pivotArea field="16" type="button" dataOnly="0" labelOnly="1" outline="0" axis="axisRow" fieldPosition="4"/>
    </format>
    <format dxfId="16555">
      <pivotArea field="18" type="button" dataOnly="0" labelOnly="1" outline="0" axis="axisRow" fieldPosition="5"/>
    </format>
    <format dxfId="16554">
      <pivotArea field="5" type="button" dataOnly="0" labelOnly="1" outline="0" axis="axisRow" fieldPosition="6"/>
    </format>
    <format dxfId="16553">
      <pivotArea field="9" type="button" dataOnly="0" labelOnly="1" outline="0" axis="axisRow" fieldPosition="7"/>
    </format>
    <format dxfId="16552">
      <pivotArea field="3" type="button" dataOnly="0" labelOnly="1" outline="0" axis="axisRow" fieldPosition="8"/>
    </format>
    <format dxfId="16551">
      <pivotArea field="7" type="button" dataOnly="0" labelOnly="1" outline="0" axis="axisRow" fieldPosition="9"/>
    </format>
    <format dxfId="16550">
      <pivotArea field="1" type="button" dataOnly="0" labelOnly="1" outline="0" axis="axisRow" fieldPosition="10"/>
    </format>
    <format dxfId="16549">
      <pivotArea dataOnly="0" labelOnly="1" outline="0" axis="axisValues" fieldPosition="0"/>
    </format>
    <format dxfId="1654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54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54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54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544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654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6542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6541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6540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6539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653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53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53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53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534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6533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653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53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5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52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5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652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652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5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5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5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5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5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5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5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5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5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5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5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651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651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51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51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51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50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50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50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5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50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50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5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5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5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5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64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649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49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49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4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649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64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64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64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4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64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4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64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64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64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64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64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64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64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64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647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647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647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47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647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47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4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4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4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64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64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64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64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64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64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64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64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64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646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4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64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64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64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64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64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64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64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64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64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64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64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4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64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4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64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64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64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64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64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4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43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643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643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643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643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64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64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64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64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64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64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64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64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6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6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6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6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6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6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6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64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64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6415">
      <pivotArea dataOnly="0" labelOnly="1" outline="0" fieldPosition="0">
        <references count="7">
          <reference field="0" count="1" selected="0">
            <x v="7"/>
          </reference>
          <reference field="5" count="1">
            <x v="749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6414">
      <pivotArea dataOnly="0" labelOnly="1" outline="0" fieldPosition="0">
        <references count="7">
          <reference field="0" count="1" selected="0">
            <x v="13"/>
          </reference>
          <reference field="5" count="1">
            <x v="4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6413">
      <pivotArea dataOnly="0" labelOnly="1" outline="0" fieldPosition="0">
        <references count="7">
          <reference field="0" count="1" selected="0">
            <x v="13"/>
          </reference>
          <reference field="5" count="1">
            <x v="259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6412">
      <pivotArea dataOnly="0" labelOnly="1" outline="0" fieldPosition="0">
        <references count="7">
          <reference field="0" count="1" selected="0">
            <x v="13"/>
          </reference>
          <reference field="5" count="1">
            <x v="74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6411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6410">
      <pivotArea dataOnly="0" labelOnly="1" outline="0" fieldPosition="0">
        <references count="7">
          <reference field="0" count="1" selected="0">
            <x v="14"/>
          </reference>
          <reference field="5" count="1">
            <x v="594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6409">
      <pivotArea dataOnly="0" labelOnly="1" outline="0" fieldPosition="0">
        <references count="7">
          <reference field="0" count="1" selected="0">
            <x v="7"/>
          </reference>
          <reference field="5" count="1">
            <x v="213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408">
      <pivotArea dataOnly="0" labelOnly="1" outline="0" fieldPosition="0">
        <references count="7">
          <reference field="0" count="1" selected="0">
            <x v="7"/>
          </reference>
          <reference field="5" count="1">
            <x v="749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407">
      <pivotArea dataOnly="0" labelOnly="1" outline="0" fieldPosition="0">
        <references count="7">
          <reference field="0" count="1" selected="0">
            <x v="7"/>
          </reference>
          <reference field="5" count="1">
            <x v="748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406">
      <pivotArea dataOnly="0" labelOnly="1" outline="0" fieldPosition="0">
        <references count="7">
          <reference field="0" count="1" selected="0">
            <x v="7"/>
          </reference>
          <reference field="5" count="1">
            <x v="749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405">
      <pivotArea dataOnly="0" labelOnly="1" outline="0" fieldPosition="0">
        <references count="7">
          <reference field="0" count="1" selected="0">
            <x v="7"/>
          </reference>
          <reference field="5" count="1">
            <x v="749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404">
      <pivotArea dataOnly="0" labelOnly="1" outline="0" fieldPosition="0">
        <references count="7">
          <reference field="0" count="1" selected="0">
            <x v="7"/>
          </reference>
          <reference field="5" count="1">
            <x v="7492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403">
      <pivotArea dataOnly="0" labelOnly="1" outline="0" fieldPosition="0">
        <references count="7">
          <reference field="0" count="1" selected="0">
            <x v="7"/>
          </reference>
          <reference field="5" count="1">
            <x v="749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402">
      <pivotArea dataOnly="0" labelOnly="1" outline="0" fieldPosition="0">
        <references count="7">
          <reference field="0" count="1" selected="0">
            <x v="7"/>
          </reference>
          <reference field="5" count="1">
            <x v="748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401">
      <pivotArea dataOnly="0" labelOnly="1" outline="0" fieldPosition="0">
        <references count="7">
          <reference field="0" count="1" selected="0">
            <x v="7"/>
          </reference>
          <reference field="5" count="1">
            <x v="7494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400">
      <pivotArea dataOnly="0" labelOnly="1" outline="0" fieldPosition="0">
        <references count="7">
          <reference field="0" count="1" selected="0">
            <x v="11"/>
          </reference>
          <reference field="5" count="1">
            <x v="734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399">
      <pivotArea dataOnly="0" labelOnly="1" outline="0" fieldPosition="0">
        <references count="7">
          <reference field="0" count="1" selected="0">
            <x v="11"/>
          </reference>
          <reference field="5" count="1">
            <x v="495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398">
      <pivotArea dataOnly="0" labelOnly="1" outline="0" fieldPosition="0">
        <references count="7">
          <reference field="0" count="1" selected="0">
            <x v="11"/>
          </reference>
          <reference field="5" count="1">
            <x v="619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6397">
      <pivotArea dataOnly="0" labelOnly="1" outline="0" fieldPosition="0">
        <references count="7">
          <reference field="0" count="1" selected="0">
            <x v="11"/>
          </reference>
          <reference field="5" count="2">
            <x v="5280"/>
            <x v="709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396">
      <pivotArea dataOnly="0" labelOnly="1" outline="0" fieldPosition="0">
        <references count="7">
          <reference field="0" count="1" selected="0">
            <x v="11"/>
          </reference>
          <reference field="5" count="1">
            <x v="718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395">
      <pivotArea dataOnly="0" labelOnly="1" outline="0" fieldPosition="0">
        <references count="7">
          <reference field="0" count="1" selected="0">
            <x v="12"/>
          </reference>
          <reference field="5" count="1">
            <x v="594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6394">
      <pivotArea dataOnly="0" labelOnly="1" outline="0" fieldPosition="0">
        <references count="7">
          <reference field="0" count="1" selected="0">
            <x v="12"/>
          </reference>
          <reference field="5" count="1">
            <x v="74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393">
      <pivotArea dataOnly="0" labelOnly="1" outline="0" fieldPosition="0">
        <references count="7">
          <reference field="0" count="1" selected="0">
            <x v="12"/>
          </reference>
          <reference field="5" count="1">
            <x v="748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392">
      <pivotArea dataOnly="0" labelOnly="1" outline="0" fieldPosition="0">
        <references count="7">
          <reference field="0" count="1" selected="0">
            <x v="12"/>
          </reference>
          <reference field="5" count="1">
            <x v="748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6391">
      <pivotArea dataOnly="0" labelOnly="1" outline="0" fieldPosition="0">
        <references count="7">
          <reference field="0" count="1" selected="0">
            <x v="13"/>
          </reference>
          <reference field="5" count="1">
            <x v="74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390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389">
      <pivotArea dataOnly="0" labelOnly="1" outline="0" fieldPosition="0">
        <references count="7">
          <reference field="0" count="1" selected="0">
            <x v="13"/>
          </reference>
          <reference field="5" count="1"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388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6387">
      <pivotArea dataOnly="0" labelOnly="1" outline="0" fieldPosition="0">
        <references count="7">
          <reference field="0" count="1" selected="0">
            <x v="14"/>
          </reference>
          <reference field="5" count="1">
            <x v="748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6386">
      <pivotArea dataOnly="0" labelOnly="1" outline="0" fieldPosition="0">
        <references count="7">
          <reference field="0" count="1" selected="0">
            <x v="14"/>
          </reference>
          <reference field="5" count="1">
            <x v="748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385">
      <pivotArea dataOnly="0" labelOnly="1" outline="0" fieldPosition="0">
        <references count="7">
          <reference field="0" count="1" selected="0">
            <x v="14"/>
          </reference>
          <reference field="5" count="1">
            <x v="740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384">
      <pivotArea dataOnly="0" labelOnly="1" outline="0" fieldPosition="0">
        <references count="7">
          <reference field="0" count="1" selected="0">
            <x v="14"/>
          </reference>
          <reference field="5" count="1">
            <x v="614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383">
      <pivotArea dataOnly="0" labelOnly="1" outline="0" fieldPosition="0">
        <references count="7">
          <reference field="0" count="1" selected="0">
            <x v="14"/>
          </reference>
          <reference field="5" count="1">
            <x v="7482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382">
      <pivotArea dataOnly="0" labelOnly="1" outline="0" fieldPosition="0">
        <references count="7">
          <reference field="0" count="1" selected="0">
            <x v="14"/>
          </reference>
          <reference field="5" count="1">
            <x v="3546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381">
      <pivotArea dataOnly="0" labelOnly="1" outline="0" fieldPosition="0">
        <references count="7">
          <reference field="0" count="1" selected="0">
            <x v="14"/>
          </reference>
          <reference field="5" count="1">
            <x v="656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6380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6379">
      <pivotArea dataOnly="0" labelOnly="1" outline="0" fieldPosition="0">
        <references count="7">
          <reference field="0" count="1" selected="0">
            <x v="15"/>
          </reference>
          <reference field="5" count="2">
            <x v="7464"/>
            <x v="74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378">
      <pivotArea dataOnly="0" labelOnly="1" outline="0" fieldPosition="0">
        <references count="7">
          <reference field="0" count="1" selected="0">
            <x v="15"/>
          </reference>
          <reference field="5" count="1">
            <x v="748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377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6376">
      <pivotArea dataOnly="0" labelOnly="1" outline="0" fieldPosition="0">
        <references count="7">
          <reference field="0" count="1" selected="0">
            <x v="15"/>
          </reference>
          <reference field="5" count="1">
            <x v="745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3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63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63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63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3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3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3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3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3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3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36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3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36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4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63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3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3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63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63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3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3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3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63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6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3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6353">
      <pivotArea dataOnly="0" labelOnly="1" outline="0" fieldPosition="0">
        <references count="9">
          <reference field="0" count="1" selected="0">
            <x v="7"/>
          </reference>
          <reference field="3" count="1">
            <x v="7448"/>
          </reference>
          <reference field="5" count="1" selected="0">
            <x v="74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63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6351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6350">
      <pivotArea dataOnly="0" labelOnly="1" outline="0" fieldPosition="0">
        <references count="9">
          <reference field="0" count="1" selected="0">
            <x v="7"/>
          </reference>
          <reference field="3" count="1">
            <x v="7333"/>
          </reference>
          <reference field="5" count="1" selected="0">
            <x v="21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349">
      <pivotArea dataOnly="0" labelOnly="1" outline="0" fieldPosition="0">
        <references count="9">
          <reference field="0" count="1" selected="0">
            <x v="7"/>
          </reference>
          <reference field="3" count="1">
            <x v="7447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348">
      <pivotArea dataOnly="0" labelOnly="1" outline="0" fieldPosition="0">
        <references count="9">
          <reference field="0" count="1" selected="0">
            <x v="7"/>
          </reference>
          <reference field="3" count="1">
            <x v="7441"/>
          </reference>
          <reference field="5" count="1" selected="0">
            <x v="74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34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346">
      <pivotArea dataOnly="0" labelOnly="1" outline="0" fieldPosition="0">
        <references count="9">
          <reference field="0" count="1" selected="0">
            <x v="7"/>
          </reference>
          <reference field="3" count="1">
            <x v="7449"/>
          </reference>
          <reference field="5" count="1" selected="0">
            <x v="74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345">
      <pivotArea dataOnly="0" labelOnly="1" outline="0" fieldPosition="0">
        <references count="9">
          <reference field="0" count="1" selected="0">
            <x v="7"/>
          </reference>
          <reference field="3" count="1">
            <x v="7448"/>
          </reference>
          <reference field="5" count="1" selected="0">
            <x v="74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344">
      <pivotArea dataOnly="0" labelOnly="1" outline="0" fieldPosition="0">
        <references count="9">
          <reference field="0" count="1" selected="0">
            <x v="7"/>
          </reference>
          <reference field="3" count="1">
            <x v="7446"/>
          </reference>
          <reference field="5" count="1" selected="0">
            <x v="74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343">
      <pivotArea dataOnly="0" labelOnly="1" outline="0" fieldPosition="0">
        <references count="9">
          <reference field="0" count="1" selected="0">
            <x v="7"/>
          </reference>
          <reference field="3" count="1">
            <x v="7445"/>
          </reference>
          <reference field="5" count="1" selected="0">
            <x v="74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342">
      <pivotArea dataOnly="0" labelOnly="1" outline="0" fieldPosition="0">
        <references count="9">
          <reference field="0" count="1" selected="0">
            <x v="7"/>
          </reference>
          <reference field="3" count="1">
            <x v="2923"/>
          </reference>
          <reference field="5" count="1" selected="0">
            <x v="7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341">
      <pivotArea dataOnly="0" labelOnly="1" outline="0" fieldPosition="0">
        <references count="9">
          <reference field="0" count="1" selected="0">
            <x v="11"/>
          </reference>
          <reference field="3" count="1">
            <x v="7327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340">
      <pivotArea dataOnly="0" labelOnly="1" outline="0" fieldPosition="0">
        <references count="9">
          <reference field="0" count="1" selected="0">
            <x v="11"/>
          </reference>
          <reference field="3" count="1">
            <x v="7318"/>
          </reference>
          <reference field="5" count="1" selected="0">
            <x v="49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339">
      <pivotArea dataOnly="0" labelOnly="1" outline="0" fieldPosition="0">
        <references count="9">
          <reference field="0" count="1" selected="0">
            <x v="11"/>
          </reference>
          <reference field="3" count="1">
            <x v="7324"/>
          </reference>
          <reference field="5" count="1" selected="0">
            <x v="52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338">
      <pivotArea dataOnly="0" labelOnly="1" outline="0" fieldPosition="0">
        <references count="9">
          <reference field="0" count="1" selected="0">
            <x v="11"/>
          </reference>
          <reference field="3" count="1">
            <x v="7409"/>
          </reference>
          <reference field="5" count="1" selected="0">
            <x v="70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33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4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6336">
      <pivotArea dataOnly="0" labelOnly="1" outline="0" fieldPosition="0">
        <references count="9">
          <reference field="0" count="1" selected="0">
            <x v="12"/>
          </reference>
          <reference field="3" count="1">
            <x v="7439"/>
          </reference>
          <reference field="5" count="1" selected="0">
            <x v="748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3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33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7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3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6332">
      <pivotArea dataOnly="0" labelOnly="1" outline="0" fieldPosition="0">
        <references count="9">
          <reference field="0" count="1" selected="0">
            <x v="14"/>
          </reference>
          <reference field="3" count="1">
            <x v="7332"/>
          </reference>
          <reference field="5" count="1" selected="0">
            <x v="74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6331">
      <pivotArea dataOnly="0" labelOnly="1" outline="0" fieldPosition="0">
        <references count="9">
          <reference field="0" count="1" selected="0">
            <x v="14"/>
          </reference>
          <reference field="3" count="1">
            <x v="3823"/>
          </reference>
          <reference field="5" count="1" selected="0">
            <x v="748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3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0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32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4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328">
      <pivotArea dataOnly="0" labelOnly="1" outline="0" fieldPosition="0">
        <references count="9">
          <reference field="0" count="1" selected="0">
            <x v="14"/>
          </reference>
          <reference field="3" count="1">
            <x v="2923"/>
          </reference>
          <reference field="5" count="1" selected="0">
            <x v="74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327">
      <pivotArea dataOnly="0" labelOnly="1" outline="0" fieldPosition="0">
        <references count="9">
          <reference field="0" count="1" selected="0">
            <x v="14"/>
          </reference>
          <reference field="3" count="1">
            <x v="7438"/>
          </reference>
          <reference field="5" count="1" selected="0">
            <x v="354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326">
      <pivotArea dataOnly="0" labelOnly="1" outline="0" fieldPosition="0">
        <references count="9">
          <reference field="0" count="1" selected="0">
            <x v="14"/>
          </reference>
          <reference field="3" count="1">
            <x v="7312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632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6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324">
      <pivotArea dataOnly="0" labelOnly="1" outline="0" fieldPosition="0">
        <references count="9">
          <reference field="0" count="1" selected="0">
            <x v="15"/>
          </reference>
          <reference field="3" count="1">
            <x v="7424"/>
          </reference>
          <reference field="5" count="1" selected="0">
            <x v="74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323">
      <pivotArea dataOnly="0" labelOnly="1" outline="0" fieldPosition="0">
        <references count="9">
          <reference field="0" count="1" selected="0">
            <x v="15"/>
          </reference>
          <reference field="3" count="1">
            <x v="7437"/>
          </reference>
          <reference field="5" count="1" selected="0">
            <x v="748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3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48"/>
          </reference>
          <reference field="5" count="1" selected="0">
            <x v="74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63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63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63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3"/>
          </reference>
          <reference field="5" count="1" selected="0">
            <x v="21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3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47"/>
          </reference>
          <reference field="5" count="1" selected="0">
            <x v="74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3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3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49"/>
          </reference>
          <reference field="5" count="1" selected="0">
            <x v="74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3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48"/>
          </reference>
          <reference field="5" count="1" selected="0">
            <x v="74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3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46"/>
          </reference>
          <reference field="5" count="1" selected="0">
            <x v="74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3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923"/>
          </reference>
          <reference field="5" count="1" selected="0">
            <x v="74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31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327"/>
          </reference>
          <reference field="5" count="1" selected="0">
            <x v="73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31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631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39"/>
          </reference>
          <reference field="5" count="1" selected="0">
            <x v="74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3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3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3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63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2"/>
          </reference>
          <reference field="5" count="1" selected="0">
            <x v="74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63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823"/>
          </reference>
          <reference field="5" count="1" selected="0">
            <x v="74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3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3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3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23"/>
          </reference>
          <reference field="5" count="1" selected="0">
            <x v="74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3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8"/>
          </reference>
          <reference field="5" count="1" selected="0">
            <x v="35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3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2"/>
          </reference>
          <reference field="5" count="1" selected="0">
            <x v="6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62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2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24"/>
          </reference>
          <reference field="5" count="1" selected="0">
            <x v="74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297">
      <pivotArea dataOnly="0" labelOnly="1" outline="0" fieldPosition="0">
        <references count="11">
          <reference field="0" count="1" selected="0">
            <x v="7"/>
          </reference>
          <reference field="1" count="1">
            <x v="7207"/>
          </reference>
          <reference field="3" count="1" selected="0">
            <x v="7448"/>
          </reference>
          <reference field="5" count="1" selected="0">
            <x v="749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6296">
      <pivotArea dataOnly="0" labelOnly="1" outline="0" fieldPosition="0">
        <references count="11">
          <reference field="0" count="1" selected="0">
            <x v="7"/>
          </reference>
          <reference field="1" count="1">
            <x v="7205"/>
          </reference>
          <reference field="3" count="1" selected="0">
            <x v="7449"/>
          </reference>
          <reference field="5" count="1" selected="0">
            <x v="74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295">
      <pivotArea dataOnly="0" labelOnly="1" outline="0" fieldPosition="0">
        <references count="11">
          <reference field="0" count="1" selected="0">
            <x v="7"/>
          </reference>
          <reference field="1" count="1">
            <x v="7204"/>
          </reference>
          <reference field="3" count="1" selected="0">
            <x v="7446"/>
          </reference>
          <reference field="5" count="1" selected="0">
            <x v="74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294">
      <pivotArea dataOnly="0" labelOnly="1" outline="0" fieldPosition="0">
        <references count="11">
          <reference field="0" count="1" selected="0">
            <x v="11"/>
          </reference>
          <reference field="1" count="1">
            <x v="7072"/>
          </reference>
          <reference field="3" count="1" selected="0">
            <x v="7324"/>
          </reference>
          <reference field="5" count="1" selected="0">
            <x v="52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293">
      <pivotArea dataOnly="0" labelOnly="1" outline="0" fieldPosition="0">
        <references count="11">
          <reference field="0" count="1" selected="0">
            <x v="12"/>
          </reference>
          <reference field="1" count="1">
            <x v="7202"/>
          </reference>
          <reference field="3" count="1" selected="0">
            <x v="7439"/>
          </reference>
          <reference field="5" count="1" selected="0">
            <x v="74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292">
      <pivotArea dataOnly="0" labelOnly="1" outline="0" fieldPosition="0">
        <references count="11">
          <reference field="0" count="1" selected="0">
            <x v="14"/>
          </reference>
          <reference field="1" count="1">
            <x v="7090"/>
          </reference>
          <reference field="3" count="1" selected="0">
            <x v="0"/>
          </reference>
          <reference field="5" count="1" selected="0">
            <x v="61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291">
      <pivotArea dataOnly="0" labelOnly="1" outline="0" fieldPosition="0">
        <references count="11">
          <reference field="0" count="1" selected="0">
            <x v="15"/>
          </reference>
          <reference field="1" count="1">
            <x v="7181"/>
          </reference>
          <reference field="3" count="1" selected="0">
            <x v="7424"/>
          </reference>
          <reference field="5" count="1" selected="0">
            <x v="747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290">
      <pivotArea dataOnly="0" labelOnly="1" outline="0" fieldPosition="0">
        <references count="11">
          <reference field="0" count="1" selected="0">
            <x v="15"/>
          </reference>
          <reference field="1" count="1">
            <x v="7199"/>
          </reference>
          <reference field="3" count="1" selected="0">
            <x v="7437"/>
          </reference>
          <reference field="5" count="1" selected="0">
            <x v="748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289">
      <pivotArea dataOnly="0" labelOnly="1" outline="0" fieldPosition="0">
        <references count="11">
          <reference field="0" count="1" selected="0">
            <x v="15"/>
          </reference>
          <reference field="1" count="1">
            <x v="7060"/>
          </reference>
          <reference field="3" count="1" selected="0">
            <x v="0"/>
          </reference>
          <reference field="5" count="1" selected="0">
            <x v="2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6288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27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6287">
      <pivotArea outline="0" collapsedLevelsAreSubtotals="1" fieldPosition="0"/>
    </format>
    <format dxfId="16286">
      <pivotArea dataOnly="0" labelOnly="1" outline="0" axis="axisValues" fieldPosition="0"/>
    </format>
    <format dxfId="16285">
      <pivotArea dataOnly="0" outline="0" fieldPosition="0">
        <references count="1">
          <reference field="12" count="0" defaultSubtotal="1"/>
        </references>
      </pivotArea>
    </format>
    <format dxfId="16284">
      <pivotArea dataOnly="0" outline="0" fieldPosition="0">
        <references count="1">
          <reference field="12" count="1" defaultSubtotal="1">
            <x v="0"/>
          </reference>
        </references>
      </pivotArea>
    </format>
    <format dxfId="16283">
      <pivotArea outline="0" collapsedLevelsAreSubtotals="1" fieldPosition="0"/>
    </format>
    <format dxfId="16282">
      <pivotArea dataOnly="0" labelOnly="1" outline="0" axis="axisValues" fieldPosition="0"/>
    </format>
    <format dxfId="16281">
      <pivotArea dataOnly="0" outline="0" fieldPosition="0">
        <references count="1">
          <reference field="12" count="0" defaultSubtotal="1"/>
        </references>
      </pivotArea>
    </format>
    <format dxfId="16280">
      <pivotArea outline="0" collapsedLevelsAreSubtotals="1" fieldPosition="0"/>
    </format>
    <format dxfId="16279">
      <pivotArea dataOnly="0" labelOnly="1" outline="0" axis="axisValues" fieldPosition="0"/>
    </format>
    <format dxfId="16278">
      <pivotArea outline="0" collapsedLevelsAreSubtotals="1" fieldPosition="0"/>
    </format>
    <format dxfId="16277">
      <pivotArea dataOnly="0" labelOnly="1" outline="0" axis="axisValues" fieldPosition="0"/>
    </format>
    <format dxfId="16276">
      <pivotArea dataOnly="0" labelOnly="1" outline="0" axis="axisValues" fieldPosition="0"/>
    </format>
    <format dxfId="16275">
      <pivotArea outline="0" collapsedLevelsAreSubtotals="1" fieldPosition="0"/>
    </format>
    <format dxfId="16274">
      <pivotArea field="12" type="button" dataOnly="0" labelOnly="1" outline="0" axis="axisRow" fieldPosition="2"/>
    </format>
    <format dxfId="16273">
      <pivotArea field="10" type="button" dataOnly="0" labelOnly="1" outline="0" axis="axisRow" fieldPosition="3"/>
    </format>
    <format dxfId="16272">
      <pivotArea field="16" type="button" dataOnly="0" labelOnly="1" outline="0" axis="axisRow" fieldPosition="4"/>
    </format>
    <format dxfId="16271">
      <pivotArea field="18" type="button" dataOnly="0" labelOnly="1" outline="0" axis="axisRow" fieldPosition="5"/>
    </format>
    <format dxfId="16270">
      <pivotArea field="5" type="button" dataOnly="0" labelOnly="1" outline="0" axis="axisRow" fieldPosition="6"/>
    </format>
    <format dxfId="16269">
      <pivotArea field="9" type="button" dataOnly="0" labelOnly="1" outline="0" axis="axisRow" fieldPosition="7"/>
    </format>
    <format dxfId="16268">
      <pivotArea field="3" type="button" dataOnly="0" labelOnly="1" outline="0" axis="axisRow" fieldPosition="8"/>
    </format>
    <format dxfId="16267">
      <pivotArea field="7" type="button" dataOnly="0" labelOnly="1" outline="0" axis="axisRow" fieldPosition="9"/>
    </format>
    <format dxfId="16266">
      <pivotArea field="1" type="button" dataOnly="0" labelOnly="1" outline="0" axis="axisRow" fieldPosition="10"/>
    </format>
    <format dxfId="16265">
      <pivotArea dataOnly="0" labelOnly="1" outline="0" axis="axisValues" fieldPosition="0"/>
    </format>
    <format dxfId="1626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26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262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35"/>
          </reference>
          <reference field="13" count="1" selected="0">
            <x v="0"/>
          </reference>
        </references>
      </pivotArea>
    </format>
    <format dxfId="1626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35"/>
          </reference>
          <reference field="13" count="1" selected="0">
            <x v="0"/>
          </reference>
        </references>
      </pivotArea>
    </format>
    <format dxfId="1626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625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625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25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25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25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254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6253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625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25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25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2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624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624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24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4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4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4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2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2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24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2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23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23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623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62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62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623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23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623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3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6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2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2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2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1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62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62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2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62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62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6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62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620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162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61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1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1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6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6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6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6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6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6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6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6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6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6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6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6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61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161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4"/>
          </reference>
        </references>
      </pivotArea>
    </format>
    <format dxfId="16180">
      <pivotArea dataOnly="0" labelOnly="1" outline="0" fieldPosition="0">
        <references count="7">
          <reference field="0" count="1" selected="0">
            <x v="13"/>
          </reference>
          <reference field="5" count="1">
            <x v="4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179">
      <pivotArea dataOnly="0" labelOnly="1" outline="0" fieldPosition="0">
        <references count="7">
          <reference field="0" count="1" selected="0">
            <x v="13"/>
          </reference>
          <reference field="5" count="1">
            <x v="259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178">
      <pivotArea dataOnly="0" labelOnly="1" outline="0" fieldPosition="0">
        <references count="7">
          <reference field="0" count="1" selected="0">
            <x v="13"/>
          </reference>
          <reference field="5" count="1">
            <x v="74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177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6176">
      <pivotArea dataOnly="0" labelOnly="1" outline="0" fieldPosition="0">
        <references count="7">
          <reference field="0" count="1" selected="0">
            <x v="14"/>
          </reference>
          <reference field="5" count="1">
            <x v="594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175">
      <pivotArea dataOnly="0" labelOnly="1" outline="0" fieldPosition="0">
        <references count="7">
          <reference field="0" count="1" selected="0">
            <x v="7"/>
          </reference>
          <reference field="5" count="1">
            <x v="213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174">
      <pivotArea dataOnly="0" labelOnly="1" outline="0" fieldPosition="0">
        <references count="7">
          <reference field="0" count="1" selected="0">
            <x v="13"/>
          </reference>
          <reference field="5" count="1">
            <x v="74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73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172">
      <pivotArea dataOnly="0" labelOnly="1" outline="0" fieldPosition="0">
        <references count="7">
          <reference field="0" count="1" selected="0">
            <x v="13"/>
          </reference>
          <reference field="5" count="1"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171">
      <pivotArea dataOnly="0" labelOnly="1" outline="0" fieldPosition="0">
        <references count="7">
          <reference field="0" count="1" selected="0">
            <x v="14"/>
          </reference>
          <reference field="5" count="1">
            <x v="740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170">
      <pivotArea dataOnly="0" labelOnly="1" outline="0" fieldPosition="0">
        <references count="7">
          <reference field="0" count="1" selected="0">
            <x v="14"/>
          </reference>
          <reference field="5" count="1">
            <x v="343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169">
      <pivotArea dataOnly="0" labelOnly="1" outline="0" fieldPosition="0">
        <references count="7">
          <reference field="0" count="1" selected="0">
            <x v="14"/>
          </reference>
          <reference field="5" count="1">
            <x v="739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168">
      <pivotArea dataOnly="0" labelOnly="1" outline="0" fieldPosition="0">
        <references count="7">
          <reference field="0" count="1" selected="0">
            <x v="14"/>
          </reference>
          <reference field="5" count="1">
            <x v="614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167">
      <pivotArea dataOnly="0" labelOnly="1" outline="0" fieldPosition="0">
        <references count="7">
          <reference field="0" count="1" selected="0">
            <x v="14"/>
          </reference>
          <reference field="5" count="1">
            <x v="748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166">
      <pivotArea dataOnly="0" labelOnly="1" outline="0" fieldPosition="0">
        <references count="7">
          <reference field="0" count="1" selected="0">
            <x v="14"/>
          </reference>
          <reference field="5" count="1">
            <x v="7373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165">
      <pivotArea dataOnly="0" labelOnly="1" outline="0" fieldPosition="0">
        <references count="7">
          <reference field="0" count="1" selected="0">
            <x v="14"/>
          </reference>
          <reference field="5" count="1">
            <x v="440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164">
      <pivotArea dataOnly="0" labelOnly="1" outline="0" fieldPosition="0">
        <references count="7">
          <reference field="0" count="1" selected="0">
            <x v="14"/>
          </reference>
          <reference field="5" count="1">
            <x v="3988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6163">
      <pivotArea dataOnly="0" labelOnly="1" outline="0" fieldPosition="0">
        <references count="7">
          <reference field="0" count="1" selected="0">
            <x v="14"/>
          </reference>
          <reference field="5" count="1">
            <x v="656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162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6161">
      <pivotArea dataOnly="0" labelOnly="1" outline="0" fieldPosition="0">
        <references count="7">
          <reference field="0" count="1" selected="0">
            <x v="14"/>
          </reference>
          <reference field="5" count="1">
            <x v="748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160">
      <pivotArea dataOnly="0" labelOnly="1" outline="0" fieldPosition="0">
        <references count="7">
          <reference field="0" count="1" selected="0">
            <x v="15"/>
          </reference>
          <reference field="5" count="1">
            <x v="74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159">
      <pivotArea dataOnly="0" labelOnly="1" outline="0" fieldPosition="0">
        <references count="7">
          <reference field="0" count="1" selected="0">
            <x v="15"/>
          </reference>
          <reference field="5" count="1">
            <x v="748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58">
      <pivotArea dataOnly="0" labelOnly="1" outline="0" fieldPosition="0">
        <references count="7">
          <reference field="0" count="1" selected="0">
            <x v="15"/>
          </reference>
          <reference field="5" count="1"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6157">
      <pivotArea dataOnly="0" labelOnly="1" outline="0" fieldPosition="0">
        <references count="7">
          <reference field="0" count="1" selected="0">
            <x v="15"/>
          </reference>
          <reference field="5" count="1">
            <x v="749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156">
      <pivotArea dataOnly="0" labelOnly="1" outline="0" fieldPosition="0">
        <references count="7">
          <reference field="0" count="1" selected="0">
            <x v="15"/>
          </reference>
          <reference field="5" count="1">
            <x v="234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6155">
      <pivotArea dataOnly="0" labelOnly="1" outline="0" fieldPosition="0">
        <references count="7">
          <reference field="0" count="1" selected="0">
            <x v="15"/>
          </reference>
          <reference field="5" count="1">
            <x v="268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61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61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1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1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1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1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3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1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1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1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1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1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0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1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61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1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1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6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1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61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6136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135">
      <pivotArea dataOnly="0" labelOnly="1" outline="0" fieldPosition="0">
        <references count="9">
          <reference field="0" count="1" selected="0">
            <x v="7"/>
          </reference>
          <reference field="3" count="1">
            <x v="7333"/>
          </reference>
          <reference field="5" count="1" selected="0">
            <x v="21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13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7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1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0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131">
      <pivotArea dataOnly="0" labelOnly="1" outline="0" fieldPosition="0">
        <references count="9">
          <reference field="0" count="1" selected="0">
            <x v="14"/>
          </reference>
          <reference field="3" count="1">
            <x v="7332"/>
          </reference>
          <reference field="5" count="1" selected="0">
            <x v="343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130">
      <pivotArea dataOnly="0" labelOnly="1" outline="0" fieldPosition="0">
        <references count="9">
          <reference field="0" count="1" selected="0">
            <x v="14"/>
          </reference>
          <reference field="3" count="1">
            <x v="7450"/>
          </reference>
          <reference field="5" count="1" selected="0">
            <x v="73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12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4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128">
      <pivotArea dataOnly="0" labelOnly="1" outline="0" fieldPosition="0">
        <references count="9">
          <reference field="0" count="1" selected="0">
            <x v="14"/>
          </reference>
          <reference field="3" count="1">
            <x v="3823"/>
          </reference>
          <reference field="5" count="1" selected="0">
            <x v="748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127">
      <pivotArea dataOnly="0" labelOnly="1" outline="0" fieldPosition="0">
        <references count="9">
          <reference field="0" count="1" selected="0">
            <x v="14"/>
          </reference>
          <reference field="3" count="1">
            <x v="7341"/>
          </reference>
          <reference field="5" count="1" selected="0">
            <x v="737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126">
      <pivotArea dataOnly="0" labelOnly="1" outline="0" fieldPosition="0">
        <references count="9">
          <reference field="0" count="1" selected="0">
            <x v="14"/>
          </reference>
          <reference field="3" count="1">
            <x v="7330"/>
          </reference>
          <reference field="5" count="1" selected="0">
            <x v="440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125">
      <pivotArea dataOnly="0" labelOnly="1" outline="0" fieldPosition="0">
        <references count="9">
          <reference field="0" count="1" selected="0">
            <x v="14"/>
          </reference>
          <reference field="3" count="1">
            <x v="7405"/>
          </reference>
          <reference field="5" count="1" selected="0">
            <x v="398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6124">
      <pivotArea dataOnly="0" labelOnly="1" outline="0" fieldPosition="0">
        <references count="9">
          <reference field="0" count="1" selected="0">
            <x v="14"/>
          </reference>
          <reference field="3" count="1">
            <x v="7312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1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12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6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121">
      <pivotArea dataOnly="0" labelOnly="1" outline="0" fieldPosition="0">
        <references count="9">
          <reference field="0" count="1" selected="0">
            <x v="15"/>
          </reference>
          <reference field="3" count="1">
            <x v="7437"/>
          </reference>
          <reference field="5" count="1" selected="0">
            <x v="748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61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1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3"/>
          </reference>
          <reference field="5" count="1" selected="0">
            <x v="21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11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1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1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2"/>
          </reference>
          <reference field="5" count="1" selected="0">
            <x v="34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1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0"/>
          </reference>
          <reference field="5" count="1" selected="0">
            <x v="73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1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1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823"/>
          </reference>
          <reference field="5" count="1" selected="0">
            <x v="74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1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1"/>
          </reference>
          <reference field="5" count="1" selected="0">
            <x v="73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1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0"/>
          </reference>
          <reference field="5" count="1" selected="0">
            <x v="44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1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5"/>
          </reference>
          <reference field="5" count="1" selected="0">
            <x v="39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61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2"/>
          </reference>
          <reference field="5" count="1" selected="0">
            <x v="6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1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1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1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7"/>
          </reference>
          <reference field="5" count="1" selected="0">
            <x v="74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03">
      <pivotArea dataOnly="0" labelOnly="1" outline="0" fieldPosition="0">
        <references count="11">
          <reference field="0" count="1" selected="0">
            <x v="14"/>
          </reference>
          <reference field="1" count="1">
            <x v="7210"/>
          </reference>
          <reference field="3" count="1" selected="0">
            <x v="7332"/>
          </reference>
          <reference field="5" count="1" selected="0">
            <x v="343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102">
      <pivotArea dataOnly="0" labelOnly="1" outline="0" fieldPosition="0">
        <references count="11">
          <reference field="0" count="1" selected="0">
            <x v="14"/>
          </reference>
          <reference field="1" count="1">
            <x v="7090"/>
          </reference>
          <reference field="3" count="1" selected="0">
            <x v="0"/>
          </reference>
          <reference field="5" count="1" selected="0">
            <x v="61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101">
      <pivotArea dataOnly="0" labelOnly="1" outline="0" fieldPosition="0">
        <references count="11">
          <reference field="0" count="1" selected="0">
            <x v="15"/>
          </reference>
          <reference field="1" count="1">
            <x v="7199"/>
          </reference>
          <reference field="3" count="1" selected="0">
            <x v="7437"/>
          </reference>
          <reference field="5" count="1" selected="0">
            <x v="748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00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27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6099">
      <pivotArea dataOnly="0" labelOnly="1" outline="0" fieldPosition="0">
        <references count="11">
          <reference field="0" count="1" selected="0">
            <x v="15"/>
          </reference>
          <reference field="1" count="1">
            <x v="7209"/>
          </reference>
          <reference field="3" count="1" selected="0">
            <x v="0"/>
          </reference>
          <reference field="5" count="1" selected="0">
            <x v="749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098">
      <pivotArea outline="0" collapsedLevelsAreSubtotals="1" fieldPosition="0"/>
    </format>
    <format dxfId="16097">
      <pivotArea dataOnly="0" labelOnly="1" outline="0" axis="axisValues" fieldPosition="0"/>
    </format>
    <format dxfId="16096">
      <pivotArea dataOnly="0" outline="0" fieldPosition="0">
        <references count="1">
          <reference field="12" count="0" defaultSubtotal="1"/>
        </references>
      </pivotArea>
    </format>
    <format dxfId="16095">
      <pivotArea outline="0" collapsedLevelsAreSubtotals="1" fieldPosition="0"/>
    </format>
    <format dxfId="16094">
      <pivotArea dataOnly="0" labelOnly="1" outline="0" axis="axisValues" fieldPosition="0"/>
    </format>
    <format dxfId="16093">
      <pivotArea dataOnly="0" outline="0" fieldPosition="0">
        <references count="1">
          <reference field="12" count="0" defaultSubtotal="1"/>
        </references>
      </pivotArea>
    </format>
    <format dxfId="16092">
      <pivotArea outline="0" collapsedLevelsAreSubtotals="1" fieldPosition="0"/>
    </format>
    <format dxfId="16091">
      <pivotArea dataOnly="0" labelOnly="1" outline="0" axis="axisValues" fieldPosition="0"/>
    </format>
    <format dxfId="16090">
      <pivotArea outline="0" collapsedLevelsAreSubtotals="1" fieldPosition="0"/>
    </format>
    <format dxfId="16089">
      <pivotArea dataOnly="0" labelOnly="1" outline="0" axis="axisValues" fieldPosition="0"/>
    </format>
    <format dxfId="16088">
      <pivotArea dataOnly="0" labelOnly="1" outline="0" axis="axisValues" fieldPosition="0"/>
    </format>
    <format dxfId="16087">
      <pivotArea outline="0" collapsedLevelsAreSubtotals="1" fieldPosition="0"/>
    </format>
    <format dxfId="16086">
      <pivotArea field="12" type="button" dataOnly="0" labelOnly="1" outline="0" axis="axisRow" fieldPosition="2"/>
    </format>
    <format dxfId="16085">
      <pivotArea field="10" type="button" dataOnly="0" labelOnly="1" outline="0" axis="axisRow" fieldPosition="3"/>
    </format>
    <format dxfId="16084">
      <pivotArea field="16" type="button" dataOnly="0" labelOnly="1" outline="0" axis="axisRow" fieldPosition="4"/>
    </format>
    <format dxfId="16083">
      <pivotArea field="18" type="button" dataOnly="0" labelOnly="1" outline="0" axis="axisRow" fieldPosition="5"/>
    </format>
    <format dxfId="16082">
      <pivotArea field="5" type="button" dataOnly="0" labelOnly="1" outline="0" axis="axisRow" fieldPosition="6"/>
    </format>
    <format dxfId="16081">
      <pivotArea field="9" type="button" dataOnly="0" labelOnly="1" outline="0" axis="axisRow" fieldPosition="7"/>
    </format>
    <format dxfId="16080">
      <pivotArea field="3" type="button" dataOnly="0" labelOnly="1" outline="0" axis="axisRow" fieldPosition="8"/>
    </format>
    <format dxfId="16079">
      <pivotArea field="7" type="button" dataOnly="0" labelOnly="1" outline="0" axis="axisRow" fieldPosition="9"/>
    </format>
    <format dxfId="16078">
      <pivotArea field="1" type="button" dataOnly="0" labelOnly="1" outline="0" axis="axisRow" fieldPosition="10"/>
    </format>
    <format dxfId="16077">
      <pivotArea dataOnly="0" labelOnly="1" outline="0" axis="axisValues" fieldPosition="0"/>
    </format>
    <format dxfId="1607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1607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1607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07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072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1607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16070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6069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606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06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06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06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064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16063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1606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06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06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1605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0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605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605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605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05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05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05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05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05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04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04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04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4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0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0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0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0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0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0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604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603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03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603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0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03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6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03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3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3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2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2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2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2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2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2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1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60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60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60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0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60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60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6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600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600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6"/>
          </reference>
        </references>
      </pivotArea>
    </format>
    <format dxfId="1600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600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109"/>
          </reference>
        </references>
      </pivotArea>
    </format>
    <format dxfId="1599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63"/>
            <x v="106"/>
          </reference>
        </references>
      </pivotArea>
    </format>
    <format dxfId="1599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599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599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59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9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9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9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5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2"/>
          </reference>
        </references>
      </pivotArea>
    </format>
    <format dxfId="15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5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5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5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5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5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9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159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1"/>
            <x v="68"/>
          </reference>
        </references>
      </pivotArea>
    </format>
    <format dxfId="15977">
      <pivotArea dataOnly="0" labelOnly="1" outline="0" fieldPosition="0">
        <references count="7">
          <reference field="0" count="1" selected="0">
            <x v="7"/>
          </reference>
          <reference field="5" count="1">
            <x v="213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976">
      <pivotArea dataOnly="0" labelOnly="1" outline="0" fieldPosition="0">
        <references count="7">
          <reference field="0" count="1" selected="0">
            <x v="13"/>
          </reference>
          <reference field="5" count="1">
            <x v="4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975">
      <pivotArea dataOnly="0" labelOnly="1" outline="0" fieldPosition="0">
        <references count="7">
          <reference field="0" count="1" selected="0">
            <x v="13"/>
          </reference>
          <reference field="5" count="1">
            <x v="259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974">
      <pivotArea dataOnly="0" labelOnly="1" outline="0" fieldPosition="0">
        <references count="7">
          <reference field="0" count="1" selected="0">
            <x v="13"/>
          </reference>
          <reference field="5" count="1">
            <x v="74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973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972">
      <pivotArea dataOnly="0" labelOnly="1" outline="0" fieldPosition="0">
        <references count="7">
          <reference field="0" count="1" selected="0">
            <x v="14"/>
          </reference>
          <reference field="5" count="1">
            <x v="594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971">
      <pivotArea dataOnly="0" labelOnly="1" outline="0" fieldPosition="0">
        <references count="7">
          <reference field="0" count="1" selected="0">
            <x v="10"/>
          </reference>
          <reference field="5" count="1">
            <x v="195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970">
      <pivotArea dataOnly="0" labelOnly="1" outline="0" fieldPosition="0">
        <references count="7">
          <reference field="0" count="1" selected="0">
            <x v="10"/>
          </reference>
          <reference field="5" count="1">
            <x v="674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969">
      <pivotArea dataOnly="0" labelOnly="1" outline="0" fieldPosition="0">
        <references count="7">
          <reference field="0" count="1" selected="0">
            <x v="10"/>
          </reference>
          <reference field="5" count="1">
            <x v="464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968">
      <pivotArea dataOnly="0" labelOnly="1" outline="0" fieldPosition="0">
        <references count="7">
          <reference field="0" count="1" selected="0">
            <x v="10"/>
          </reference>
          <reference field="5" count="1">
            <x v="737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967">
      <pivotArea dataOnly="0" labelOnly="1" outline="0" fieldPosition="0">
        <references count="7">
          <reference field="0" count="1" selected="0">
            <x v="10"/>
          </reference>
          <reference field="5" count="2">
            <x v="4531"/>
            <x v="499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966">
      <pivotArea dataOnly="0" labelOnly="1" outline="0" fieldPosition="0">
        <references count="7">
          <reference field="0" count="1" selected="0">
            <x v="10"/>
          </reference>
          <reference field="5" count="1">
            <x v="571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5965">
      <pivotArea dataOnly="0" labelOnly="1" outline="0" fieldPosition="0">
        <references count="7">
          <reference field="0" count="1" selected="0">
            <x v="12"/>
          </reference>
          <reference field="5" count="3">
            <x v="7501"/>
            <x v="7502"/>
            <x v="75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964">
      <pivotArea dataOnly="0" labelOnly="1" outline="0" fieldPosition="0">
        <references count="7">
          <reference field="0" count="1" selected="0">
            <x v="13"/>
          </reference>
          <reference field="5" count="1">
            <x v="74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63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962">
      <pivotArea dataOnly="0" labelOnly="1" outline="0" fieldPosition="0">
        <references count="7">
          <reference field="0" count="1" selected="0">
            <x v="13"/>
          </reference>
          <reference field="5" count="1"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961">
      <pivotArea dataOnly="0" labelOnly="1" outline="0" fieldPosition="0">
        <references count="7">
          <reference field="0" count="1" selected="0">
            <x v="14"/>
          </reference>
          <reference field="5" count="1">
            <x v="7500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5960">
      <pivotArea dataOnly="0" labelOnly="1" outline="0" fieldPosition="0">
        <references count="7">
          <reference field="0" count="1" selected="0">
            <x v="14"/>
          </reference>
          <reference field="5" count="1">
            <x v="7480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959">
      <pivotArea dataOnly="0" labelOnly="1" outline="0" fieldPosition="0">
        <references count="7">
          <reference field="0" count="1" selected="0">
            <x v="14"/>
          </reference>
          <reference field="5" count="1">
            <x v="343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5958">
      <pivotArea dataOnly="0" labelOnly="1" outline="0" fieldPosition="0">
        <references count="7">
          <reference field="0" count="1" selected="0">
            <x v="14"/>
          </reference>
          <reference field="5" count="1">
            <x v="7373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957">
      <pivotArea dataOnly="0" labelOnly="1" outline="0" fieldPosition="0">
        <references count="7">
          <reference field="0" count="1" selected="0">
            <x v="14"/>
          </reference>
          <reference field="5" count="1">
            <x v="3546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956">
      <pivotArea dataOnly="0" labelOnly="1" outline="0" fieldPosition="0">
        <references count="7">
          <reference field="0" count="1" selected="0">
            <x v="14"/>
          </reference>
          <reference field="5" count="1">
            <x v="656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955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5954">
      <pivotArea dataOnly="0" labelOnly="1" outline="0" fieldPosition="0">
        <references count="7">
          <reference field="0" count="1" selected="0">
            <x v="14"/>
          </reference>
          <reference field="5" count="1">
            <x v="740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953">
      <pivotArea dataOnly="0" labelOnly="1" outline="0" fieldPosition="0">
        <references count="7">
          <reference field="0" count="1" selected="0">
            <x v="15"/>
          </reference>
          <reference field="5" count="1">
            <x v="74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952">
      <pivotArea dataOnly="0" labelOnly="1" outline="0" fieldPosition="0">
        <references count="7">
          <reference field="0" count="1" selected="0">
            <x v="15"/>
          </reference>
          <reference field="5" count="1">
            <x v="748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51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950">
      <pivotArea dataOnly="0" labelOnly="1" outline="0" fieldPosition="0">
        <references count="7">
          <reference field="0" count="1" selected="0">
            <x v="15"/>
          </reference>
          <reference field="5" count="2">
            <x v="7498"/>
            <x v="749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949">
      <pivotArea dataOnly="0" labelOnly="1" outline="0" fieldPosition="0">
        <references count="7">
          <reference field="0" count="1" selected="0">
            <x v="15"/>
          </reference>
          <reference field="5" count="1">
            <x v="136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59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9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9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94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94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7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94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94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3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94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5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94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0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9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9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9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3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59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9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9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9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9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6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93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929">
      <pivotArea dataOnly="0" labelOnly="1" outline="0" fieldPosition="0">
        <references count="9">
          <reference field="0" count="1" selected="0">
            <x v="7"/>
          </reference>
          <reference field="3" count="1">
            <x v="7333"/>
          </reference>
          <reference field="5" count="1" selected="0">
            <x v="21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9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927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926">
      <pivotArea dataOnly="0" labelOnly="1" outline="0" fieldPosition="0">
        <references count="9">
          <reference field="0" count="1" selected="0">
            <x v="10"/>
          </reference>
          <reference field="3" count="1">
            <x v="7350"/>
          </reference>
          <reference field="5" count="1" selected="0">
            <x v="19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925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7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924">
      <pivotArea dataOnly="0" labelOnly="1" outline="0" fieldPosition="0">
        <references count="9">
          <reference field="0" count="1" selected="0">
            <x v="10"/>
          </reference>
          <reference field="3" count="1">
            <x v="7352"/>
          </reference>
          <reference field="5" count="1" selected="0">
            <x v="46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923">
      <pivotArea dataOnly="0" labelOnly="1" outline="0" fieldPosition="0">
        <references count="9">
          <reference field="0" count="1" selected="0">
            <x v="10"/>
          </reference>
          <reference field="3" count="1">
            <x v="7347"/>
          </reference>
          <reference field="5" count="1" selected="0">
            <x v="73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922">
      <pivotArea dataOnly="0" labelOnly="1" outline="0" fieldPosition="0">
        <references count="9">
          <reference field="0" count="1" selected="0">
            <x v="10"/>
          </reference>
          <reference field="3" count="1">
            <x v="7354"/>
          </reference>
          <reference field="5" count="1" selected="0">
            <x v="45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921">
      <pivotArea dataOnly="0" labelOnly="1" outline="0" fieldPosition="0">
        <references count="9">
          <reference field="0" count="1" selected="0">
            <x v="10"/>
          </reference>
          <reference field="3" count="1">
            <x v="7344"/>
          </reference>
          <reference field="5" count="1" selected="0">
            <x v="49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920">
      <pivotArea dataOnly="0" labelOnly="1" outline="0" fieldPosition="0">
        <references count="9">
          <reference field="0" count="1" selected="0">
            <x v="10"/>
          </reference>
          <reference field="3" count="1">
            <x v="7351"/>
          </reference>
          <reference field="5" count="1" selected="0">
            <x v="57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591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0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91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1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7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91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0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59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914">
      <pivotArea dataOnly="0" labelOnly="1" outline="0" fieldPosition="0">
        <references count="9">
          <reference field="0" count="1" selected="0">
            <x v="14"/>
          </reference>
          <reference field="3" count="1">
            <x v="7332"/>
          </reference>
          <reference field="5" count="1" selected="0">
            <x v="343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5913">
      <pivotArea dataOnly="0" labelOnly="1" outline="0" fieldPosition="0">
        <references count="9">
          <reference field="0" count="1" selected="0">
            <x v="14"/>
          </reference>
          <reference field="3" count="1">
            <x v="7341"/>
          </reference>
          <reference field="5" count="1" selected="0">
            <x v="737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912">
      <pivotArea dataOnly="0" labelOnly="1" outline="0" fieldPosition="0">
        <references count="9">
          <reference field="0" count="1" selected="0">
            <x v="14"/>
          </reference>
          <reference field="3" count="1">
            <x v="7438"/>
          </reference>
          <reference field="5" count="1" selected="0">
            <x v="354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911">
      <pivotArea dataOnly="0" labelOnly="1" outline="0" fieldPosition="0">
        <references count="9">
          <reference field="0" count="1" selected="0">
            <x v="14"/>
          </reference>
          <reference field="3" count="1">
            <x v="7312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9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0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90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6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908">
      <pivotArea dataOnly="0" labelOnly="1" outline="0" fieldPosition="0">
        <references count="9">
          <reference field="0" count="1" selected="0">
            <x v="15"/>
          </reference>
          <reference field="3" count="1">
            <x v="7437"/>
          </reference>
          <reference field="5" count="1" selected="0">
            <x v="748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0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36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59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3"/>
          </reference>
          <reference field="5" count="1" selected="0">
            <x v="21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9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9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90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50"/>
          </reference>
          <reference field="5" count="1" selected="0">
            <x v="19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90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74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90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52"/>
          </reference>
          <reference field="5" count="1" selected="0">
            <x v="46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90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47"/>
          </reference>
          <reference field="5" count="1" selected="0">
            <x v="73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89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54"/>
          </reference>
          <reference field="5" count="1" selected="0">
            <x v="45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89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89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9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8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0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58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8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2"/>
          </reference>
          <reference field="5" count="1" selected="0">
            <x v="34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58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1"/>
          </reference>
          <reference field="5" count="1" selected="0">
            <x v="73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8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8"/>
          </reference>
          <reference field="5" count="1" selected="0">
            <x v="35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8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2"/>
          </reference>
          <reference field="5" count="1" selected="0">
            <x v="6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8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8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8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7"/>
          </reference>
          <reference field="5" count="1" selected="0">
            <x v="74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3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5885">
      <pivotArea dataOnly="0" labelOnly="1" outline="0" fieldPosition="0">
        <references count="11">
          <reference field="0" count="1" selected="0">
            <x v="10"/>
          </reference>
          <reference field="1" count="1">
            <x v="7095"/>
          </reference>
          <reference field="3" count="1" selected="0">
            <x v="7352"/>
          </reference>
          <reference field="5" count="1" selected="0">
            <x v="46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884">
      <pivotArea dataOnly="0" labelOnly="1" outline="0" fieldPosition="0">
        <references count="11">
          <reference field="0" count="1" selected="0">
            <x v="12"/>
          </reference>
          <reference field="1" count="1">
            <x v="7217"/>
          </reference>
          <reference field="3" count="1" selected="0">
            <x v="0"/>
          </reference>
          <reference field="5" count="1" selected="0">
            <x v="750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883">
      <pivotArea dataOnly="0" labelOnly="1" outline="0" fieldPosition="0">
        <references count="11">
          <reference field="0" count="1" selected="0">
            <x v="15"/>
          </reference>
          <reference field="1" count="1">
            <x v="7199"/>
          </reference>
          <reference field="3" count="1" selected="0">
            <x v="7437"/>
          </reference>
          <reference field="5" count="1" selected="0">
            <x v="748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82">
      <pivotArea dataOnly="0" labelOnly="1" outline="0" fieldPosition="0">
        <references count="11">
          <reference field="0" count="1" selected="0">
            <x v="15"/>
          </reference>
          <reference field="1" count="1">
            <x v="7060"/>
          </reference>
          <reference field="3" count="1" selected="0">
            <x v="0"/>
          </reference>
          <reference field="5" count="1" selected="0">
            <x v="2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881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27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880">
      <pivotArea dataOnly="0" labelOnly="1" outline="0" fieldPosition="0">
        <references count="11">
          <reference field="0" count="1" selected="0">
            <x v="15"/>
          </reference>
          <reference field="1" count="1">
            <x v="7215"/>
          </reference>
          <reference field="3" count="1" selected="0">
            <x v="0"/>
          </reference>
          <reference field="5" count="1" selected="0">
            <x v="749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879">
      <pivotArea dataOnly="0" outline="0" fieldPosition="0">
        <references count="1">
          <reference field="12" count="0" defaultSubtotal="1"/>
        </references>
      </pivotArea>
    </format>
    <format dxfId="15878">
      <pivotArea outline="0" collapsedLevelsAreSubtotals="1" fieldPosition="0"/>
    </format>
    <format dxfId="15877">
      <pivotArea dataOnly="0" labelOnly="1" outline="0" axis="axisValues" fieldPosition="0"/>
    </format>
    <format dxfId="15876">
      <pivotArea dataOnly="0" outline="0" fieldPosition="0">
        <references count="1">
          <reference field="12" count="0" defaultSubtotal="1"/>
        </references>
      </pivotArea>
    </format>
    <format dxfId="15875">
      <pivotArea outline="0" collapsedLevelsAreSubtotals="1" fieldPosition="0"/>
    </format>
    <format dxfId="15874">
      <pivotArea dataOnly="0" labelOnly="1" outline="0" axis="axisValues" fieldPosition="0"/>
    </format>
    <format dxfId="15873">
      <pivotArea outline="0" collapsedLevelsAreSubtotals="1" fieldPosition="0"/>
    </format>
    <format dxfId="15872">
      <pivotArea dataOnly="0" labelOnly="1" outline="0" axis="axisValues" fieldPosition="0"/>
    </format>
    <format dxfId="15871">
      <pivotArea dataOnly="0" labelOnly="1" outline="0" axis="axisValues" fieldPosition="0"/>
    </format>
    <format dxfId="15870">
      <pivotArea outline="0" collapsedLevelsAreSubtotals="1" fieldPosition="0"/>
    </format>
    <format dxfId="15869">
      <pivotArea field="12" type="button" dataOnly="0" labelOnly="1" outline="0" axis="axisRow" fieldPosition="2"/>
    </format>
    <format dxfId="15868">
      <pivotArea field="10" type="button" dataOnly="0" labelOnly="1" outline="0" axis="axisRow" fieldPosition="3"/>
    </format>
    <format dxfId="15867">
      <pivotArea field="16" type="button" dataOnly="0" labelOnly="1" outline="0" axis="axisRow" fieldPosition="4"/>
    </format>
    <format dxfId="15866">
      <pivotArea field="18" type="button" dataOnly="0" labelOnly="1" outline="0" axis="axisRow" fieldPosition="5"/>
    </format>
    <format dxfId="15865">
      <pivotArea field="5" type="button" dataOnly="0" labelOnly="1" outline="0" axis="axisRow" fieldPosition="6"/>
    </format>
    <format dxfId="15864">
      <pivotArea field="9" type="button" dataOnly="0" labelOnly="1" outline="0" axis="axisRow" fieldPosition="7"/>
    </format>
    <format dxfId="15863">
      <pivotArea field="3" type="button" dataOnly="0" labelOnly="1" outline="0" axis="axisRow" fieldPosition="8"/>
    </format>
    <format dxfId="15862">
      <pivotArea field="7" type="button" dataOnly="0" labelOnly="1" outline="0" axis="axisRow" fieldPosition="9"/>
    </format>
    <format dxfId="15861">
      <pivotArea field="1" type="button" dataOnly="0" labelOnly="1" outline="0" axis="axisRow" fieldPosition="10"/>
    </format>
    <format dxfId="15860">
      <pivotArea dataOnly="0" labelOnly="1" outline="0" axis="axisValues" fieldPosition="0"/>
    </format>
    <format dxfId="1585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85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857">
      <pivotArea dataOnly="0" labelOnly="1" outline="0" fieldPosition="0">
        <references count="3">
          <reference field="0" count="1" selected="0">
            <x v="14"/>
          </reference>
          <reference field="12" count="5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15856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15855">
      <pivotArea dataOnly="0" labelOnly="1" outline="0" fieldPosition="0">
        <references count="3">
          <reference field="0" count="1" selected="0">
            <x v="2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5854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585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585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585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85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84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84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847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15846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1584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84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84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8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584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584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0"/>
          </reference>
        </references>
      </pivotArea>
    </format>
    <format dxfId="1583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583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583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583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83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83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83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83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83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83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82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82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82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82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82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8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8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8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58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8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8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581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58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8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581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81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581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81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8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58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8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8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80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0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0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0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0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0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0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9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9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7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8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57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57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7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57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57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7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5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576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76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576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76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46"/>
          </reference>
        </references>
      </pivotArea>
    </format>
    <format dxfId="1576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1576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76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7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576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9"/>
            <x v="63"/>
          </reference>
        </references>
      </pivotArea>
    </format>
    <format dxfId="157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7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7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7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7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7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57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5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5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5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5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5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5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5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5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5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57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57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8"/>
          </reference>
        </references>
      </pivotArea>
    </format>
    <format dxfId="15738">
      <pivotArea dataOnly="0" labelOnly="1" outline="0" fieldPosition="0">
        <references count="7">
          <reference field="0" count="1" selected="0">
            <x v="13"/>
          </reference>
          <reference field="5" count="1">
            <x v="4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737">
      <pivotArea dataOnly="0" labelOnly="1" outline="0" fieldPosition="0">
        <references count="7">
          <reference field="0" count="1" selected="0">
            <x v="13"/>
          </reference>
          <reference field="5" count="1">
            <x v="259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736">
      <pivotArea dataOnly="0" labelOnly="1" outline="0" fieldPosition="0">
        <references count="7">
          <reference field="0" count="1" selected="0">
            <x v="13"/>
          </reference>
          <reference field="5" count="1">
            <x v="74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735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734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733">
      <pivotArea dataOnly="0" labelOnly="1" outline="0" fieldPosition="0">
        <references count="7">
          <reference field="0" count="1" selected="0">
            <x v="14"/>
          </reference>
          <reference field="5" count="1">
            <x v="594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732">
      <pivotArea dataOnly="0" labelOnly="1" outline="0" fieldPosition="0">
        <references count="7">
          <reference field="0" count="1" selected="0">
            <x v="2"/>
          </reference>
          <reference field="5" count="1">
            <x v="725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731">
      <pivotArea dataOnly="0" labelOnly="1" outline="0" fieldPosition="0">
        <references count="7">
          <reference field="0" count="1" selected="0">
            <x v="2"/>
          </reference>
          <reference field="5" count="1">
            <x v="743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5730">
      <pivotArea dataOnly="0" labelOnly="1" outline="0" fieldPosition="0">
        <references count="7">
          <reference field="0" count="1" selected="0">
            <x v="2"/>
          </reference>
          <reference field="5" count="1">
            <x v="743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729">
      <pivotArea dataOnly="0" labelOnly="1" outline="0" fieldPosition="0">
        <references count="7">
          <reference field="0" count="1" selected="0">
            <x v="2"/>
          </reference>
          <reference field="5" count="1">
            <x v="600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728">
      <pivotArea dataOnly="0" labelOnly="1" outline="0" fieldPosition="0">
        <references count="7">
          <reference field="0" count="1" selected="0">
            <x v="2"/>
          </reference>
          <reference field="5" count="1">
            <x v="43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5727">
      <pivotArea dataOnly="0" labelOnly="1" outline="0" fieldPosition="0">
        <references count="7">
          <reference field="0" count="1" selected="0">
            <x v="7"/>
          </reference>
          <reference field="5" count="1">
            <x v="213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726">
      <pivotArea dataOnly="0" labelOnly="1" outline="0" fieldPosition="0">
        <references count="7">
          <reference field="0" count="1" selected="0">
            <x v="12"/>
          </reference>
          <reference field="5" count="1">
            <x v="594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725">
      <pivotArea dataOnly="0" labelOnly="1" outline="0" fieldPosition="0">
        <references count="7">
          <reference field="0" count="1" selected="0">
            <x v="12"/>
          </reference>
          <reference field="5" count="1">
            <x v="750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724">
      <pivotArea dataOnly="0" labelOnly="1" outline="0" fieldPosition="0">
        <references count="7">
          <reference field="0" count="1" selected="0">
            <x v="13"/>
          </reference>
          <reference field="5" count="1">
            <x v="74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23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722">
      <pivotArea dataOnly="0" labelOnly="1" outline="0" fieldPosition="0">
        <references count="7">
          <reference field="0" count="1" selected="0">
            <x v="13"/>
          </reference>
          <reference field="5" count="1"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721">
      <pivotArea dataOnly="0" labelOnly="1" outline="0" fieldPosition="0">
        <references count="7">
          <reference field="0" count="1" selected="0">
            <x v="14"/>
          </reference>
          <reference field="5" count="1">
            <x v="423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720">
      <pivotArea dataOnly="0" labelOnly="1" outline="0" fieldPosition="0">
        <references count="7">
          <reference field="0" count="1" selected="0">
            <x v="14"/>
          </reference>
          <reference field="5" count="1">
            <x v="716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719">
      <pivotArea dataOnly="0" labelOnly="1" outline="0" fieldPosition="0">
        <references count="7">
          <reference field="0" count="1" selected="0">
            <x v="14"/>
          </reference>
          <reference field="5" count="1">
            <x v="6103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5718">
      <pivotArea dataOnly="0" labelOnly="1" outline="0" fieldPosition="0">
        <references count="7">
          <reference field="0" count="1" selected="0">
            <x v="14"/>
          </reference>
          <reference field="5" count="1">
            <x v="7373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717">
      <pivotArea dataOnly="0" labelOnly="1" outline="0" fieldPosition="0">
        <references count="7">
          <reference field="0" count="1" selected="0">
            <x v="14"/>
          </reference>
          <reference field="5" count="1">
            <x v="3988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716">
      <pivotArea dataOnly="0" labelOnly="1" outline="0" fieldPosition="0">
        <references count="7">
          <reference field="0" count="1" selected="0">
            <x v="14"/>
          </reference>
          <reference field="5" count="1">
            <x v="4052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5715">
      <pivotArea dataOnly="0" labelOnly="1" outline="0" fieldPosition="0">
        <references count="7">
          <reference field="0" count="1" selected="0">
            <x v="14"/>
          </reference>
          <reference field="5" count="1">
            <x v="656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714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5713">
      <pivotArea dataOnly="0" labelOnly="1" outline="0" fieldPosition="0">
        <references count="7">
          <reference field="0" count="1" selected="0">
            <x v="14"/>
          </reference>
          <reference field="5" count="1">
            <x v="235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712">
      <pivotArea dataOnly="0" labelOnly="1" outline="0" fieldPosition="0">
        <references count="7">
          <reference field="0" count="1" selected="0">
            <x v="15"/>
          </reference>
          <reference field="5" count="1">
            <x v="748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11">
      <pivotArea dataOnly="0" labelOnly="1" outline="0" fieldPosition="0">
        <references count="7">
          <reference field="0" count="1" selected="0">
            <x v="15"/>
          </reference>
          <reference field="5" count="1"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710">
      <pivotArea dataOnly="0" labelOnly="1" outline="0" fieldPosition="0">
        <references count="7">
          <reference field="0" count="1" selected="0">
            <x v="15"/>
          </reference>
          <reference field="5" count="1">
            <x v="747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709">
      <pivotArea dataOnly="0" labelOnly="1" outline="0" fieldPosition="0">
        <references count="7">
          <reference field="0" count="1" selected="0">
            <x v="15"/>
          </reference>
          <reference field="5" count="1">
            <x v="136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57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7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7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70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2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70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4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570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4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70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0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70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57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69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4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6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6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3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6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6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56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6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6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5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56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6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5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68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8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8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6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685">
      <pivotArea dataOnly="0" labelOnly="1" outline="0" fieldPosition="0">
        <references count="9">
          <reference field="0" count="1" selected="0">
            <x v="14"/>
          </reference>
          <reference field="3" count="1">
            <x v="7455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684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68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2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68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568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4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680">
      <pivotArea dataOnly="0" labelOnly="1" outline="0" fieldPosition="0">
        <references count="9">
          <reference field="0" count="1" selected="0">
            <x v="2"/>
          </reference>
          <reference field="3" count="1">
            <x v="7359"/>
          </reference>
          <reference field="5" count="1" selected="0">
            <x v="60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679">
      <pivotArea dataOnly="0" labelOnly="1" outline="0" fieldPosition="0">
        <references count="9">
          <reference field="0" count="1" selected="0">
            <x v="2"/>
          </reference>
          <reference field="3" count="1">
            <x v="7360"/>
          </reference>
          <reference field="5" count="1" selected="0">
            <x v="43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5678">
      <pivotArea dataOnly="0" labelOnly="1" outline="0" fieldPosition="0">
        <references count="9">
          <reference field="0" count="1" selected="0">
            <x v="7"/>
          </reference>
          <reference field="3" count="1">
            <x v="7333"/>
          </reference>
          <reference field="5" count="1" selected="0">
            <x v="21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67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4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67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7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7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6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23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673">
      <pivotArea dataOnly="0" labelOnly="1" outline="0" fieldPosition="0">
        <references count="9">
          <reference field="0" count="1" selected="0">
            <x v="14"/>
          </reference>
          <reference field="3" count="1">
            <x v="7456"/>
          </reference>
          <reference field="5" count="1" selected="0">
            <x v="71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672">
      <pivotArea dataOnly="0" labelOnly="1" outline="0" fieldPosition="0">
        <references count="9">
          <reference field="0" count="1" selected="0">
            <x v="14"/>
          </reference>
          <reference field="3" count="1">
            <x v="7226"/>
          </reference>
          <reference field="5" count="1" selected="0">
            <x v="61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5671">
      <pivotArea dataOnly="0" labelOnly="1" outline="0" fieldPosition="0">
        <references count="9">
          <reference field="0" count="1" selected="0">
            <x v="14"/>
          </reference>
          <reference field="3" count="1">
            <x v="7341"/>
          </reference>
          <reference field="5" count="1" selected="0">
            <x v="737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670">
      <pivotArea dataOnly="0" labelOnly="1" outline="0" fieldPosition="0">
        <references count="9">
          <reference field="0" count="1" selected="0">
            <x v="14"/>
          </reference>
          <reference field="3" count="1">
            <x v="7405"/>
          </reference>
          <reference field="5" count="1" selected="0">
            <x v="398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6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05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5668">
      <pivotArea dataOnly="0" labelOnly="1" outline="0" fieldPosition="0">
        <references count="9">
          <reference field="0" count="1" selected="0">
            <x v="14"/>
          </reference>
          <reference field="3" count="1">
            <x v="7312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667">
      <pivotArea dataOnly="0" labelOnly="1" outline="0" fieldPosition="0">
        <references count="9">
          <reference field="0" count="1" selected="0">
            <x v="14"/>
          </reference>
          <reference field="3" count="1">
            <x v="7457"/>
          </reference>
          <reference field="5" count="1" selected="0">
            <x v="235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666">
      <pivotArea dataOnly="0" labelOnly="1" outline="0" fieldPosition="0">
        <references count="9">
          <reference field="0" count="1" selected="0">
            <x v="15"/>
          </reference>
          <reference field="3" count="1">
            <x v="7437"/>
          </reference>
          <reference field="5" count="1" selected="0">
            <x v="748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6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5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6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66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2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66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4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566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4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65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59"/>
          </reference>
          <reference field="5" count="1" selected="0">
            <x v="60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65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60"/>
          </reference>
          <reference field="5" count="1" selected="0">
            <x v="43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56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3"/>
          </reference>
          <reference field="5" count="1" selected="0">
            <x v="21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65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65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5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6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2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6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6"/>
          </reference>
          <reference field="5" count="1" selected="0">
            <x v="71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6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6"/>
          </reference>
          <reference field="5" count="1" selected="0">
            <x v="61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56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1"/>
          </reference>
          <reference field="5" count="1" selected="0">
            <x v="73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6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5"/>
          </reference>
          <reference field="5" count="1" selected="0">
            <x v="39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6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0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56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2"/>
          </reference>
          <reference field="5" count="1" selected="0">
            <x v="6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6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7"/>
          </reference>
          <reference field="5" count="1" selected="0">
            <x v="23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6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7"/>
          </reference>
          <reference field="5" count="1" selected="0">
            <x v="74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44">
      <pivotArea dataOnly="0" labelOnly="1" outline="0" fieldPosition="0">
        <references count="11">
          <reference field="0" count="1" selected="0">
            <x v="2"/>
          </reference>
          <reference field="1" count="1">
            <x v="7100"/>
          </reference>
          <reference field="3" count="1" selected="0">
            <x v="7359"/>
          </reference>
          <reference field="5" count="1" selected="0">
            <x v="60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643">
      <pivotArea dataOnly="0" labelOnly="1" outline="0" fieldPosition="0">
        <references count="11">
          <reference field="0" count="1" selected="0">
            <x v="12"/>
          </reference>
          <reference field="1" count="1">
            <x v="7226"/>
          </reference>
          <reference field="3" count="1" selected="0">
            <x v="0"/>
          </reference>
          <reference field="5" count="1" selected="0">
            <x v="75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642">
      <pivotArea dataOnly="0" labelOnly="1" outline="0" fieldPosition="0">
        <references count="11">
          <reference field="0" count="1" selected="0">
            <x v="14"/>
          </reference>
          <reference field="1" count="1">
            <x v="7222"/>
          </reference>
          <reference field="3" count="1" selected="0">
            <x v="2"/>
          </reference>
          <reference field="5" count="1" selected="0">
            <x v="40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5641">
      <pivotArea dataOnly="0" labelOnly="1" outline="0" fieldPosition="0">
        <references count="11">
          <reference field="0" count="1" selected="0">
            <x v="15"/>
          </reference>
          <reference field="1" count="1">
            <x v="7199"/>
          </reference>
          <reference field="3" count="1" selected="0">
            <x v="7437"/>
          </reference>
          <reference field="5" count="1" selected="0">
            <x v="748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40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27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639">
      <pivotArea outline="0" collapsedLevelsAreSubtotals="1" fieldPosition="0"/>
    </format>
    <format dxfId="15638">
      <pivotArea dataOnly="0" labelOnly="1" outline="0" axis="axisValues" fieldPosition="0"/>
    </format>
    <format dxfId="15637">
      <pivotArea dataOnly="0" outline="0" fieldPosition="0">
        <references count="1">
          <reference field="12" count="0" defaultSubtotal="1"/>
        </references>
      </pivotArea>
    </format>
    <format dxfId="15636">
      <pivotArea outline="0" collapsedLevelsAreSubtotals="1" fieldPosition="0"/>
    </format>
    <format dxfId="15635">
      <pivotArea dataOnly="0" labelOnly="1" outline="0" axis="axisValues" fieldPosition="0"/>
    </format>
    <format dxfId="15634">
      <pivotArea outline="0" collapsedLevelsAreSubtotals="1" fieldPosition="0"/>
    </format>
    <format dxfId="15633">
      <pivotArea dataOnly="0" labelOnly="1" outline="0" axis="axisValues" fieldPosition="0"/>
    </format>
    <format dxfId="15632">
      <pivotArea dataOnly="0" labelOnly="1" outline="0" axis="axisValues" fieldPosition="0"/>
    </format>
    <format dxfId="15631">
      <pivotArea outline="0" collapsedLevelsAreSubtotals="1" fieldPosition="0"/>
    </format>
    <format dxfId="15630">
      <pivotArea field="12" type="button" dataOnly="0" labelOnly="1" outline="0" axis="axisRow" fieldPosition="2"/>
    </format>
    <format dxfId="15629">
      <pivotArea field="10" type="button" dataOnly="0" labelOnly="1" outline="0" axis="axisRow" fieldPosition="3"/>
    </format>
    <format dxfId="15628">
      <pivotArea field="16" type="button" dataOnly="0" labelOnly="1" outline="0" axis="axisRow" fieldPosition="4"/>
    </format>
    <format dxfId="15627">
      <pivotArea field="18" type="button" dataOnly="0" labelOnly="1" outline="0" axis="axisRow" fieldPosition="5"/>
    </format>
    <format dxfId="15626">
      <pivotArea field="5" type="button" dataOnly="0" labelOnly="1" outline="0" axis="axisRow" fieldPosition="6"/>
    </format>
    <format dxfId="15625">
      <pivotArea field="9" type="button" dataOnly="0" labelOnly="1" outline="0" axis="axisRow" fieldPosition="7"/>
    </format>
    <format dxfId="15624">
      <pivotArea field="3" type="button" dataOnly="0" labelOnly="1" outline="0" axis="axisRow" fieldPosition="8"/>
    </format>
    <format dxfId="15623">
      <pivotArea field="7" type="button" dataOnly="0" labelOnly="1" outline="0" axis="axisRow" fieldPosition="9"/>
    </format>
    <format dxfId="15622">
      <pivotArea field="1" type="button" dataOnly="0" labelOnly="1" outline="0" axis="axisRow" fieldPosition="10"/>
    </format>
    <format dxfId="15621">
      <pivotArea dataOnly="0" labelOnly="1" outline="0" axis="axisValues" fieldPosition="0"/>
    </format>
    <format dxfId="1562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61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61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61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616">
      <pivotArea dataOnly="0" labelOnly="1" outline="0" fieldPosition="0">
        <references count="3">
          <reference field="0" count="1" selected="0">
            <x v="14"/>
          </reference>
          <reference field="12" count="4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15615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15614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5613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561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61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61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60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60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60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606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15605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1560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60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6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60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600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55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559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1559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559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59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59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59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59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59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59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5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5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5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5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55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558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58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558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5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58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5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5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55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5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57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7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7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7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6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55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55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55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5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55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55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5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155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55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554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2"/>
          </reference>
        </references>
      </pivotArea>
    </format>
    <format dxfId="1554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39"/>
            <x v="42"/>
          </reference>
        </references>
      </pivotArea>
    </format>
    <format dxfId="155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554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55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5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5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5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5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5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5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2"/>
          </reference>
        </references>
      </pivotArea>
    </format>
    <format dxfId="15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55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55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5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1"/>
            <x v="58"/>
          </reference>
        </references>
      </pivotArea>
    </format>
    <format dxfId="155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5529">
      <pivotArea dataOnly="0" labelOnly="1" outline="0" fieldPosition="0">
        <references count="7">
          <reference field="0" count="1" selected="0">
            <x v="13"/>
          </reference>
          <reference field="5" count="1">
            <x v="4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528">
      <pivotArea dataOnly="0" labelOnly="1" outline="0" fieldPosition="0">
        <references count="7">
          <reference field="0" count="1" selected="0">
            <x v="13"/>
          </reference>
          <reference field="5" count="1">
            <x v="259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527">
      <pivotArea dataOnly="0" labelOnly="1" outline="0" fieldPosition="0">
        <references count="7">
          <reference field="0" count="1" selected="0">
            <x v="13"/>
          </reference>
          <reference field="5" count="1">
            <x v="74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526">
      <pivotArea dataOnly="0" labelOnly="1" outline="0" fieldPosition="0">
        <references count="7">
          <reference field="0" count="1" selected="0">
            <x v="14"/>
          </reference>
          <reference field="5" count="1">
            <x v="7389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5525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524">
      <pivotArea dataOnly="0" labelOnly="1" outline="0" fieldPosition="0">
        <references count="7">
          <reference field="0" count="1" selected="0">
            <x v="14"/>
          </reference>
          <reference field="5" count="1">
            <x v="743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523">
      <pivotArea dataOnly="0" labelOnly="1" outline="0" fieldPosition="0">
        <references count="7">
          <reference field="0" count="1" selected="0">
            <x v="14"/>
          </reference>
          <reference field="5" count="1">
            <x v="594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522">
      <pivotArea dataOnly="0" labelOnly="1" outline="0" fieldPosition="0">
        <references count="7">
          <reference field="0" count="1" selected="0">
            <x v="0"/>
          </reference>
          <reference field="5" count="1">
            <x v="201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521">
      <pivotArea dataOnly="0" labelOnly="1" outline="0" fieldPosition="0">
        <references count="7">
          <reference field="0" count="1" selected="0">
            <x v="0"/>
          </reference>
          <reference field="5" count="1">
            <x v="227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520">
      <pivotArea dataOnly="0" labelOnly="1" outline="0" fieldPosition="0">
        <references count="7">
          <reference field="0" count="1" selected="0">
            <x v="0"/>
          </reference>
          <reference field="5" count="1">
            <x v="566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519">
      <pivotArea dataOnly="0" labelOnly="1" outline="0" fieldPosition="0">
        <references count="7">
          <reference field="0" count="1" selected="0">
            <x v="0"/>
          </reference>
          <reference field="5" count="1">
            <x v="743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518">
      <pivotArea dataOnly="0" labelOnly="1" outline="0" fieldPosition="0">
        <references count="7">
          <reference field="0" count="1" selected="0">
            <x v="7"/>
          </reference>
          <reference field="5" count="1">
            <x v="213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517">
      <pivotArea dataOnly="0" labelOnly="1" outline="0" fieldPosition="0">
        <references count="7">
          <reference field="0" count="1" selected="0">
            <x v="13"/>
          </reference>
          <reference field="5" count="1">
            <x v="74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16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515">
      <pivotArea dataOnly="0" labelOnly="1" outline="0" fieldPosition="0">
        <references count="7">
          <reference field="0" count="1" selected="0">
            <x v="13"/>
          </reference>
          <reference field="5" count="1"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514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513">
      <pivotArea dataOnly="0" labelOnly="1" outline="0" fieldPosition="0">
        <references count="7">
          <reference field="0" count="1" selected="0">
            <x v="14"/>
          </reference>
          <reference field="5" count="1">
            <x v="433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512">
      <pivotArea dataOnly="0" labelOnly="1" outline="0" fieldPosition="0">
        <references count="7">
          <reference field="0" count="1" selected="0">
            <x v="14"/>
          </reference>
          <reference field="5" count="1">
            <x v="656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511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5510">
      <pivotArea dataOnly="0" labelOnly="1" outline="0" fieldPosition="0">
        <references count="7">
          <reference field="0" count="1" selected="0">
            <x v="15"/>
          </reference>
          <reference field="5" count="1"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5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9"/>
          </reference>
          <reference field="9" count="1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55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5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5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505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5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5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5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5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3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4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49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497">
      <pivotArea dataOnly="0" labelOnly="1" outline="0" fieldPosition="0">
        <references count="9">
          <reference field="0" count="1" selected="0">
            <x v="14"/>
          </reference>
          <reference field="3" count="1">
            <x v="7365"/>
          </reference>
          <reference field="5" count="1" selected="0">
            <x v="7389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54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49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494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493">
      <pivotArea dataOnly="0" labelOnly="1" outline="0" fieldPosition="0">
        <references count="9">
          <reference field="0" count="1" selected="0">
            <x v="0"/>
          </reference>
          <reference field="3" count="1">
            <x v="7224"/>
          </reference>
          <reference field="5" count="1" selected="0">
            <x v="20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492">
      <pivotArea dataOnly="0" labelOnly="1" outline="0" fieldPosition="0">
        <references count="9">
          <reference field="0" count="1" selected="0">
            <x v="0"/>
          </reference>
          <reference field="3" count="1">
            <x v="7426"/>
          </reference>
          <reference field="5" count="1" selected="0">
            <x v="22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491">
      <pivotArea dataOnly="0" labelOnly="1" outline="0" fieldPosition="0">
        <references count="9">
          <reference field="0" count="1" selected="0">
            <x v="0"/>
          </reference>
          <reference field="3" count="1">
            <x v="7225"/>
          </reference>
          <reference field="5" count="1" selected="0">
            <x v="56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490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74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489">
      <pivotArea dataOnly="0" labelOnly="1" outline="0" fieldPosition="0">
        <references count="9">
          <reference field="0" count="1" selected="0">
            <x v="7"/>
          </reference>
          <reference field="3" count="1">
            <x v="7333"/>
          </reference>
          <reference field="5" count="1" selected="0">
            <x v="21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48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48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7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4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485">
      <pivotArea dataOnly="0" labelOnly="1" outline="0" fieldPosition="0">
        <references count="9">
          <reference field="0" count="1" selected="0">
            <x v="14"/>
          </reference>
          <reference field="3" count="1">
            <x v="7366"/>
          </reference>
          <reference field="5" count="1" selected="0">
            <x v="433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484">
      <pivotArea dataOnly="0" labelOnly="1" outline="0" fieldPosition="0">
        <references count="9">
          <reference field="0" count="1" selected="0">
            <x v="14"/>
          </reference>
          <reference field="3" count="1">
            <x v="7312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4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5"/>
          </reference>
          <reference field="5" count="1" selected="0">
            <x v="73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54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4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4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47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224"/>
          </reference>
          <reference field="5" count="1" selected="0">
            <x v="20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47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743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4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3"/>
          </reference>
          <reference field="5" count="1" selected="0">
            <x v="21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47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47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4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4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6"/>
          </reference>
          <reference field="5" count="1" selected="0">
            <x v="43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4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2"/>
          </reference>
          <reference field="5" count="1" selected="0">
            <x v="6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471">
      <pivotArea dataOnly="0" labelOnly="1" outline="0" fieldPosition="0">
        <references count="11">
          <reference field="0" count="1" selected="0">
            <x v="14"/>
          </reference>
          <reference field="1" count="1">
            <x v="7103"/>
          </reference>
          <reference field="3" count="1" selected="0">
            <x v="7365"/>
          </reference>
          <reference field="5" count="1" selected="0">
            <x v="73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5470">
      <pivotArea dataOnly="0" labelOnly="1" outline="0" fieldPosition="0">
        <references count="11">
          <reference field="0" count="1" selected="0">
            <x v="0"/>
          </reference>
          <reference field="1" count="1">
            <x v="7233"/>
          </reference>
          <reference field="3" count="1" selected="0">
            <x v="7426"/>
          </reference>
          <reference field="5" count="1" selected="0">
            <x v="22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469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27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468">
      <pivotArea outline="0" collapsedLevelsAreSubtotals="1" fieldPosition="0"/>
    </format>
    <format dxfId="15467">
      <pivotArea dataOnly="0" labelOnly="1" outline="0" axis="axisValues" fieldPosition="0"/>
    </format>
    <format dxfId="15466">
      <pivotArea dataOnly="0" outline="0" fieldPosition="0">
        <references count="1">
          <reference field="12" count="0" defaultSubtotal="1"/>
        </references>
      </pivotArea>
    </format>
    <format dxfId="15465">
      <pivotArea outline="0" collapsedLevelsAreSubtotals="1" fieldPosition="0"/>
    </format>
    <format dxfId="15464">
      <pivotArea dataOnly="0" labelOnly="1" outline="0" axis="axisValues" fieldPosition="0"/>
    </format>
    <format dxfId="15463">
      <pivotArea outline="0" collapsedLevelsAreSubtotals="1" fieldPosition="0"/>
    </format>
    <format dxfId="15462">
      <pivotArea dataOnly="0" labelOnly="1" outline="0" axis="axisValues" fieldPosition="0"/>
    </format>
    <format dxfId="15461">
      <pivotArea dataOnly="0" labelOnly="1" outline="0" axis="axisValues" fieldPosition="0"/>
    </format>
    <format dxfId="15460">
      <pivotArea outline="0" collapsedLevelsAreSubtotals="1" fieldPosition="0"/>
    </format>
    <format dxfId="15459">
      <pivotArea field="12" type="button" dataOnly="0" labelOnly="1" outline="0" axis="axisRow" fieldPosition="2"/>
    </format>
    <format dxfId="15458">
      <pivotArea field="10" type="button" dataOnly="0" labelOnly="1" outline="0" axis="axisRow" fieldPosition="3"/>
    </format>
    <format dxfId="15457">
      <pivotArea field="16" type="button" dataOnly="0" labelOnly="1" outline="0" axis="axisRow" fieldPosition="4"/>
    </format>
    <format dxfId="15456">
      <pivotArea field="18" type="button" dataOnly="0" labelOnly="1" outline="0" axis="axisRow" fieldPosition="5"/>
    </format>
    <format dxfId="15455">
      <pivotArea field="5" type="button" dataOnly="0" labelOnly="1" outline="0" axis="axisRow" fieldPosition="6"/>
    </format>
    <format dxfId="15454">
      <pivotArea field="9" type="button" dataOnly="0" labelOnly="1" outline="0" axis="axisRow" fieldPosition="7"/>
    </format>
    <format dxfId="15453">
      <pivotArea field="3" type="button" dataOnly="0" labelOnly="1" outline="0" axis="axisRow" fieldPosition="8"/>
    </format>
    <format dxfId="15452">
      <pivotArea field="7" type="button" dataOnly="0" labelOnly="1" outline="0" axis="axisRow" fieldPosition="9"/>
    </format>
    <format dxfId="15451">
      <pivotArea field="1" type="button" dataOnly="0" labelOnly="1" outline="0" axis="axisRow" fieldPosition="10"/>
    </format>
    <format dxfId="15450">
      <pivotArea dataOnly="0" labelOnly="1" outline="0" axis="axisValues" fieldPosition="0"/>
    </format>
    <format dxfId="1544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44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447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1544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15445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5444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544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44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44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44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43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543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543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43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43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4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543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543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543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43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2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2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2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4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4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42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42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54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54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4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4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54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541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54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41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41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541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1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4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5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4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4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4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3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9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53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53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3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53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53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3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53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53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53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537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53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3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3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3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3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3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53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5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5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5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5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5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5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15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53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5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53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1"/>
            <x v="58"/>
            <x v="130"/>
          </reference>
        </references>
      </pivotArea>
    </format>
    <format dxfId="153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5"/>
          </reference>
        </references>
      </pivotArea>
    </format>
    <format dxfId="15356">
      <pivotArea dataOnly="0" labelOnly="1" outline="0" fieldPosition="0">
        <references count="7">
          <reference field="0" count="1" selected="0">
            <x v="13"/>
          </reference>
          <reference field="5" count="1">
            <x v="4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355">
      <pivotArea dataOnly="0" labelOnly="1" outline="0" fieldPosition="0">
        <references count="7">
          <reference field="0" count="1" selected="0">
            <x v="13"/>
          </reference>
          <reference field="5" count="1">
            <x v="259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354">
      <pivotArea dataOnly="0" labelOnly="1" outline="0" fieldPosition="0">
        <references count="7">
          <reference field="0" count="1" selected="0">
            <x v="13"/>
          </reference>
          <reference field="5" count="1">
            <x v="74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353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352">
      <pivotArea dataOnly="0" labelOnly="1" outline="0" fieldPosition="0">
        <references count="7">
          <reference field="0" count="1" selected="0">
            <x v="14"/>
          </reference>
          <reference field="5" count="1">
            <x v="594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351">
      <pivotArea dataOnly="0" labelOnly="1" outline="0" fieldPosition="0">
        <references count="7">
          <reference field="0" count="1" selected="0">
            <x v="7"/>
          </reference>
          <reference field="5" count="1">
            <x v="213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350">
      <pivotArea dataOnly="0" labelOnly="1" outline="0" fieldPosition="0">
        <references count="7">
          <reference field="0" count="1" selected="0">
            <x v="12"/>
          </reference>
          <reference field="5" count="1">
            <x v="750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349">
      <pivotArea dataOnly="0" labelOnly="1" outline="0" fieldPosition="0">
        <references count="7">
          <reference field="0" count="1" selected="0">
            <x v="12"/>
          </reference>
          <reference field="5" count="1">
            <x v="75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348">
      <pivotArea dataOnly="0" labelOnly="1" outline="0" fieldPosition="0">
        <references count="7">
          <reference field="0" count="1" selected="0">
            <x v="13"/>
          </reference>
          <reference field="5" count="1">
            <x v="74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347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346">
      <pivotArea dataOnly="0" labelOnly="1" outline="0" fieldPosition="0">
        <references count="7">
          <reference field="0" count="1" selected="0">
            <x v="13"/>
          </reference>
          <reference field="5" count="1"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345">
      <pivotArea dataOnly="0" labelOnly="1" outline="0" fieldPosition="0">
        <references count="7">
          <reference field="0" count="1" selected="0">
            <x v="14"/>
          </reference>
          <reference field="5" count="1">
            <x v="7408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344">
      <pivotArea dataOnly="0" labelOnly="1" outline="0" fieldPosition="0">
        <references count="7">
          <reference field="0" count="1" selected="0">
            <x v="14"/>
          </reference>
          <reference field="5" count="1">
            <x v="433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343">
      <pivotArea dataOnly="0" labelOnly="1" outline="0" fieldPosition="0">
        <references count="7">
          <reference field="0" count="1" selected="0">
            <x v="14"/>
          </reference>
          <reference field="5" count="1">
            <x v="739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342">
      <pivotArea dataOnly="0" labelOnly="1" outline="0" fieldPosition="0">
        <references count="7">
          <reference field="0" count="1" selected="0">
            <x v="14"/>
          </reference>
          <reference field="5" count="1">
            <x v="7477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341">
      <pivotArea dataOnly="0" labelOnly="1" outline="0" fieldPosition="0">
        <references count="7">
          <reference field="0" count="1" selected="0">
            <x v="14"/>
          </reference>
          <reference field="5" count="1">
            <x v="3433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5340">
      <pivotArea dataOnly="0" labelOnly="1" outline="0" fieldPosition="0">
        <references count="7">
          <reference field="0" count="1" selected="0">
            <x v="14"/>
          </reference>
          <reference field="5" count="1">
            <x v="377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5339">
      <pivotArea dataOnly="0" labelOnly="1" outline="0" fieldPosition="0">
        <references count="7">
          <reference field="0" count="1" selected="0">
            <x v="14"/>
          </reference>
          <reference field="5" count="1">
            <x v="656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338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5337">
      <pivotArea dataOnly="0" labelOnly="1" outline="0" fieldPosition="0">
        <references count="7">
          <reference field="0" count="1" selected="0">
            <x v="14"/>
          </reference>
          <reference field="5" count="1">
            <x v="235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336">
      <pivotArea dataOnly="0" labelOnly="1" outline="0" fieldPosition="0">
        <references count="7">
          <reference field="0" count="1" selected="0">
            <x v="15"/>
          </reference>
          <reference field="5" count="1"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335">
      <pivotArea dataOnly="0" labelOnly="1" outline="0" fieldPosition="0">
        <references count="7">
          <reference field="0" count="1" selected="0">
            <x v="15"/>
          </reference>
          <reference field="5" count="1">
            <x v="38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15334">
      <pivotArea dataOnly="0" labelOnly="1" outline="0" fieldPosition="0">
        <references count="7">
          <reference field="0" count="1" selected="0">
            <x v="15"/>
          </reference>
          <reference field="5" count="1">
            <x v="111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53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3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3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33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0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3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3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3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3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3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3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3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3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3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53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53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3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5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31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31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10"/>
          </reference>
          <reference field="9" count="1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53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316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315">
      <pivotArea dataOnly="0" labelOnly="1" outline="0" fieldPosition="0">
        <references count="9">
          <reference field="0" count="1" selected="0">
            <x v="7"/>
          </reference>
          <reference field="3" count="1">
            <x v="7333"/>
          </reference>
          <reference field="5" count="1" selected="0">
            <x v="21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31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0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31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31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7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3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0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310">
      <pivotArea dataOnly="0" labelOnly="1" outline="0" fieldPosition="0">
        <references count="9">
          <reference field="0" count="1" selected="0">
            <x v="14"/>
          </reference>
          <reference field="3" count="1">
            <x v="7366"/>
          </reference>
          <reference field="5" count="1" selected="0">
            <x v="433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309">
      <pivotArea dataOnly="0" labelOnly="1" outline="0" fieldPosition="0">
        <references count="9">
          <reference field="0" count="1" selected="0">
            <x v="14"/>
          </reference>
          <reference field="3" count="1">
            <x v="7450"/>
          </reference>
          <reference field="5" count="1" selected="0">
            <x v="73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308">
      <pivotArea dataOnly="0" labelOnly="1" outline="0" fieldPosition="0">
        <references count="9">
          <reference field="0" count="1" selected="0">
            <x v="14"/>
          </reference>
          <reference field="3" count="1">
            <x v="7429"/>
          </reference>
          <reference field="5" count="1" selected="0">
            <x v="747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307">
      <pivotArea dataOnly="0" labelOnly="1" outline="0" fieldPosition="0">
        <references count="9">
          <reference field="0" count="1" selected="0">
            <x v="14"/>
          </reference>
          <reference field="3" count="1">
            <x v="7332"/>
          </reference>
          <reference field="5" count="1" selected="0">
            <x v="343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5306">
      <pivotArea dataOnly="0" labelOnly="1" outline="0" fieldPosition="0">
        <references count="9">
          <reference field="0" count="1" selected="0">
            <x v="14"/>
          </reference>
          <reference field="3" count="1">
            <x v="7371"/>
          </reference>
          <reference field="5" count="1" selected="0">
            <x v="377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5305">
      <pivotArea dataOnly="0" labelOnly="1" outline="0" fieldPosition="0">
        <references count="9">
          <reference field="0" count="1" selected="0">
            <x v="14"/>
          </reference>
          <reference field="3" count="1">
            <x v="7312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304">
      <pivotArea dataOnly="0" labelOnly="1" outline="0" fieldPosition="0">
        <references count="9">
          <reference field="0" count="1" selected="0">
            <x v="14"/>
          </reference>
          <reference field="3" count="1">
            <x v="7464"/>
          </reference>
          <reference field="5" count="1" selected="0">
            <x v="235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303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38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15302">
      <pivotArea dataOnly="0" labelOnly="1" outline="0" fieldPosition="0">
        <references count="9">
          <reference field="0" count="1" selected="0">
            <x v="15"/>
          </reference>
          <reference field="3" count="1">
            <x v="7462"/>
          </reference>
          <reference field="5" count="1" selected="0">
            <x v="111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53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3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2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3"/>
          </reference>
          <reference field="5" count="1" selected="0">
            <x v="21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29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29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9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2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2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6"/>
          </reference>
          <reference field="5" count="1" selected="0">
            <x v="43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2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0"/>
          </reference>
          <reference field="5" count="1" selected="0">
            <x v="73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2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9"/>
          </reference>
          <reference field="5" count="1" selected="0">
            <x v="74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2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2"/>
          </reference>
          <reference field="5" count="1" selected="0">
            <x v="34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52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1"/>
          </reference>
          <reference field="5" count="1" selected="0">
            <x v="37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52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2"/>
          </reference>
          <reference field="5" count="1" selected="0">
            <x v="6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2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4"/>
          </reference>
          <reference field="5" count="1" selected="0">
            <x v="23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2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38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15286">
      <pivotArea dataOnly="0" labelOnly="1" outline="0" fieldPosition="0">
        <references count="11">
          <reference field="0" count="1" selected="0">
            <x v="12"/>
          </reference>
          <reference field="1" count="1">
            <x v="7237"/>
          </reference>
          <reference field="3" count="1" selected="0">
            <x v="0"/>
          </reference>
          <reference field="5" count="1" selected="0">
            <x v="75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285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27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284">
      <pivotArea dataOnly="0" labelOnly="1" outline="0" fieldPosition="0">
        <references count="11">
          <reference field="0" count="1" selected="0">
            <x v="15"/>
          </reference>
          <reference field="1" count="1">
            <x v="7236"/>
          </reference>
          <reference field="3" count="1" selected="0">
            <x v="2"/>
          </reference>
          <reference field="5" count="1" selected="0">
            <x v="382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15283">
      <pivotArea outline="0" collapsedLevelsAreSubtotals="1" fieldPosition="0"/>
    </format>
    <format dxfId="15282">
      <pivotArea dataOnly="0" labelOnly="1" outline="0" axis="axisValues" fieldPosition="0"/>
    </format>
    <format dxfId="15281">
      <pivotArea dataOnly="0" outline="0" fieldPosition="0">
        <references count="1">
          <reference field="12" count="0" defaultSubtotal="1"/>
        </references>
      </pivotArea>
    </format>
    <format dxfId="15280">
      <pivotArea outline="0" collapsedLevelsAreSubtotals="1" fieldPosition="0"/>
    </format>
    <format dxfId="15279">
      <pivotArea dataOnly="0" labelOnly="1" outline="0" axis="axisValues" fieldPosition="0"/>
    </format>
    <format dxfId="15278">
      <pivotArea outline="0" collapsedLevelsAreSubtotals="1" fieldPosition="0"/>
    </format>
    <format dxfId="15277">
      <pivotArea dataOnly="0" labelOnly="1" outline="0" axis="axisValues" fieldPosition="0"/>
    </format>
    <format dxfId="15276">
      <pivotArea dataOnly="0" labelOnly="1" outline="0" axis="axisValues" fieldPosition="0"/>
    </format>
    <format dxfId="15275">
      <pivotArea outline="0" collapsedLevelsAreSubtotals="1" fieldPosition="0"/>
    </format>
    <format dxfId="15274">
      <pivotArea field="12" type="button" dataOnly="0" labelOnly="1" outline="0" axis="axisRow" fieldPosition="2"/>
    </format>
    <format dxfId="15273">
      <pivotArea field="10" type="button" dataOnly="0" labelOnly="1" outline="0" axis="axisRow" fieldPosition="3"/>
    </format>
    <format dxfId="15272">
      <pivotArea field="16" type="button" dataOnly="0" labelOnly="1" outline="0" axis="axisRow" fieldPosition="4"/>
    </format>
    <format dxfId="15271">
      <pivotArea field="18" type="button" dataOnly="0" labelOnly="1" outline="0" axis="axisRow" fieldPosition="5"/>
    </format>
    <format dxfId="15270">
      <pivotArea field="5" type="button" dataOnly="0" labelOnly="1" outline="0" axis="axisRow" fieldPosition="6"/>
    </format>
    <format dxfId="15269">
      <pivotArea field="9" type="button" dataOnly="0" labelOnly="1" outline="0" axis="axisRow" fieldPosition="7"/>
    </format>
    <format dxfId="15268">
      <pivotArea field="3" type="button" dataOnly="0" labelOnly="1" outline="0" axis="axisRow" fieldPosition="8"/>
    </format>
    <format dxfId="15267">
      <pivotArea field="7" type="button" dataOnly="0" labelOnly="1" outline="0" axis="axisRow" fieldPosition="9"/>
    </format>
    <format dxfId="15266">
      <pivotArea field="1" type="button" dataOnly="0" labelOnly="1" outline="0" axis="axisRow" fieldPosition="10"/>
    </format>
    <format dxfId="15265">
      <pivotArea dataOnly="0" labelOnly="1" outline="0" axis="axisValues" fieldPosition="0"/>
    </format>
    <format dxfId="15264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263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26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26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260">
      <pivotArea dataOnly="0" labelOnly="1" outline="0" fieldPosition="0">
        <references count="3">
          <reference field="0" count="1" selected="0">
            <x v="14"/>
          </reference>
          <reference field="12" count="3">
            <x v="9"/>
            <x v="27"/>
            <x v="35"/>
          </reference>
          <reference field="13" count="1" selected="0">
            <x v="0"/>
          </reference>
        </references>
      </pivotArea>
    </format>
    <format dxfId="15259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9"/>
            <x v="27"/>
            <x v="35"/>
          </reference>
          <reference field="13" count="1" selected="0">
            <x v="0"/>
          </reference>
        </references>
      </pivotArea>
    </format>
    <format dxfId="1525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525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525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25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25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25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252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5251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525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24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248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24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2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152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524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524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24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24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24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23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2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2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2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2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52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2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2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52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52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52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2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52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22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22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522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223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22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5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2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1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1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9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98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51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51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51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1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51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51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5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51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518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51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1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1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1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5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5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3"/>
          </reference>
        </references>
      </pivotArea>
    </format>
    <format dxfId="15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5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5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5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51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1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51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51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1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51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51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5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1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51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5163">
      <pivotArea dataOnly="0" labelOnly="1" outline="0" fieldPosition="0">
        <references count="7">
          <reference field="0" count="1" selected="0">
            <x v="13"/>
          </reference>
          <reference field="5" count="1">
            <x v="4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162">
      <pivotArea dataOnly="0" labelOnly="1" outline="0" fieldPosition="0">
        <references count="7">
          <reference field="0" count="1" selected="0">
            <x v="13"/>
          </reference>
          <reference field="5" count="1">
            <x v="259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161">
      <pivotArea dataOnly="0" labelOnly="1" outline="0" fieldPosition="0">
        <references count="7">
          <reference field="0" count="1" selected="0">
            <x v="13"/>
          </reference>
          <reference field="5" count="1">
            <x v="74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160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159">
      <pivotArea dataOnly="0" labelOnly="1" outline="0" fieldPosition="0">
        <references count="7">
          <reference field="0" count="1" selected="0">
            <x v="14"/>
          </reference>
          <reference field="5" count="1">
            <x v="594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158">
      <pivotArea dataOnly="0" labelOnly="1" outline="0" fieldPosition="0">
        <references count="7">
          <reference field="0" count="1" selected="0">
            <x v="7"/>
          </reference>
          <reference field="5" count="1">
            <x v="213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157">
      <pivotArea dataOnly="0" labelOnly="1" outline="0" fieldPosition="0">
        <references count="7">
          <reference field="0" count="1" selected="0">
            <x v="13"/>
          </reference>
          <reference field="5" count="1">
            <x v="74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56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155">
      <pivotArea dataOnly="0" labelOnly="1" outline="0" fieldPosition="0">
        <references count="7">
          <reference field="0" count="1" selected="0">
            <x v="13"/>
          </reference>
          <reference field="5" count="1"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154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153">
      <pivotArea dataOnly="0" labelOnly="1" outline="0" fieldPosition="0">
        <references count="7">
          <reference field="0" count="1" selected="0">
            <x v="14"/>
          </reference>
          <reference field="5" count="1">
            <x v="739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152">
      <pivotArea dataOnly="0" labelOnly="1" outline="0" fieldPosition="0">
        <references count="7">
          <reference field="0" count="1" selected="0">
            <x v="14"/>
          </reference>
          <reference field="5" count="1">
            <x v="751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51">
      <pivotArea dataOnly="0" labelOnly="1" outline="0" fieldPosition="0">
        <references count="7">
          <reference field="0" count="1" selected="0">
            <x v="14"/>
          </reference>
          <reference field="5" count="1">
            <x v="3433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150">
      <pivotArea dataOnly="0" labelOnly="1" outline="0" fieldPosition="0">
        <references count="7">
          <reference field="0" count="1" selected="0">
            <x v="14"/>
          </reference>
          <reference field="5" count="1">
            <x v="453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149">
      <pivotArea dataOnly="0" labelOnly="1" outline="0" fieldPosition="0">
        <references count="7">
          <reference field="0" count="1" selected="0">
            <x v="14"/>
          </reference>
          <reference field="5" count="1">
            <x v="751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148">
      <pivotArea dataOnly="0" labelOnly="1" outline="0" fieldPosition="0">
        <references count="7">
          <reference field="0" count="1" selected="0">
            <x v="14"/>
          </reference>
          <reference field="5" count="1">
            <x v="110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147">
      <pivotArea dataOnly="0" labelOnly="1" outline="0" fieldPosition="0">
        <references count="7">
          <reference field="0" count="1" selected="0">
            <x v="14"/>
          </reference>
          <reference field="5" count="1">
            <x v="3988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146">
      <pivotArea dataOnly="0" labelOnly="1" outline="0" fieldPosition="0">
        <references count="7">
          <reference field="0" count="1" selected="0">
            <x v="14"/>
          </reference>
          <reference field="5" count="1">
            <x v="7337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145">
      <pivotArea dataOnly="0" labelOnly="1" outline="0" fieldPosition="0">
        <references count="7">
          <reference field="0" count="1" selected="0">
            <x v="14"/>
          </reference>
          <reference field="5" count="1">
            <x v="656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144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5143">
      <pivotArea dataOnly="0" labelOnly="1" outline="0" fieldPosition="0">
        <references count="7">
          <reference field="0" count="1" selected="0">
            <x v="14"/>
          </reference>
          <reference field="5" count="1">
            <x v="740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142">
      <pivotArea dataOnly="0" labelOnly="1" outline="0" fieldPosition="0">
        <references count="7">
          <reference field="0" count="1" selected="0">
            <x v="15"/>
          </reference>
          <reference field="5" count="1"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141">
      <pivotArea dataOnly="0" labelOnly="1" outline="0" fieldPosition="0">
        <references count="7">
          <reference field="0" count="1" selected="0">
            <x v="15"/>
          </reference>
          <reference field="5" count="1">
            <x v="751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51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1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1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1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1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1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1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3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1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3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1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1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0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1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1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1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1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1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1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122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121">
      <pivotArea dataOnly="0" labelOnly="1" outline="0" fieldPosition="0">
        <references count="9">
          <reference field="0" count="1" selected="0">
            <x v="7"/>
          </reference>
          <reference field="3" count="1">
            <x v="7333"/>
          </reference>
          <reference field="5" count="1" selected="0">
            <x v="21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12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7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1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117">
      <pivotArea dataOnly="0" labelOnly="1" outline="0" fieldPosition="0">
        <references count="9">
          <reference field="0" count="1" selected="0">
            <x v="14"/>
          </reference>
          <reference field="3" count="1">
            <x v="7450"/>
          </reference>
          <reference field="5" count="1" selected="0">
            <x v="73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1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15">
      <pivotArea dataOnly="0" labelOnly="1" outline="0" fieldPosition="0">
        <references count="9">
          <reference field="0" count="1" selected="0">
            <x v="14"/>
          </reference>
          <reference field="3" count="1">
            <x v="7332"/>
          </reference>
          <reference field="5" count="1" selected="0">
            <x v="343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114">
      <pivotArea dataOnly="0" labelOnly="1" outline="0" fieldPosition="0">
        <references count="9">
          <reference field="0" count="1" selected="0">
            <x v="14"/>
          </reference>
          <reference field="3" count="1">
            <x v="7315"/>
          </reference>
          <reference field="5" count="1" selected="0">
            <x v="453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113">
      <pivotArea dataOnly="0" labelOnly="1" outline="0" fieldPosition="0">
        <references count="9">
          <reference field="0" count="1" selected="0">
            <x v="14"/>
          </reference>
          <reference field="3" count="1">
            <x v="7465"/>
          </reference>
          <reference field="5" count="1" selected="0">
            <x v="751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112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110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111">
      <pivotArea dataOnly="0" labelOnly="1" outline="0" fieldPosition="0">
        <references count="9">
          <reference field="0" count="1" selected="0">
            <x v="14"/>
          </reference>
          <reference field="3" count="1">
            <x v="7405"/>
          </reference>
          <reference field="5" count="1" selected="0">
            <x v="398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110">
      <pivotArea dataOnly="0" labelOnly="1" outline="0" fieldPosition="0">
        <references count="9">
          <reference field="0" count="1" selected="0">
            <x v="14"/>
          </reference>
          <reference field="3" count="1">
            <x v="7312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1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0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1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1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1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3"/>
          </reference>
          <reference field="5" count="1" selected="0">
            <x v="21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1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0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1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1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0"/>
          </reference>
          <reference field="5" count="1" selected="0">
            <x v="73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1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2"/>
          </reference>
          <reference field="5" count="1" selected="0">
            <x v="34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0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5"/>
          </reference>
          <reference field="5" count="1" selected="0">
            <x v="45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0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5"/>
          </reference>
          <reference field="5" count="1" selected="0">
            <x v="75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0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11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0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5"/>
          </reference>
          <reference field="5" count="1" selected="0">
            <x v="39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0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2"/>
          </reference>
          <reference field="5" count="1" selected="0">
            <x v="6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0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093">
      <pivotArea dataOnly="0" labelOnly="1" outline="0" fieldPosition="0">
        <references count="11">
          <reference field="0" count="1" selected="0">
            <x v="14"/>
          </reference>
          <reference field="1" count="1">
            <x v="7239"/>
          </reference>
          <reference field="3" count="1" selected="0">
            <x v="7332"/>
          </reference>
          <reference field="5" count="1" selected="0">
            <x v="343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092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7315"/>
          </reference>
          <reference field="5" count="1" selected="0">
            <x v="45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091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27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090">
      <pivotArea outline="0" collapsedLevelsAreSubtotals="1" fieldPosition="0"/>
    </format>
    <format dxfId="15089">
      <pivotArea dataOnly="0" labelOnly="1" outline="0" axis="axisValues" fieldPosition="0"/>
    </format>
    <format dxfId="15088">
      <pivotArea dataOnly="0" outline="0" fieldPosition="0">
        <references count="1">
          <reference field="12" count="0" defaultSubtotal="1"/>
        </references>
      </pivotArea>
    </format>
    <format dxfId="15087">
      <pivotArea outline="0" collapsedLevelsAreSubtotals="1" fieldPosition="0"/>
    </format>
    <format dxfId="15086">
      <pivotArea dataOnly="0" labelOnly="1" outline="0" axis="axisValues" fieldPosition="0"/>
    </format>
    <format dxfId="15085">
      <pivotArea outline="0" collapsedLevelsAreSubtotals="1" fieldPosition="0"/>
    </format>
    <format dxfId="15084">
      <pivotArea dataOnly="0" labelOnly="1" outline="0" axis="axisValues" fieldPosition="0"/>
    </format>
    <format dxfId="15083">
      <pivotArea dataOnly="0" labelOnly="1" outline="0" axis="axisValues" fieldPosition="0"/>
    </format>
    <format dxfId="15082">
      <pivotArea outline="0" collapsedLevelsAreSubtotals="1" fieldPosition="0"/>
    </format>
    <format dxfId="15081">
      <pivotArea field="12" type="button" dataOnly="0" labelOnly="1" outline="0" axis="axisRow" fieldPosition="2"/>
    </format>
    <format dxfId="15080">
      <pivotArea field="10" type="button" dataOnly="0" labelOnly="1" outline="0" axis="axisRow" fieldPosition="3"/>
    </format>
    <format dxfId="15079">
      <pivotArea field="16" type="button" dataOnly="0" labelOnly="1" outline="0" axis="axisRow" fieldPosition="4"/>
    </format>
    <format dxfId="15078">
      <pivotArea field="18" type="button" dataOnly="0" labelOnly="1" outline="0" axis="axisRow" fieldPosition="5"/>
    </format>
    <format dxfId="15077">
      <pivotArea field="5" type="button" dataOnly="0" labelOnly="1" outline="0" axis="axisRow" fieldPosition="6"/>
    </format>
    <format dxfId="15076">
      <pivotArea field="9" type="button" dataOnly="0" labelOnly="1" outline="0" axis="axisRow" fieldPosition="7"/>
    </format>
    <format dxfId="15075">
      <pivotArea field="3" type="button" dataOnly="0" labelOnly="1" outline="0" axis="axisRow" fieldPosition="8"/>
    </format>
    <format dxfId="15074">
      <pivotArea field="7" type="button" dataOnly="0" labelOnly="1" outline="0" axis="axisRow" fieldPosition="9"/>
    </format>
    <format dxfId="15073">
      <pivotArea field="1" type="button" dataOnly="0" labelOnly="1" outline="0" axis="axisRow" fieldPosition="10"/>
    </format>
    <format dxfId="15072">
      <pivotArea dataOnly="0" labelOnly="1" outline="0" axis="axisValues" fieldPosition="0"/>
    </format>
    <format dxfId="1507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07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069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31"/>
          </reference>
          <reference field="13" count="1" selected="0">
            <x v="0"/>
          </reference>
        </references>
      </pivotArea>
    </format>
    <format dxfId="15068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31"/>
          </reference>
          <reference field="13" count="1" selected="0">
            <x v="0"/>
          </reference>
        </references>
      </pivotArea>
    </format>
    <format dxfId="1506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06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065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5064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506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06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06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06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059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5058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505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05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05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05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0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505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505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5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504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04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04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04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4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4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0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0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0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03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50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503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03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503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3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5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5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0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2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2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2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2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2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2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1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50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50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0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50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50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5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15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5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50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500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1500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63"/>
            <x v="109"/>
          </reference>
        </references>
      </pivotArea>
    </format>
    <format dxfId="1499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5"/>
            <x v="63"/>
            <x v="85"/>
          </reference>
        </references>
      </pivotArea>
    </format>
    <format dxfId="1499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42"/>
            <x v="59"/>
            <x v="63"/>
          </reference>
        </references>
      </pivotArea>
    </format>
    <format dxfId="1499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5"/>
            <x v="39"/>
          </reference>
        </references>
      </pivotArea>
    </format>
    <format dxfId="149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9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9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9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9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14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4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4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4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9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49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49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14979">
      <pivotArea dataOnly="0" labelOnly="1" outline="0" fieldPosition="0">
        <references count="7">
          <reference field="0" count="1" selected="0">
            <x v="13"/>
          </reference>
          <reference field="5" count="1">
            <x v="4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978">
      <pivotArea dataOnly="0" labelOnly="1" outline="0" fieldPosition="0">
        <references count="7">
          <reference field="0" count="1" selected="0">
            <x v="13"/>
          </reference>
          <reference field="5" count="1">
            <x v="259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977">
      <pivotArea dataOnly="0" labelOnly="1" outline="0" fieldPosition="0">
        <references count="7">
          <reference field="0" count="1" selected="0">
            <x v="13"/>
          </reference>
          <reference field="5" count="1">
            <x v="74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976">
      <pivotArea dataOnly="0" labelOnly="1" outline="0" fieldPosition="0">
        <references count="7">
          <reference field="0" count="1" selected="0">
            <x v="14"/>
          </reference>
          <reference field="5" count="1">
            <x v="7452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975">
      <pivotArea dataOnly="0" labelOnly="1" outline="0" fieldPosition="0">
        <references count="7">
          <reference field="0" count="1" selected="0">
            <x v="14"/>
          </reference>
          <reference field="5" count="1">
            <x v="726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4974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973">
      <pivotArea dataOnly="0" labelOnly="1" outline="0" fieldPosition="0">
        <references count="7">
          <reference field="0" count="1" selected="0">
            <x v="14"/>
          </reference>
          <reference field="5" count="1">
            <x v="594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972">
      <pivotArea dataOnly="0" labelOnly="1" outline="0" fieldPosition="0">
        <references count="7">
          <reference field="0" count="1" selected="0">
            <x v="7"/>
          </reference>
          <reference field="5" count="1">
            <x v="213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971">
      <pivotArea dataOnly="0" labelOnly="1" outline="0" fieldPosition="0">
        <references count="7">
          <reference field="0" count="1" selected="0">
            <x v="11"/>
          </reference>
          <reference field="5" count="1">
            <x v="495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970">
      <pivotArea dataOnly="0" labelOnly="1" outline="0" fieldPosition="0">
        <references count="7">
          <reference field="0" count="1" selected="0">
            <x v="11"/>
          </reference>
          <reference field="5" count="1">
            <x v="734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969">
      <pivotArea dataOnly="0" labelOnly="1" outline="0" fieldPosition="0">
        <references count="7">
          <reference field="0" count="1" selected="0">
            <x v="11"/>
          </reference>
          <reference field="5" count="1">
            <x v="709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968">
      <pivotArea dataOnly="0" labelOnly="1" outline="0" fieldPosition="0">
        <references count="7">
          <reference field="0" count="1" selected="0">
            <x v="11"/>
          </reference>
          <reference field="5" count="1">
            <x v="619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14967">
      <pivotArea dataOnly="0" labelOnly="1" outline="0" fieldPosition="0">
        <references count="7">
          <reference field="0" count="1" selected="0">
            <x v="11"/>
          </reference>
          <reference field="5" count="1">
            <x v="718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966">
      <pivotArea dataOnly="0" labelOnly="1" outline="0" fieldPosition="0">
        <references count="7">
          <reference field="0" count="1" selected="0">
            <x v="11"/>
          </reference>
          <reference field="5" count="1">
            <x v="528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965">
      <pivotArea dataOnly="0" labelOnly="1" outline="0" fieldPosition="0">
        <references count="7">
          <reference field="0" count="1" selected="0">
            <x v="12"/>
          </reference>
          <reference field="5" count="1">
            <x v="594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964">
      <pivotArea dataOnly="0" labelOnly="1" outline="0" fieldPosition="0">
        <references count="7">
          <reference field="0" count="1" selected="0">
            <x v="12"/>
          </reference>
          <reference field="5" count="1">
            <x v="751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963">
      <pivotArea dataOnly="0" labelOnly="1" outline="0" fieldPosition="0">
        <references count="7">
          <reference field="0" count="1" selected="0">
            <x v="12"/>
          </reference>
          <reference field="5" count="1">
            <x v="69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962">
      <pivotArea dataOnly="0" labelOnly="1" outline="0" fieldPosition="0">
        <references count="7">
          <reference field="0" count="1" selected="0">
            <x v="13"/>
          </reference>
          <reference field="5" count="1">
            <x v="74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61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960">
      <pivotArea dataOnly="0" labelOnly="1" outline="0" fieldPosition="0">
        <references count="7">
          <reference field="0" count="1" selected="0">
            <x v="13"/>
          </reference>
          <reference field="5" count="1"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959">
      <pivotArea dataOnly="0" labelOnly="1" outline="0" fieldPosition="0">
        <references count="7">
          <reference field="0" count="1" selected="0">
            <x v="14"/>
          </reference>
          <reference field="5" count="1">
            <x v="7480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958">
      <pivotArea dataOnly="0" labelOnly="1" outline="0" fieldPosition="0">
        <references count="7">
          <reference field="0" count="1" selected="0">
            <x v="14"/>
          </reference>
          <reference field="5" count="1">
            <x v="751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4957">
      <pivotArea dataOnly="0" labelOnly="1" outline="0" fieldPosition="0">
        <references count="7">
          <reference field="0" count="1" selected="0">
            <x v="14"/>
          </reference>
          <reference field="5" count="1">
            <x v="3546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956">
      <pivotArea dataOnly="0" labelOnly="1" outline="0" fieldPosition="0">
        <references count="7">
          <reference field="0" count="1" selected="0">
            <x v="14"/>
          </reference>
          <reference field="5" count="1">
            <x v="656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955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4954">
      <pivotArea dataOnly="0" labelOnly="1" outline="0" fieldPosition="0">
        <references count="7">
          <reference field="0" count="1" selected="0">
            <x v="14"/>
          </reference>
          <reference field="5" count="1">
            <x v="7408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953">
      <pivotArea dataOnly="0" labelOnly="1" outline="0" fieldPosition="0">
        <references count="7">
          <reference field="0" count="1" selected="0">
            <x v="15"/>
          </reference>
          <reference field="5" count="1"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952">
      <pivotArea dataOnly="0" labelOnly="1" outline="0" fieldPosition="0">
        <references count="7">
          <reference field="0" count="1" selected="0">
            <x v="15"/>
          </reference>
          <reference field="5" count="1">
            <x v="262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49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9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49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9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9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94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4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9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9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9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49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9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6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9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9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937">
      <pivotArea dataOnly="0" labelOnly="1" outline="0" fieldPosition="0">
        <references count="9">
          <reference field="0" count="1" selected="0">
            <x v="14"/>
          </reference>
          <reference field="3" count="1">
            <x v="7412"/>
          </reference>
          <reference field="5" count="1" selected="0">
            <x v="74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936">
      <pivotArea dataOnly="0" labelOnly="1" outline="0" fieldPosition="0">
        <references count="9">
          <reference field="0" count="1" selected="0">
            <x v="14"/>
          </reference>
          <reference field="3" count="1">
            <x v="7467"/>
          </reference>
          <reference field="5" count="1" selected="0">
            <x v="726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49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934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933">
      <pivotArea dataOnly="0" labelOnly="1" outline="0" fieldPosition="0">
        <references count="9">
          <reference field="0" count="1" selected="0">
            <x v="7"/>
          </reference>
          <reference field="3" count="1">
            <x v="7333"/>
          </reference>
          <reference field="5" count="1" selected="0">
            <x v="21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932">
      <pivotArea dataOnly="0" labelOnly="1" outline="0" fieldPosition="0">
        <references count="9">
          <reference field="0" count="1" selected="0">
            <x v="11"/>
          </reference>
          <reference field="3" count="1">
            <x v="7318"/>
          </reference>
          <reference field="5" count="1" selected="0">
            <x v="49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931">
      <pivotArea dataOnly="0" labelOnly="1" outline="0" fieldPosition="0">
        <references count="9">
          <reference field="0" count="1" selected="0">
            <x v="11"/>
          </reference>
          <reference field="3" count="1">
            <x v="7327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930">
      <pivotArea dataOnly="0" labelOnly="1" outline="0" fieldPosition="0">
        <references count="9">
          <reference field="0" count="1" selected="0">
            <x v="11"/>
          </reference>
          <reference field="3" count="1">
            <x v="7409"/>
          </reference>
          <reference field="5" count="1" selected="0">
            <x v="70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929">
      <pivotArea dataOnly="0" labelOnly="1" outline="0" fieldPosition="0">
        <references count="9">
          <reference field="0" count="1" selected="0">
            <x v="11"/>
          </reference>
          <reference field="3" count="1">
            <x v="7324"/>
          </reference>
          <reference field="5" count="1" selected="0">
            <x v="52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92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4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9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2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7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9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9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4923">
      <pivotArea dataOnly="0" labelOnly="1" outline="0" fieldPosition="0">
        <references count="9">
          <reference field="0" count="1" selected="0">
            <x v="14"/>
          </reference>
          <reference field="3" count="1">
            <x v="7438"/>
          </reference>
          <reference field="5" count="1" selected="0">
            <x v="354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922">
      <pivotArea dataOnly="0" labelOnly="1" outline="0" fieldPosition="0">
        <references count="9">
          <reference field="0" count="1" selected="0">
            <x v="14"/>
          </reference>
          <reference field="3" count="1">
            <x v="7312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9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0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9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2"/>
          </reference>
          <reference field="5" count="1" selected="0">
            <x v="74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9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7"/>
          </reference>
          <reference field="5" count="1" selected="0">
            <x v="72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49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9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9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3"/>
          </reference>
          <reference field="5" count="1" selected="0">
            <x v="21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91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9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9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9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49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8"/>
          </reference>
          <reference field="5" count="1" selected="0">
            <x v="35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9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2"/>
          </reference>
          <reference field="5" count="1" selected="0">
            <x v="6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9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907">
      <pivotArea dataOnly="0" labelOnly="1" outline="0" fieldPosition="0">
        <references count="11">
          <reference field="0" count="1" selected="0">
            <x v="14"/>
          </reference>
          <reference field="1" count="1">
            <x v="7243"/>
          </reference>
          <reference field="3" count="1" selected="0">
            <x v="7467"/>
          </reference>
          <reference field="5" count="1" selected="0">
            <x v="72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4906">
      <pivotArea dataOnly="0" labelOnly="1" outline="0" fieldPosition="0">
        <references count="11">
          <reference field="0" count="1" selected="0">
            <x v="11"/>
          </reference>
          <reference field="1" count="1">
            <x v="7072"/>
          </reference>
          <reference field="3" count="1" selected="0">
            <x v="7324"/>
          </reference>
          <reference field="5" count="1" selected="0">
            <x v="52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905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27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904">
      <pivotArea dataOnly="0" labelOnly="1" outline="0" fieldPosition="0">
        <references count="11">
          <reference field="0" count="1" selected="0">
            <x v="15"/>
          </reference>
          <reference field="1" count="1">
            <x v="7242"/>
          </reference>
          <reference field="3" count="1" selected="0">
            <x v="0"/>
          </reference>
          <reference field="5" count="1" selected="0">
            <x v="2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4903">
      <pivotArea outline="0" collapsedLevelsAreSubtotals="1" fieldPosition="0"/>
    </format>
    <format dxfId="14902">
      <pivotArea dataOnly="0" labelOnly="1" outline="0" axis="axisValues" fieldPosition="0"/>
    </format>
    <format dxfId="14901">
      <pivotArea dataOnly="0" outline="0" fieldPosition="0">
        <references count="1">
          <reference field="12" count="0" defaultSubtotal="1"/>
        </references>
      </pivotArea>
    </format>
    <format dxfId="14900">
      <pivotArea outline="0" collapsedLevelsAreSubtotals="1" fieldPosition="0"/>
    </format>
    <format dxfId="14899">
      <pivotArea dataOnly="0" labelOnly="1" outline="0" axis="axisValues" fieldPosition="0"/>
    </format>
    <format dxfId="14898">
      <pivotArea outline="0" collapsedLevelsAreSubtotals="1" fieldPosition="0"/>
    </format>
    <format dxfId="14897">
      <pivotArea dataOnly="0" labelOnly="1" outline="0" axis="axisValues" fieldPosition="0"/>
    </format>
    <format dxfId="14896">
      <pivotArea dataOnly="0" labelOnly="1" outline="0" axis="axisValues" fieldPosition="0"/>
    </format>
    <format dxfId="14895">
      <pivotArea outline="0" collapsedLevelsAreSubtotals="1" fieldPosition="0"/>
    </format>
    <format dxfId="14894">
      <pivotArea field="12" type="button" dataOnly="0" labelOnly="1" outline="0" axis="axisRow" fieldPosition="2"/>
    </format>
    <format dxfId="14893">
      <pivotArea field="10" type="button" dataOnly="0" labelOnly="1" outline="0" axis="axisRow" fieldPosition="3"/>
    </format>
    <format dxfId="14892">
      <pivotArea field="16" type="button" dataOnly="0" labelOnly="1" outline="0" axis="axisRow" fieldPosition="4"/>
    </format>
    <format dxfId="14891">
      <pivotArea field="18" type="button" dataOnly="0" labelOnly="1" outline="0" axis="axisRow" fieldPosition="5"/>
    </format>
    <format dxfId="14890">
      <pivotArea field="5" type="button" dataOnly="0" labelOnly="1" outline="0" axis="axisRow" fieldPosition="6"/>
    </format>
    <format dxfId="14889">
      <pivotArea field="9" type="button" dataOnly="0" labelOnly="1" outline="0" axis="axisRow" fieldPosition="7"/>
    </format>
    <format dxfId="14888">
      <pivotArea field="3" type="button" dataOnly="0" labelOnly="1" outline="0" axis="axisRow" fieldPosition="8"/>
    </format>
    <format dxfId="14887">
      <pivotArea field="7" type="button" dataOnly="0" labelOnly="1" outline="0" axis="axisRow" fieldPosition="9"/>
    </format>
    <format dxfId="14886">
      <pivotArea field="1" type="button" dataOnly="0" labelOnly="1" outline="0" axis="axisRow" fieldPosition="10"/>
    </format>
    <format dxfId="14885">
      <pivotArea dataOnly="0" labelOnly="1" outline="0" axis="axisValues" fieldPosition="0"/>
    </format>
    <format dxfId="1488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88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882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488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488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87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87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87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876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14875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1487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87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87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8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487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86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86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86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8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8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86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8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8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8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8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48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48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485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85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85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8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85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5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3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48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48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8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48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48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8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83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5"/>
            <x v="39"/>
          </reference>
        </references>
      </pivotArea>
    </format>
    <format dxfId="148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8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8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8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8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4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14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14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4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4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48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48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4"/>
            <x v="71"/>
          </reference>
        </references>
      </pivotArea>
    </format>
    <format dxfId="14810">
      <pivotArea dataOnly="0" labelOnly="1" outline="0" fieldPosition="0">
        <references count="7">
          <reference field="0" count="1" selected="0">
            <x v="13"/>
          </reference>
          <reference field="5" count="1">
            <x v="4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09">
      <pivotArea dataOnly="0" labelOnly="1" outline="0" fieldPosition="0">
        <references count="7">
          <reference field="0" count="1" selected="0">
            <x v="13"/>
          </reference>
          <reference field="5" count="1">
            <x v="259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808">
      <pivotArea dataOnly="0" labelOnly="1" outline="0" fieldPosition="0">
        <references count="7">
          <reference field="0" count="1" selected="0">
            <x v="13"/>
          </reference>
          <reference field="5" count="1">
            <x v="74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807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806">
      <pivotArea dataOnly="0" labelOnly="1" outline="0" fieldPosition="0">
        <references count="7">
          <reference field="0" count="1" selected="0">
            <x v="12"/>
          </reference>
          <reference field="5" count="1">
            <x v="751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805">
      <pivotArea dataOnly="0" labelOnly="1" outline="0" fieldPosition="0">
        <references count="7">
          <reference field="0" count="1" selected="0">
            <x v="12"/>
          </reference>
          <reference field="5" count="1">
            <x v="751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804">
      <pivotArea dataOnly="0" labelOnly="1" outline="0" fieldPosition="0">
        <references count="7">
          <reference field="0" count="1" selected="0">
            <x v="12"/>
          </reference>
          <reference field="5" count="2">
            <x v="388"/>
            <x v="71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803">
      <pivotArea dataOnly="0" labelOnly="1" outline="0" fieldPosition="0">
        <references count="7">
          <reference field="0" count="1" selected="0">
            <x v="13"/>
          </reference>
          <reference field="5" count="1">
            <x v="74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802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01">
      <pivotArea dataOnly="0" labelOnly="1" outline="0" fieldPosition="0">
        <references count="7">
          <reference field="0" count="1" selected="0">
            <x v="13"/>
          </reference>
          <reference field="5" count="1"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800">
      <pivotArea dataOnly="0" labelOnly="1" outline="0" fieldPosition="0">
        <references count="7">
          <reference field="0" count="1" selected="0">
            <x v="14"/>
          </reference>
          <reference field="5" count="1">
            <x v="423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799">
      <pivotArea dataOnly="0" labelOnly="1" outline="0" fieldPosition="0">
        <references count="7">
          <reference field="0" count="1" selected="0">
            <x v="14"/>
          </reference>
          <reference field="5" count="1">
            <x v="2273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4798">
      <pivotArea dataOnly="0" labelOnly="1" outline="0" fieldPosition="0">
        <references count="7">
          <reference field="0" count="1" selected="0">
            <x v="14"/>
          </reference>
          <reference field="5" count="1">
            <x v="751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797">
      <pivotArea dataOnly="0" labelOnly="1" outline="0" fieldPosition="0">
        <references count="7">
          <reference field="0" count="1" selected="0">
            <x v="14"/>
          </reference>
          <reference field="5" count="1">
            <x v="751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4796">
      <pivotArea dataOnly="0" labelOnly="1" outline="0" fieldPosition="0">
        <references count="7">
          <reference field="0" count="1" selected="0">
            <x v="14"/>
          </reference>
          <reference field="5" count="1">
            <x v="748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795">
      <pivotArea dataOnly="0" labelOnly="1" outline="0" fieldPosition="0">
        <references count="7">
          <reference field="0" count="1" selected="0">
            <x v="14"/>
          </reference>
          <reference field="5" count="1">
            <x v="3988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794">
      <pivotArea dataOnly="0" labelOnly="1" outline="0" fieldPosition="0">
        <references count="7">
          <reference field="0" count="1" selected="0">
            <x v="14"/>
          </reference>
          <reference field="5" count="2">
            <x v="5943"/>
            <x v="656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793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4792">
      <pivotArea dataOnly="0" labelOnly="1" outline="0" fieldPosition="0">
        <references count="7">
          <reference field="0" count="1" selected="0">
            <x v="15"/>
          </reference>
          <reference field="5" count="1"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791">
      <pivotArea dataOnly="0" labelOnly="1" outline="0" fieldPosition="0">
        <references count="7">
          <reference field="0" count="1" selected="0">
            <x v="15"/>
          </reference>
          <reference field="5" count="1">
            <x v="751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47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78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1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7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7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7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3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7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7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47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7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47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7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7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779">
      <pivotArea dataOnly="0" labelOnly="1" outline="0" fieldPosition="0">
        <references count="9">
          <reference field="0" count="1" selected="0">
            <x v="14"/>
          </reference>
          <reference field="3" count="1">
            <x v="7475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778">
      <pivotArea dataOnly="0" labelOnly="1" outline="0" fieldPosition="0">
        <references count="9">
          <reference field="0" count="1" selected="0">
            <x v="12"/>
          </reference>
          <reference field="3" count="1">
            <x v="7484"/>
          </reference>
          <reference field="5" count="1" selected="0">
            <x v="751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77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1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77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77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7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7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23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773">
      <pivotArea dataOnly="0" labelOnly="1" outline="0" fieldPosition="0">
        <references count="9">
          <reference field="0" count="1" selected="0">
            <x v="14"/>
          </reference>
          <reference field="3" count="1">
            <x v="7476"/>
          </reference>
          <reference field="5" count="1" selected="0">
            <x v="227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477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1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771">
      <pivotArea dataOnly="0" labelOnly="1" outline="0" fieldPosition="0">
        <references count="9">
          <reference field="0" count="1" selected="0">
            <x v="14"/>
          </reference>
          <reference field="3" count="1">
            <x v="2923"/>
          </reference>
          <reference field="5" count="1" selected="0">
            <x v="751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47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769">
      <pivotArea dataOnly="0" labelOnly="1" outline="0" fieldPosition="0">
        <references count="9">
          <reference field="0" count="1" selected="0">
            <x v="14"/>
          </reference>
          <reference field="3" count="1">
            <x v="7405"/>
          </reference>
          <reference field="5" count="1" selected="0">
            <x v="398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768">
      <pivotArea dataOnly="0" labelOnly="1" outline="0" fieldPosition="0">
        <references count="9">
          <reference field="0" count="1" selected="0">
            <x v="14"/>
          </reference>
          <reference field="3" count="1">
            <x v="7478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767">
      <pivotArea dataOnly="0" labelOnly="1" outline="0" fieldPosition="0">
        <references count="9">
          <reference field="0" count="1" selected="0">
            <x v="14"/>
          </reference>
          <reference field="3" count="1">
            <x v="7480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766">
      <pivotArea dataOnly="0" labelOnly="1" outline="0" fieldPosition="0">
        <references count="9">
          <reference field="0" count="1" selected="0">
            <x v="14"/>
          </reference>
          <reference field="3" count="1">
            <x v="7477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47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5"/>
          </reference>
          <reference field="5" count="1" selected="0">
            <x v="61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76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84"/>
          </reference>
          <reference field="5" count="1" selected="0">
            <x v="75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76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7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76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7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2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7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6"/>
          </reference>
          <reference field="5" count="1" selected="0">
            <x v="22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47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1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7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23"/>
          </reference>
          <reference field="5" count="1" selected="0">
            <x v="75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47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5"/>
          </reference>
          <reference field="5" count="1" selected="0">
            <x v="39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7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8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754">
      <pivotArea dataOnly="0" labelOnly="1" outline="0" fieldPosition="0">
        <references count="11">
          <reference field="0" count="1" selected="0">
            <x v="12"/>
          </reference>
          <reference field="1" count="1">
            <x v="7259"/>
          </reference>
          <reference field="3" count="1" selected="0">
            <x v="0"/>
          </reference>
          <reference field="5" count="1" selected="0">
            <x v="38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753">
      <pivotArea dataOnly="0" labelOnly="1" outline="0" fieldPosition="0">
        <references count="11">
          <reference field="0" count="1" selected="0">
            <x v="14"/>
          </reference>
          <reference field="1" count="1">
            <x v="7255"/>
          </reference>
          <reference field="3" count="1" selected="0">
            <x v="7405"/>
          </reference>
          <reference field="5" count="1" selected="0">
            <x v="398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752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78"/>
          </reference>
          <reference field="5" count="1" selected="0">
            <x v="59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751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27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750">
      <pivotArea outline="0" collapsedLevelsAreSubtotals="1" fieldPosition="0"/>
    </format>
    <format dxfId="14749">
      <pivotArea dataOnly="0" labelOnly="1" outline="0" axis="axisValues" fieldPosition="0"/>
    </format>
    <format dxfId="14748">
      <pivotArea dataOnly="0" outline="0" fieldPosition="0">
        <references count="1">
          <reference field="12" count="0" defaultSubtotal="1"/>
        </references>
      </pivotArea>
    </format>
    <format dxfId="14747">
      <pivotArea outline="0" collapsedLevelsAreSubtotals="1" fieldPosition="0"/>
    </format>
    <format dxfId="14746">
      <pivotArea dataOnly="0" labelOnly="1" outline="0" axis="axisValues" fieldPosition="0"/>
    </format>
    <format dxfId="14745">
      <pivotArea outline="0" collapsedLevelsAreSubtotals="1" fieldPosition="0"/>
    </format>
    <format dxfId="14744">
      <pivotArea dataOnly="0" labelOnly="1" outline="0" axis="axisValues" fieldPosition="0"/>
    </format>
    <format dxfId="14743">
      <pivotArea dataOnly="0" labelOnly="1" outline="0" axis="axisValues" fieldPosition="0"/>
    </format>
    <format dxfId="14742">
      <pivotArea outline="0" collapsedLevelsAreSubtotals="1" fieldPosition="0"/>
    </format>
    <format dxfId="14741">
      <pivotArea field="12" type="button" dataOnly="0" labelOnly="1" outline="0" axis="axisRow" fieldPosition="2"/>
    </format>
    <format dxfId="14740">
      <pivotArea field="10" type="button" dataOnly="0" labelOnly="1" outline="0" axis="axisRow" fieldPosition="3"/>
    </format>
    <format dxfId="14739">
      <pivotArea field="16" type="button" dataOnly="0" labelOnly="1" outline="0" axis="axisRow" fieldPosition="4"/>
    </format>
    <format dxfId="14738">
      <pivotArea field="18" type="button" dataOnly="0" labelOnly="1" outline="0" axis="axisRow" fieldPosition="5"/>
    </format>
    <format dxfId="14737">
      <pivotArea field="5" type="button" dataOnly="0" labelOnly="1" outline="0" axis="axisRow" fieldPosition="6"/>
    </format>
    <format dxfId="14736">
      <pivotArea field="9" type="button" dataOnly="0" labelOnly="1" outline="0" axis="axisRow" fieldPosition="7"/>
    </format>
    <format dxfId="14735">
      <pivotArea field="3" type="button" dataOnly="0" labelOnly="1" outline="0" axis="axisRow" fieldPosition="8"/>
    </format>
    <format dxfId="14734">
      <pivotArea field="7" type="button" dataOnly="0" labelOnly="1" outline="0" axis="axisRow" fieldPosition="9"/>
    </format>
    <format dxfId="14733">
      <pivotArea field="1" type="button" dataOnly="0" labelOnly="1" outline="0" axis="axisRow" fieldPosition="10"/>
    </format>
    <format dxfId="14732">
      <pivotArea dataOnly="0" labelOnly="1" outline="0" axis="axisValues" fieldPosition="0"/>
    </format>
    <format dxfId="14731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1"/>
          </reference>
          <reference field="13" count="1" selected="0">
            <x v="0"/>
          </reference>
        </references>
      </pivotArea>
    </format>
    <format dxfId="14730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1"/>
          </reference>
          <reference field="13" count="1" selected="0">
            <x v="0"/>
          </reference>
        </references>
      </pivotArea>
    </format>
    <format dxfId="14729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728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72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72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725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472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4723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1472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14721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4720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471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71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71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71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715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14714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1471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71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7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7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470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70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7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47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70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470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70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70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70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70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69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69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69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69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69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6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6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69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6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6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46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6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6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68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68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6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6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68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68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6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6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7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7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7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7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7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7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7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7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7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6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6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5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106"/>
            <x v="123"/>
          </reference>
        </references>
      </pivotArea>
    </format>
    <format dxfId="146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465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46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46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46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6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46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46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6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6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64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64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109"/>
          </reference>
        </references>
      </pivotArea>
    </format>
    <format dxfId="1464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64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464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464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464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1463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146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6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6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6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6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6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6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46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46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4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6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6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146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6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46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46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46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46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46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14619">
      <pivotArea dataOnly="0" labelOnly="1" outline="0" fieldPosition="0">
        <references count="7">
          <reference field="0" count="1" selected="0">
            <x v="7"/>
          </reference>
          <reference field="5" count="1">
            <x v="752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618">
      <pivotArea dataOnly="0" labelOnly="1" outline="0" fieldPosition="0">
        <references count="7">
          <reference field="0" count="1" selected="0">
            <x v="7"/>
          </reference>
          <reference field="5" count="1">
            <x v="752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617">
      <pivotArea dataOnly="0" labelOnly="1" outline="0" fieldPosition="0">
        <references count="7">
          <reference field="0" count="1" selected="0">
            <x v="10"/>
          </reference>
          <reference field="5" count="1">
            <x v="752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616">
      <pivotArea dataOnly="0" labelOnly="1" outline="0" fieldPosition="0">
        <references count="7">
          <reference field="0" count="1" selected="0">
            <x v="13"/>
          </reference>
          <reference field="5" count="1">
            <x v="4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615">
      <pivotArea dataOnly="0" labelOnly="1" outline="0" fieldPosition="0">
        <references count="7">
          <reference field="0" count="1" selected="0">
            <x v="13"/>
          </reference>
          <reference field="5" count="1">
            <x v="259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614">
      <pivotArea dataOnly="0" labelOnly="1" outline="0" fieldPosition="0">
        <references count="7">
          <reference field="0" count="1" selected="0">
            <x v="13"/>
          </reference>
          <reference field="5" count="1">
            <x v="74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613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612">
      <pivotArea dataOnly="0" labelOnly="1" outline="0" fieldPosition="0">
        <references count="7">
          <reference field="0" count="1" selected="0">
            <x v="10"/>
          </reference>
          <reference field="5" count="1">
            <x v="464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611">
      <pivotArea dataOnly="0" labelOnly="1" outline="0" fieldPosition="0">
        <references count="7">
          <reference field="0" count="1" selected="0">
            <x v="10"/>
          </reference>
          <reference field="5" count="1">
            <x v="674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610">
      <pivotArea dataOnly="0" labelOnly="1" outline="0" fieldPosition="0">
        <references count="7">
          <reference field="0" count="1" selected="0">
            <x v="10"/>
          </reference>
          <reference field="5" count="1">
            <x v="195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609">
      <pivotArea dataOnly="0" labelOnly="1" outline="0" fieldPosition="0">
        <references count="7">
          <reference field="0" count="1" selected="0">
            <x v="10"/>
          </reference>
          <reference field="5" count="1">
            <x v="571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4608">
      <pivotArea dataOnly="0" labelOnly="1" outline="0" fieldPosition="0">
        <references count="7">
          <reference field="0" count="1" selected="0">
            <x v="10"/>
          </reference>
          <reference field="5" count="1">
            <x v="499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607">
      <pivotArea dataOnly="0" labelOnly="1" outline="0" fieldPosition="0">
        <references count="7">
          <reference field="0" count="1" selected="0">
            <x v="10"/>
          </reference>
          <reference field="5" count="1">
            <x v="737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606">
      <pivotArea dataOnly="0" labelOnly="1" outline="0" fieldPosition="0">
        <references count="7">
          <reference field="0" count="1" selected="0">
            <x v="10"/>
          </reference>
          <reference field="5" count="1">
            <x v="453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605">
      <pivotArea dataOnly="0" labelOnly="1" outline="0" fieldPosition="0">
        <references count="7">
          <reference field="0" count="1" selected="0">
            <x v="12"/>
          </reference>
          <reference field="5" count="1">
            <x v="751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604">
      <pivotArea dataOnly="0" labelOnly="1" outline="0" fieldPosition="0">
        <references count="7">
          <reference field="0" count="1" selected="0">
            <x v="12"/>
          </reference>
          <reference field="5" count="1">
            <x v="734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4603">
      <pivotArea dataOnly="0" labelOnly="1" outline="0" fieldPosition="0">
        <references count="7">
          <reference field="0" count="1" selected="0">
            <x v="13"/>
          </reference>
          <reference field="5" count="1">
            <x v="74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02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601">
      <pivotArea dataOnly="0" labelOnly="1" outline="0" fieldPosition="0">
        <references count="7">
          <reference field="0" count="1" selected="0">
            <x v="13"/>
          </reference>
          <reference field="5" count="1"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600">
      <pivotArea dataOnly="0" labelOnly="1" outline="0" fieldPosition="0">
        <references count="7">
          <reference field="0" count="1" selected="0">
            <x v="14"/>
          </reference>
          <reference field="5" count="1">
            <x v="3433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4599">
      <pivotArea dataOnly="0" labelOnly="1" outline="0" fieldPosition="0">
        <references count="7">
          <reference field="0" count="1" selected="0">
            <x v="14"/>
          </reference>
          <reference field="5" count="1">
            <x v="739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598">
      <pivotArea dataOnly="0" labelOnly="1" outline="0" fieldPosition="0">
        <references count="7">
          <reference field="0" count="1" selected="0">
            <x v="14"/>
          </reference>
          <reference field="5" count="1">
            <x v="7408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597">
      <pivotArea dataOnly="0" labelOnly="1" outline="0" fieldPosition="0">
        <references count="7">
          <reference field="0" count="1" selected="0">
            <x v="14"/>
          </reference>
          <reference field="5" count="1">
            <x v="7515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596">
      <pivotArea dataOnly="0" labelOnly="1" outline="0" fieldPosition="0">
        <references count="7">
          <reference field="0" count="1" selected="0">
            <x v="14"/>
          </reference>
          <reference field="5" count="1">
            <x v="3546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595">
      <pivotArea dataOnly="0" labelOnly="1" outline="0" fieldPosition="0">
        <references count="7">
          <reference field="0" count="1" selected="0">
            <x v="14"/>
          </reference>
          <reference field="5" count="2">
            <x v="5943"/>
            <x v="656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594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4593">
      <pivotArea dataOnly="0" labelOnly="1" outline="0" fieldPosition="0">
        <references count="7">
          <reference field="0" count="1" selected="0">
            <x v="15"/>
          </reference>
          <reference field="5" count="1"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592">
      <pivotArea dataOnly="0" labelOnly="1" outline="0" fieldPosition="0">
        <references count="7">
          <reference field="0" count="1" selected="0">
            <x v="15"/>
          </reference>
          <reference field="5" count="1">
            <x v="75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591">
      <pivotArea dataOnly="0" labelOnly="1" outline="0" fieldPosition="0">
        <references count="7">
          <reference field="0" count="1" selected="0">
            <x v="15"/>
          </reference>
          <reference field="5" count="1">
            <x v="752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5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58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5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5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58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58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7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58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58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9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58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3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58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1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5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5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3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45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5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5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5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5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5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572">
      <pivotArea dataOnly="0" labelOnly="1" outline="0" fieldPosition="0">
        <references count="9">
          <reference field="0" count="1" selected="0">
            <x v="7"/>
          </reference>
          <reference field="3" count="1">
            <x v="7498"/>
          </reference>
          <reference field="5" count="1" selected="0">
            <x v="75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571">
      <pivotArea dataOnly="0" labelOnly="1" outline="0" fieldPosition="0">
        <references count="9">
          <reference field="0" count="1" selected="0">
            <x v="7"/>
          </reference>
          <reference field="3" count="1">
            <x v="7499"/>
          </reference>
          <reference field="5" count="1" selected="0">
            <x v="75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570">
      <pivotArea dataOnly="0" labelOnly="1" outline="0" fieldPosition="0">
        <references count="9">
          <reference field="0" count="1" selected="0">
            <x v="10"/>
          </reference>
          <reference field="3" count="1">
            <x v="7497"/>
          </reference>
          <reference field="5" count="1" selected="0">
            <x v="75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569">
      <pivotArea dataOnly="0" labelOnly="1" outline="0" fieldPosition="0">
        <references count="9">
          <reference field="0" count="1" selected="0">
            <x v="14"/>
          </reference>
          <reference field="3" count="1">
            <x v="7475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568">
      <pivotArea dataOnly="0" labelOnly="1" outline="0" fieldPosition="0">
        <references count="9">
          <reference field="0" count="1" selected="0">
            <x v="10"/>
          </reference>
          <reference field="3" count="1">
            <x v="7352"/>
          </reference>
          <reference field="5" count="1" selected="0">
            <x v="46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567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7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566">
      <pivotArea dataOnly="0" labelOnly="1" outline="0" fieldPosition="0">
        <references count="9">
          <reference field="0" count="1" selected="0">
            <x v="10"/>
          </reference>
          <reference field="3" count="1">
            <x v="7491"/>
          </reference>
          <reference field="5" count="1" selected="0">
            <x v="19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565">
      <pivotArea dataOnly="0" labelOnly="1" outline="0" fieldPosition="0">
        <references count="9">
          <reference field="0" count="1" selected="0">
            <x v="10"/>
          </reference>
          <reference field="3" count="1">
            <x v="7351"/>
          </reference>
          <reference field="5" count="1" selected="0">
            <x v="57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4564">
      <pivotArea dataOnly="0" labelOnly="1" outline="0" fieldPosition="0">
        <references count="9">
          <reference field="0" count="1" selected="0">
            <x v="10"/>
          </reference>
          <reference field="3" count="1">
            <x v="7490"/>
          </reference>
          <reference field="5" count="1" selected="0">
            <x v="49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563">
      <pivotArea dataOnly="0" labelOnly="1" outline="0" fieldPosition="0">
        <references count="9">
          <reference field="0" count="1" selected="0">
            <x v="10"/>
          </reference>
          <reference field="3" count="1">
            <x v="7495"/>
          </reference>
          <reference field="5" count="1" selected="0">
            <x v="73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562">
      <pivotArea dataOnly="0" labelOnly="1" outline="0" fieldPosition="0">
        <references count="9">
          <reference field="0" count="1" selected="0">
            <x v="10"/>
          </reference>
          <reference field="3" count="1">
            <x v="7489"/>
          </reference>
          <reference field="5" count="1" selected="0">
            <x v="45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56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1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56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5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7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558">
      <pivotArea dataOnly="0" labelOnly="1" outline="0" fieldPosition="0">
        <references count="9">
          <reference field="0" count="1" selected="0">
            <x v="14"/>
          </reference>
          <reference field="3" count="1">
            <x v="7474"/>
          </reference>
          <reference field="5" count="1" selected="0">
            <x v="343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4557">
      <pivotArea dataOnly="0" labelOnly="1" outline="0" fieldPosition="0">
        <references count="9">
          <reference field="0" count="1" selected="0">
            <x v="14"/>
          </reference>
          <reference field="3" count="1">
            <x v="7450"/>
          </reference>
          <reference field="5" count="1" selected="0">
            <x v="73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5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0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55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1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554">
      <pivotArea dataOnly="0" labelOnly="1" outline="0" fieldPosition="0">
        <references count="9">
          <reference field="0" count="1" selected="0">
            <x v="14"/>
          </reference>
          <reference field="3" count="1">
            <x v="7438"/>
          </reference>
          <reference field="5" count="1" selected="0">
            <x v="354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553">
      <pivotArea dataOnly="0" labelOnly="1" outline="0" fieldPosition="0">
        <references count="9">
          <reference field="0" count="1" selected="0">
            <x v="14"/>
          </reference>
          <reference field="3" count="1">
            <x v="7478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552">
      <pivotArea dataOnly="0" labelOnly="1" outline="0" fieldPosition="0">
        <references count="9">
          <reference field="0" count="1" selected="0">
            <x v="14"/>
          </reference>
          <reference field="3" count="1">
            <x v="7480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551">
      <pivotArea dataOnly="0" labelOnly="1" outline="0" fieldPosition="0">
        <references count="9">
          <reference field="0" count="1" selected="0">
            <x v="14"/>
          </reference>
          <reference field="3" count="1">
            <x v="7477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45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98"/>
          </reference>
          <reference field="5" count="1" selected="0">
            <x v="75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54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97"/>
          </reference>
          <reference field="5" count="1" selected="0">
            <x v="75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5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5"/>
          </reference>
          <reference field="5" count="1" selected="0">
            <x v="61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54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52"/>
          </reference>
          <reference field="5" count="1" selected="0">
            <x v="46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54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74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54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91"/>
          </reference>
          <reference field="5" count="1" selected="0">
            <x v="19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54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90"/>
          </reference>
          <reference field="5" count="1" selected="0">
            <x v="49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54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95"/>
          </reference>
          <reference field="5" count="1" selected="0">
            <x v="73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54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54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4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5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4"/>
          </reference>
          <reference field="5" count="1" selected="0">
            <x v="34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45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0"/>
          </reference>
          <reference field="5" count="1" selected="0">
            <x v="73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5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5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1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5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8"/>
          </reference>
          <reference field="5" count="1" selected="0">
            <x v="35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5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8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533">
      <pivotArea dataOnly="0" labelOnly="1" outline="0" fieldPosition="0">
        <references count="11">
          <reference field="0" count="1" selected="0">
            <x v="10"/>
          </reference>
          <reference field="1" count="1">
            <x v="7095"/>
          </reference>
          <reference field="3" count="1" selected="0">
            <x v="7352"/>
          </reference>
          <reference field="5" count="1" selected="0">
            <x v="46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532">
      <pivotArea dataOnly="0" labelOnly="1" outline="0" fieldPosition="0">
        <references count="11">
          <reference field="0" count="1" selected="0">
            <x v="10"/>
          </reference>
          <reference field="1" count="1">
            <x v="7266"/>
          </reference>
          <reference field="3" count="1" selected="0">
            <x v="7491"/>
          </reference>
          <reference field="5" count="1" selected="0">
            <x v="19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531">
      <pivotArea dataOnly="0" labelOnly="1" outline="0" fieldPosition="0">
        <references count="11">
          <reference field="0" count="1" selected="0">
            <x v="12"/>
          </reference>
          <reference field="1" count="1">
            <x v="7265"/>
          </reference>
          <reference field="3" count="1" selected="0">
            <x v="0"/>
          </reference>
          <reference field="5" count="1" selected="0">
            <x v="73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4530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78"/>
          </reference>
          <reference field="5" count="1" selected="0">
            <x v="59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529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27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528">
      <pivotArea dataOnly="0" labelOnly="1" outline="0" fieldPosition="0">
        <references count="11">
          <reference field="0" count="1" selected="0">
            <x v="15"/>
          </reference>
          <reference field="1" count="1">
            <x v="7263"/>
          </reference>
          <reference field="3" count="1" selected="0">
            <x v="0"/>
          </reference>
          <reference field="5" count="1" selected="0">
            <x v="75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527">
      <pivotArea outline="0" collapsedLevelsAreSubtotals="1" fieldPosition="0"/>
    </format>
    <format dxfId="14526">
      <pivotArea dataOnly="0" labelOnly="1" outline="0" axis="axisValues" fieldPosition="0"/>
    </format>
    <format dxfId="14525">
      <pivotArea dataOnly="0" outline="0" fieldPosition="0">
        <references count="1">
          <reference field="12" count="0" defaultSubtotal="1"/>
        </references>
      </pivotArea>
    </format>
    <format dxfId="14524">
      <pivotArea outline="0" collapsedLevelsAreSubtotals="1" fieldPosition="0"/>
    </format>
    <format dxfId="14523">
      <pivotArea dataOnly="0" labelOnly="1" outline="0" axis="axisValues" fieldPosition="0"/>
    </format>
    <format dxfId="14522">
      <pivotArea outline="0" collapsedLevelsAreSubtotals="1" fieldPosition="0"/>
    </format>
    <format dxfId="14521">
      <pivotArea dataOnly="0" labelOnly="1" outline="0" axis="axisValues" fieldPosition="0"/>
    </format>
    <format dxfId="14520">
      <pivotArea dataOnly="0" labelOnly="1" outline="0" axis="axisValues" fieldPosition="0"/>
    </format>
    <format dxfId="14519">
      <pivotArea outline="0" collapsedLevelsAreSubtotals="1" fieldPosition="0"/>
    </format>
    <format dxfId="14518">
      <pivotArea field="12" type="button" dataOnly="0" labelOnly="1" outline="0" axis="axisRow" fieldPosition="2"/>
    </format>
    <format dxfId="14517">
      <pivotArea field="10" type="button" dataOnly="0" labelOnly="1" outline="0" axis="axisRow" fieldPosition="3"/>
    </format>
    <format dxfId="14516">
      <pivotArea field="16" type="button" dataOnly="0" labelOnly="1" outline="0" axis="axisRow" fieldPosition="4"/>
    </format>
    <format dxfId="14515">
      <pivotArea field="18" type="button" dataOnly="0" labelOnly="1" outline="0" axis="axisRow" fieldPosition="5"/>
    </format>
    <format dxfId="14514">
      <pivotArea field="5" type="button" dataOnly="0" labelOnly="1" outline="0" axis="axisRow" fieldPosition="6"/>
    </format>
    <format dxfId="14513">
      <pivotArea field="9" type="button" dataOnly="0" labelOnly="1" outline="0" axis="axisRow" fieldPosition="7"/>
    </format>
    <format dxfId="14512">
      <pivotArea field="3" type="button" dataOnly="0" labelOnly="1" outline="0" axis="axisRow" fieldPosition="8"/>
    </format>
    <format dxfId="14511">
      <pivotArea field="7" type="button" dataOnly="0" labelOnly="1" outline="0" axis="axisRow" fieldPosition="9"/>
    </format>
    <format dxfId="14510">
      <pivotArea field="1" type="button" dataOnly="0" labelOnly="1" outline="0" axis="axisRow" fieldPosition="10"/>
    </format>
    <format dxfId="14509">
      <pivotArea dataOnly="0" labelOnly="1" outline="0" axis="axisValues" fieldPosition="0"/>
    </format>
    <format dxfId="1450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50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506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1450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14504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4503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450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50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50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49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498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4497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449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49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49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4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4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449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49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48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48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48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48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48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48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48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48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48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4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4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4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4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4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4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4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4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4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44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4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446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46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446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46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4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44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46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6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6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6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5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5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5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5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5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3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44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44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4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44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4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144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43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43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42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1442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1442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442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1442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114"/>
          </reference>
        </references>
      </pivotArea>
    </format>
    <format dxfId="1442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63"/>
            <x v="66"/>
          </reference>
        </references>
      </pivotArea>
    </format>
    <format dxfId="144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4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4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4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14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14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4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4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4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4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4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44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44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44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6"/>
            <x v="41"/>
            <x v="58"/>
          </reference>
        </references>
      </pivotArea>
    </format>
    <format dxfId="144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4"/>
            <x v="71"/>
          </reference>
        </references>
      </pivotArea>
    </format>
    <format dxfId="144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14400">
      <pivotArea dataOnly="0" labelOnly="1" outline="0" fieldPosition="0">
        <references count="7">
          <reference field="0" count="1" selected="0">
            <x v="13"/>
          </reference>
          <reference field="5" count="1">
            <x v="66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399">
      <pivotArea dataOnly="0" labelOnly="1" outline="0" fieldPosition="0">
        <references count="7">
          <reference field="0" count="1" selected="0">
            <x v="13"/>
          </reference>
          <reference field="5" count="1">
            <x v="660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98">
      <pivotArea dataOnly="0" labelOnly="1" outline="0" fieldPosition="0">
        <references count="7">
          <reference field="0" count="1" selected="0">
            <x v="13"/>
          </reference>
          <reference field="5" count="1">
            <x v="660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397">
      <pivotArea dataOnly="0" labelOnly="1" outline="0" fieldPosition="0">
        <references count="7">
          <reference field="0" count="1" selected="0">
            <x v="13"/>
          </reference>
          <reference field="5" count="1">
            <x v="7412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396">
      <pivotArea dataOnly="0" labelOnly="1" outline="0" fieldPosition="0">
        <references count="7">
          <reference field="0" count="1" selected="0">
            <x v="14"/>
          </reference>
          <reference field="5" count="1">
            <x v="660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4395">
      <pivotArea dataOnly="0" labelOnly="1" outline="0" fieldPosition="0">
        <references count="7">
          <reference field="0" count="1" selected="0">
            <x v="14"/>
          </reference>
          <reference field="5" count="1">
            <x v="6608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394">
      <pivotArea dataOnly="0" labelOnly="1" outline="0" fieldPosition="0">
        <references count="7">
          <reference field="0" count="1" selected="0">
            <x v="2"/>
          </reference>
          <reference field="5" count="1">
            <x v="6608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393">
      <pivotArea dataOnly="0" labelOnly="1" outline="0" fieldPosition="0">
        <references count="7">
          <reference field="0" count="1" selected="0">
            <x v="2"/>
          </reference>
          <reference field="5" count="1">
            <x v="660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392">
      <pivotArea dataOnly="0" labelOnly="1" outline="0" fieldPosition="0">
        <references count="7">
          <reference field="0" count="1" selected="0">
            <x v="2"/>
          </reference>
          <reference field="5" count="1">
            <x v="660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4391">
      <pivotArea dataOnly="0" labelOnly="1" outline="0" fieldPosition="0">
        <references count="7">
          <reference field="0" count="1" selected="0">
            <x v="2"/>
          </reference>
          <reference field="5" count="1">
            <x v="660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4390">
      <pivotArea dataOnly="0" labelOnly="1" outline="0" fieldPosition="0">
        <references count="7">
          <reference field="0" count="1" selected="0">
            <x v="2"/>
          </reference>
          <reference field="5" count="1">
            <x v="660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4389">
      <pivotArea dataOnly="0" labelOnly="1" outline="0" fieldPosition="0">
        <references count="7">
          <reference field="0" count="1" selected="0">
            <x v="2"/>
          </reference>
          <reference field="5" count="1">
            <x v="660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388">
      <pivotArea dataOnly="0" labelOnly="1" outline="0" fieldPosition="0">
        <references count="7">
          <reference field="0" count="1" selected="0">
            <x v="2"/>
          </reference>
          <reference field="5" count="1">
            <x v="660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4387">
      <pivotArea dataOnly="0" labelOnly="1" outline="0" fieldPosition="0">
        <references count="7">
          <reference field="0" count="1" selected="0">
            <x v="12"/>
          </reference>
          <reference field="5" count="1">
            <x v="66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386">
      <pivotArea dataOnly="0" labelOnly="1" outline="0" fieldPosition="0">
        <references count="7">
          <reference field="0" count="1" selected="0">
            <x v="12"/>
          </reference>
          <reference field="5" count="1">
            <x v="239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385">
      <pivotArea dataOnly="0" labelOnly="1" outline="0" fieldPosition="0">
        <references count="7">
          <reference field="0" count="1" selected="0">
            <x v="12"/>
          </reference>
          <reference field="5" count="1">
            <x v="66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4384">
      <pivotArea dataOnly="0" labelOnly="1" outline="0" fieldPosition="0">
        <references count="7">
          <reference field="0" count="1" selected="0">
            <x v="13"/>
          </reference>
          <reference field="5" count="1">
            <x v="66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83">
      <pivotArea dataOnly="0" labelOnly="1" outline="0" fieldPosition="0">
        <references count="7">
          <reference field="0" count="1" selected="0">
            <x v="13"/>
          </reference>
          <reference field="5" count="1">
            <x v="571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82">
      <pivotArea dataOnly="0" labelOnly="1" outline="0" fieldPosition="0">
        <references count="7">
          <reference field="0" count="1" selected="0">
            <x v="13"/>
          </reference>
          <reference field="5" count="1">
            <x v="660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81">
      <pivotArea dataOnly="0" labelOnly="1" outline="0" fieldPosition="0">
        <references count="7">
          <reference field="0" count="1" selected="0">
            <x v="14"/>
          </reference>
          <reference field="5" count="1">
            <x v="6608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80">
      <pivotArea dataOnly="0" labelOnly="1" outline="0" fieldPosition="0">
        <references count="7">
          <reference field="0" count="1" selected="0">
            <x v="14"/>
          </reference>
          <reference field="5" count="1">
            <x v="660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379">
      <pivotArea dataOnly="0" labelOnly="1" outline="0" fieldPosition="0">
        <references count="7">
          <reference field="0" count="1" selected="0">
            <x v="14"/>
          </reference>
          <reference field="5" count="1">
            <x v="660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378">
      <pivotArea dataOnly="0" labelOnly="1" outline="0" fieldPosition="0">
        <references count="7">
          <reference field="0" count="1" selected="0">
            <x v="14"/>
          </reference>
          <reference field="5" count="1">
            <x v="660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377">
      <pivotArea dataOnly="0" labelOnly="1" outline="0" fieldPosition="0">
        <references count="7">
          <reference field="0" count="1" selected="0">
            <x v="14"/>
          </reference>
          <reference field="5" count="1">
            <x v="660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376">
      <pivotArea dataOnly="0" labelOnly="1" outline="0" fieldPosition="0">
        <references count="7">
          <reference field="0" count="1" selected="0">
            <x v="14"/>
          </reference>
          <reference field="5" count="1">
            <x v="660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375">
      <pivotArea dataOnly="0" labelOnly="1" outline="0" fieldPosition="0">
        <references count="7">
          <reference field="0" count="1" selected="0">
            <x v="14"/>
          </reference>
          <reference field="5" count="1">
            <x v="660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374">
      <pivotArea dataOnly="0" labelOnly="1" outline="0" fieldPosition="0">
        <references count="7">
          <reference field="0" count="1" selected="0">
            <x v="14"/>
          </reference>
          <reference field="5" count="1">
            <x v="660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73">
      <pivotArea dataOnly="0" labelOnly="1" outline="0" fieldPosition="0">
        <references count="7">
          <reference field="0" count="1" selected="0">
            <x v="14"/>
          </reference>
          <reference field="5" count="1">
            <x v="660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372">
      <pivotArea dataOnly="0" labelOnly="1" outline="0" fieldPosition="0">
        <references count="7">
          <reference field="0" count="1" selected="0">
            <x v="14"/>
          </reference>
          <reference field="5" count="1">
            <x v="6608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371">
      <pivotArea dataOnly="0" labelOnly="1" outline="0" fieldPosition="0">
        <references count="7">
          <reference field="0" count="1" selected="0">
            <x v="14"/>
          </reference>
          <reference field="5" count="1">
            <x v="660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370">
      <pivotArea dataOnly="0" labelOnly="1" outline="0" fieldPosition="0">
        <references count="7">
          <reference field="0" count="1" selected="0">
            <x v="14"/>
          </reference>
          <reference field="5" count="1">
            <x v="660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369">
      <pivotArea dataOnly="0" labelOnly="1" outline="0" fieldPosition="0">
        <references count="7">
          <reference field="0" count="1" selected="0">
            <x v="14"/>
          </reference>
          <reference field="5" count="1">
            <x v="6608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368">
      <pivotArea dataOnly="0" labelOnly="1" outline="0" fieldPosition="0">
        <references count="7">
          <reference field="0" count="1" selected="0">
            <x v="14"/>
          </reference>
          <reference field="5" count="1">
            <x v="660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367">
      <pivotArea dataOnly="0" labelOnly="1" outline="0" fieldPosition="0">
        <references count="7">
          <reference field="0" count="1" selected="0">
            <x v="14"/>
          </reference>
          <reference field="5" count="1">
            <x v="660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366">
      <pivotArea dataOnly="0" labelOnly="1" outline="0" fieldPosition="0">
        <references count="7">
          <reference field="0" count="1" selected="0">
            <x v="15"/>
          </reference>
          <reference field="5" count="1">
            <x v="1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365">
      <pivotArea dataOnly="0" labelOnly="1" outline="0" fieldPosition="0">
        <references count="7">
          <reference field="0" count="1" selected="0">
            <x v="15"/>
          </reference>
          <reference field="5" count="1">
            <x v="158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4364">
      <pivotArea dataOnly="0" labelOnly="1" outline="0" fieldPosition="0">
        <references count="7">
          <reference field="0" count="1" selected="0">
            <x v="15"/>
          </reference>
          <reference field="5" count="1">
            <x v="741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363">
      <pivotArea dataOnly="0" labelOnly="1" outline="0" fieldPosition="0">
        <references count="7">
          <reference field="0" count="1" selected="0">
            <x v="15"/>
          </reference>
          <reference field="5" count="1">
            <x v="660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3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3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0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43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0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35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6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35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6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35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6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435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6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435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6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35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6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435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60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3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08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0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0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3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0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3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0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3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0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3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0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3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0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3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0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0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3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0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3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0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3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0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3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0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3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0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3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0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3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3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81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433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1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3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331">
      <pivotArea dataOnly="0" labelOnly="1" outline="0" fieldPosition="0">
        <references count="9">
          <reference field="0" count="1" selected="0">
            <x v="14"/>
          </reference>
          <reference field="3" count="1">
            <x v="7501"/>
          </reference>
          <reference field="5" count="1" selected="0">
            <x v="660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4330">
      <pivotArea dataOnly="0" labelOnly="1" outline="0" fieldPosition="0">
        <references count="9">
          <reference field="0" count="1" selected="0">
            <x v="14"/>
          </reference>
          <reference field="3" count="1">
            <x v="7475"/>
          </reference>
          <reference field="5" count="1" selected="0">
            <x v="660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32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6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32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6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327">
      <pivotArea dataOnly="0" labelOnly="1" outline="0" fieldPosition="0">
        <references count="9">
          <reference field="0" count="1" selected="0">
            <x v="2"/>
          </reference>
          <reference field="3" count="1">
            <x v="7509"/>
          </reference>
          <reference field="5" count="1" selected="0">
            <x v="66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432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6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432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6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432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6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432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6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432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60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32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20">
      <pivotArea dataOnly="0" labelOnly="1" outline="0" fieldPosition="0">
        <references count="9">
          <reference field="0" count="1" selected="0">
            <x v="13"/>
          </reference>
          <reference field="3" count="1">
            <x v="7483"/>
          </reference>
          <reference field="5" count="1" selected="0">
            <x v="6608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3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1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18">
      <pivotArea dataOnly="0" labelOnly="1" outline="0" fieldPosition="0">
        <references count="9">
          <reference field="0" count="1" selected="0">
            <x v="14"/>
          </reference>
          <reference field="3" count="1">
            <x v="7479"/>
          </reference>
          <reference field="5" count="1" selected="0">
            <x v="660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60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316">
      <pivotArea dataOnly="0" labelOnly="1" outline="0" fieldPosition="0">
        <references count="9">
          <reference field="0" count="1" selected="0">
            <x v="14"/>
          </reference>
          <reference field="3" count="1">
            <x v="7503"/>
          </reference>
          <reference field="5" count="1" selected="0">
            <x v="660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31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60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314">
      <pivotArea dataOnly="0" labelOnly="1" outline="0" fieldPosition="0">
        <references count="9">
          <reference field="0" count="1" selected="0">
            <x v="14"/>
          </reference>
          <reference field="3" count="1">
            <x v="7474"/>
          </reference>
          <reference field="5" count="1" selected="0">
            <x v="660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31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60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312">
      <pivotArea dataOnly="0" labelOnly="1" outline="0" fieldPosition="0">
        <references count="9">
          <reference field="0" count="1" selected="0">
            <x v="14"/>
          </reference>
          <reference field="3" count="2">
            <x v="2"/>
            <x v="7506"/>
          </reference>
          <reference field="5" count="1" selected="0">
            <x v="660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311">
      <pivotArea dataOnly="0" labelOnly="1" outline="0" fieldPosition="0">
        <references count="9">
          <reference field="0" count="1" selected="0">
            <x v="14"/>
          </reference>
          <reference field="3" count="1">
            <x v="7504"/>
          </reference>
          <reference field="5" count="1" selected="0">
            <x v="660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310">
      <pivotArea dataOnly="0" labelOnly="1" outline="0" fieldPosition="0">
        <references count="9">
          <reference field="0" count="1" selected="0">
            <x v="14"/>
          </reference>
          <reference field="3" count="1">
            <x v="7425"/>
          </reference>
          <reference field="5" count="1" selected="0">
            <x v="660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3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60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08">
      <pivotArea dataOnly="0" labelOnly="1" outline="0" fieldPosition="0">
        <references count="9">
          <reference field="0" count="1" selected="0">
            <x v="14"/>
          </reference>
          <reference field="3" count="1">
            <x v="7505"/>
          </reference>
          <reference field="5" count="1" selected="0">
            <x v="660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307">
      <pivotArea dataOnly="0" labelOnly="1" outline="0" fieldPosition="0">
        <references count="9">
          <reference field="0" count="1" selected="0">
            <x v="14"/>
          </reference>
          <reference field="3" count="1">
            <x v="7405"/>
          </reference>
          <reference field="5" count="1" selected="0">
            <x v="660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306">
      <pivotArea dataOnly="0" labelOnly="1" outline="0" fieldPosition="0">
        <references count="9">
          <reference field="0" count="1" selected="0">
            <x v="14"/>
          </reference>
          <reference field="3" count="1">
            <x v="7502"/>
          </reference>
          <reference field="5" count="1" selected="0">
            <x v="660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30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60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30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60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303">
      <pivotArea dataOnly="0" labelOnly="1" outline="0" fieldPosition="0">
        <references count="9">
          <reference field="0" count="1" selected="0">
            <x v="14"/>
          </reference>
          <reference field="3" count="2">
            <x v="7478"/>
            <x v="7480"/>
          </reference>
          <reference field="5" count="1" selected="0">
            <x v="660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302">
      <pivotArea dataOnly="0" labelOnly="1" outline="0" fieldPosition="0">
        <references count="9">
          <reference field="0" count="1" selected="0">
            <x v="14"/>
          </reference>
          <reference field="3" count="1">
            <x v="7477"/>
          </reference>
          <reference field="5" count="1" selected="0">
            <x v="66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4301">
      <pivotArea dataOnly="0" labelOnly="1" outline="0" fieldPosition="0">
        <references count="9">
          <reference field="0" count="1" selected="0">
            <x v="14"/>
          </reference>
          <reference field="3" count="1">
            <x v="7482"/>
          </reference>
          <reference field="5" count="1" selected="0">
            <x v="6608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4300">
      <pivotArea dataOnly="0" labelOnly="1" outline="0" fieldPosition="0">
        <references count="9">
          <reference field="0" count="1" selected="0">
            <x v="14"/>
          </reference>
          <reference field="3" count="1">
            <x v="7507"/>
          </reference>
          <reference field="5" count="1" selected="0">
            <x v="660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299">
      <pivotArea dataOnly="0" labelOnly="1" outline="0" fieldPosition="0">
        <references count="9">
          <reference field="0" count="1" selected="0">
            <x v="15"/>
          </reference>
          <reference field="3" count="1">
            <x v="7500"/>
          </reference>
          <reference field="5" count="1" selected="0">
            <x v="15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29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2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1"/>
          </reference>
          <reference field="5" count="1" selected="0">
            <x v="66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42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5"/>
          </reference>
          <reference field="5" count="1" selected="0">
            <x v="66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29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6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29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6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29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09"/>
          </reference>
          <reference field="5" count="1" selected="0">
            <x v="66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429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6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429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6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429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6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428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6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428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6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2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2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483"/>
          </reference>
          <reference field="5" count="1" selected="0">
            <x v="66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28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1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2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9"/>
          </reference>
          <reference field="5" count="1" selected="0">
            <x v="66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2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6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2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3"/>
          </reference>
          <reference field="5" count="1" selected="0">
            <x v="66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2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6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2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4"/>
          </reference>
          <reference field="5" count="1" selected="0">
            <x v="66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2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6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2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6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2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4"/>
          </reference>
          <reference field="5" count="1" selected="0">
            <x v="66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2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5"/>
          </reference>
          <reference field="5" count="1" selected="0">
            <x v="66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2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6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5"/>
          </reference>
          <reference field="5" count="1" selected="0">
            <x v="66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2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5"/>
          </reference>
          <reference field="5" count="1" selected="0">
            <x v="66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2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2"/>
          </reference>
          <reference field="5" count="1" selected="0">
            <x v="66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2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6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2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6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2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8"/>
          </reference>
          <reference field="5" count="1" selected="0">
            <x v="66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2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7"/>
          </reference>
          <reference field="5" count="1" selected="0">
            <x v="66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2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00"/>
          </reference>
          <reference field="5" count="1" selected="0">
            <x v="159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266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501"/>
          </reference>
          <reference field="5" count="1" selected="0">
            <x v="660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4265">
      <pivotArea dataOnly="0" labelOnly="1" outline="0" fieldPosition="0">
        <references count="11">
          <reference field="0" count="1" selected="0">
            <x v="2"/>
          </reference>
          <reference field="1" count="1">
            <x v="7281"/>
          </reference>
          <reference field="3" count="1" selected="0">
            <x v="0"/>
          </reference>
          <reference field="5" count="1" selected="0">
            <x v="66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264">
      <pivotArea dataOnly="0" labelOnly="1" outline="0" fieldPosition="0">
        <references count="11">
          <reference field="0" count="1" selected="0">
            <x v="2"/>
          </reference>
          <reference field="1" count="1">
            <x v="7282"/>
          </reference>
          <reference field="3" count="1" selected="0">
            <x v="7509"/>
          </reference>
          <reference field="5" count="1" selected="0">
            <x v="66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4263">
      <pivotArea dataOnly="0" labelOnly="1" outline="0" fieldPosition="0">
        <references count="11">
          <reference field="0" count="1" selected="0">
            <x v="2"/>
          </reference>
          <reference field="1" count="1">
            <x v="7279"/>
          </reference>
          <reference field="3" count="1" selected="0">
            <x v="0"/>
          </reference>
          <reference field="5" count="1" selected="0">
            <x v="66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4262">
      <pivotArea dataOnly="0" labelOnly="1" outline="0" fieldPosition="0">
        <references count="11">
          <reference field="0" count="1" selected="0">
            <x v="2"/>
          </reference>
          <reference field="1" count="1">
            <x v="7280"/>
          </reference>
          <reference field="3" count="1" selected="0">
            <x v="0"/>
          </reference>
          <reference field="5" count="1" selected="0">
            <x v="66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4261">
      <pivotArea dataOnly="0" labelOnly="1" outline="0" fieldPosition="0">
        <references count="11">
          <reference field="0" count="1" selected="0">
            <x v="12"/>
          </reference>
          <reference field="1" count="1">
            <x v="7278"/>
          </reference>
          <reference field="3" count="1" selected="0">
            <x v="0"/>
          </reference>
          <reference field="5" count="1" selected="0">
            <x v="239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260">
      <pivotArea dataOnly="0" labelOnly="1" outline="0" fieldPosition="0">
        <references count="11">
          <reference field="0" count="1" selected="0">
            <x v="13"/>
          </reference>
          <reference field="1" count="1">
            <x v="7258"/>
          </reference>
          <reference field="3" count="1" selected="0">
            <x v="7483"/>
          </reference>
          <reference field="5" count="1" selected="0">
            <x v="660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259">
      <pivotArea dataOnly="0" labelOnly="1" outline="0" fieldPosition="0">
        <references count="11">
          <reference field="0" count="1" selected="0">
            <x v="14"/>
          </reference>
          <reference field="1" count="1">
            <x v="7275"/>
          </reference>
          <reference field="3" count="1" selected="0">
            <x v="2"/>
          </reference>
          <reference field="5" count="1" selected="0">
            <x v="66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258">
      <pivotArea dataOnly="0" labelOnly="1" outline="0" fieldPosition="0">
        <references count="11">
          <reference field="0" count="1" selected="0">
            <x v="14"/>
          </reference>
          <reference field="1" count="1">
            <x v="7276"/>
          </reference>
          <reference field="3" count="1" selected="0">
            <x v="7503"/>
          </reference>
          <reference field="5" count="1" selected="0">
            <x v="660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257">
      <pivotArea dataOnly="0" labelOnly="1" outline="0" fieldPosition="0">
        <references count="11">
          <reference field="0" count="1" selected="0">
            <x v="14"/>
          </reference>
          <reference field="1" count="1">
            <x v="7277"/>
          </reference>
          <reference field="3" count="1" selected="0">
            <x v="2"/>
          </reference>
          <reference field="5" count="1" selected="0">
            <x v="66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56">
      <pivotArea dataOnly="0" labelOnly="1" outline="0" fieldPosition="0">
        <references count="11">
          <reference field="0" count="1" selected="0">
            <x v="14"/>
          </reference>
          <reference field="1" count="1">
            <x v="7255"/>
          </reference>
          <reference field="3" count="1" selected="0">
            <x v="7405"/>
          </reference>
          <reference field="5" count="1" selected="0">
            <x v="660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255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78"/>
          </reference>
          <reference field="5" count="1" selected="0">
            <x v="66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254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74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253">
      <pivotArea dataOnly="0" labelOnly="1" outline="0" fieldPosition="0">
        <references count="11">
          <reference field="0" count="1" selected="0">
            <x v="15"/>
          </reference>
          <reference field="1" count="1">
            <x v="7263"/>
          </reference>
          <reference field="3" count="1" selected="0">
            <x v="0"/>
          </reference>
          <reference field="5" count="1" selected="0">
            <x v="66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252">
      <pivotArea dataOnly="0" labelOnly="1" outline="0" fieldPosition="0">
        <references count="11">
          <reference field="0" count="1" selected="0">
            <x v="15"/>
          </reference>
          <reference field="1" count="2">
            <x v="7272"/>
            <x v="7273"/>
          </reference>
          <reference field="3" count="1" selected="0">
            <x v="0"/>
          </reference>
          <reference field="5" count="1" selected="0">
            <x v="66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251">
      <pivotArea outline="0" collapsedLevelsAreSubtotals="1" fieldPosition="0"/>
    </format>
    <format dxfId="14250">
      <pivotArea dataOnly="0" labelOnly="1" outline="0" axis="axisValues" fieldPosition="0"/>
    </format>
    <format dxfId="14249">
      <pivotArea dataOnly="0" outline="0" fieldPosition="0">
        <references count="1">
          <reference field="12" count="0" defaultSubtotal="1"/>
        </references>
      </pivotArea>
    </format>
    <format dxfId="14248">
      <pivotArea outline="0" collapsedLevelsAreSubtotals="1" fieldPosition="0"/>
    </format>
    <format dxfId="14247">
      <pivotArea dataOnly="0" labelOnly="1" outline="0" axis="axisValues" fieldPosition="0"/>
    </format>
    <format dxfId="14246">
      <pivotArea outline="0" collapsedLevelsAreSubtotals="1" fieldPosition="0"/>
    </format>
    <format dxfId="14245">
      <pivotArea dataOnly="0" labelOnly="1" outline="0" axis="axisValues" fieldPosition="0"/>
    </format>
    <format dxfId="14244">
      <pivotArea dataOnly="0" labelOnly="1" outline="0" axis="axisValues" fieldPosition="0"/>
    </format>
    <format dxfId="14243">
      <pivotArea outline="0" collapsedLevelsAreSubtotals="1" fieldPosition="0"/>
    </format>
    <format dxfId="14242">
      <pivotArea field="12" type="button" dataOnly="0" labelOnly="1" outline="0" axis="axisRow" fieldPosition="2"/>
    </format>
    <format dxfId="14241">
      <pivotArea field="10" type="button" dataOnly="0" labelOnly="1" outline="0" axis="axisRow" fieldPosition="3"/>
    </format>
    <format dxfId="14240">
      <pivotArea field="16" type="button" dataOnly="0" labelOnly="1" outline="0" axis="axisRow" fieldPosition="4"/>
    </format>
    <format dxfId="14239">
      <pivotArea field="18" type="button" dataOnly="0" labelOnly="1" outline="0" axis="axisRow" fieldPosition="5"/>
    </format>
    <format dxfId="14238">
      <pivotArea field="5" type="button" dataOnly="0" labelOnly="1" outline="0" axis="axisRow" fieldPosition="6"/>
    </format>
    <format dxfId="14237">
      <pivotArea field="9" type="button" dataOnly="0" labelOnly="1" outline="0" axis="axisRow" fieldPosition="7"/>
    </format>
    <format dxfId="14236">
      <pivotArea field="3" type="button" dataOnly="0" labelOnly="1" outline="0" axis="axisRow" fieldPosition="8"/>
    </format>
    <format dxfId="14235">
      <pivotArea field="7" type="button" dataOnly="0" labelOnly="1" outline="0" axis="axisRow" fieldPosition="9"/>
    </format>
    <format dxfId="14234">
      <pivotArea field="1" type="button" dataOnly="0" labelOnly="1" outline="0" axis="axisRow" fieldPosition="10"/>
    </format>
    <format dxfId="14233">
      <pivotArea dataOnly="0" labelOnly="1" outline="0" axis="axisValues" fieldPosition="0"/>
    </format>
    <format dxfId="1423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23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230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1422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14228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4227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422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22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2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2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222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4221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422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21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21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2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2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421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1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21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21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21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21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20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20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0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0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0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2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2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2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2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2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1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1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1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1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41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1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419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19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419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19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1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41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18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8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8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8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8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8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8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8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7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6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41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41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1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41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1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141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15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15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15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1415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1415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415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1414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114"/>
          </reference>
        </references>
      </pivotArea>
    </format>
    <format dxfId="1414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63"/>
            <x v="66"/>
          </reference>
        </references>
      </pivotArea>
    </format>
    <format dxfId="141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1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1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1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1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1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1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141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141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1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41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4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4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4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1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4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4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41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6"/>
            <x v="41"/>
            <x v="58"/>
          </reference>
        </references>
      </pivotArea>
    </format>
    <format dxfId="141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4"/>
            <x v="71"/>
          </reference>
        </references>
      </pivotArea>
    </format>
    <format dxfId="141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14124">
      <pivotArea dataOnly="0" labelOnly="1" outline="0" fieldPosition="0">
        <references count="7">
          <reference field="0" count="1" selected="0">
            <x v="13"/>
          </reference>
          <reference field="5" count="1">
            <x v="4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123">
      <pivotArea dataOnly="0" labelOnly="1" outline="0" fieldPosition="0">
        <references count="7">
          <reference field="0" count="1" selected="0">
            <x v="13"/>
          </reference>
          <reference field="5" count="1">
            <x v="259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122">
      <pivotArea dataOnly="0" labelOnly="1" outline="0" fieldPosition="0">
        <references count="7">
          <reference field="0" count="1" selected="0">
            <x v="13"/>
          </reference>
          <reference field="5" count="1">
            <x v="74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121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120">
      <pivotArea dataOnly="0" labelOnly="1" outline="0" fieldPosition="0">
        <references count="7">
          <reference field="0" count="1" selected="0">
            <x v="2"/>
          </reference>
          <reference field="5" count="1">
            <x v="753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119">
      <pivotArea dataOnly="0" labelOnly="1" outline="0" fieldPosition="0">
        <references count="7">
          <reference field="0" count="1" selected="0">
            <x v="2"/>
          </reference>
          <reference field="5" count="1">
            <x v="743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118">
      <pivotArea dataOnly="0" labelOnly="1" outline="0" fieldPosition="0">
        <references count="7">
          <reference field="0" count="1" selected="0">
            <x v="2"/>
          </reference>
          <reference field="5" count="1">
            <x v="43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4117">
      <pivotArea dataOnly="0" labelOnly="1" outline="0" fieldPosition="0">
        <references count="7">
          <reference field="0" count="1" selected="0">
            <x v="2"/>
          </reference>
          <reference field="5" count="1">
            <x v="600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116">
      <pivotArea dataOnly="0" labelOnly="1" outline="0" fieldPosition="0">
        <references count="7">
          <reference field="0" count="1" selected="0">
            <x v="2"/>
          </reference>
          <reference field="5" count="1">
            <x v="753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4115">
      <pivotArea dataOnly="0" labelOnly="1" outline="0" fieldPosition="0">
        <references count="7">
          <reference field="0" count="1" selected="0">
            <x v="2"/>
          </reference>
          <reference field="5" count="1">
            <x v="743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4114">
      <pivotArea dataOnly="0" labelOnly="1" outline="0" fieldPosition="0">
        <references count="7">
          <reference field="0" count="1" selected="0">
            <x v="2"/>
          </reference>
          <reference field="5" count="1">
            <x v="196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4113">
      <pivotArea dataOnly="0" labelOnly="1" outline="0" fieldPosition="0">
        <references count="7">
          <reference field="0" count="1" selected="0">
            <x v="2"/>
          </reference>
          <reference field="5" count="1">
            <x v="743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112">
      <pivotArea dataOnly="0" labelOnly="1" outline="0" fieldPosition="0">
        <references count="7">
          <reference field="0" count="1" selected="0">
            <x v="12"/>
          </reference>
          <reference field="5" count="1">
            <x v="751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111">
      <pivotArea dataOnly="0" labelOnly="1" outline="0" fieldPosition="0">
        <references count="7">
          <reference field="0" count="1" selected="0">
            <x v="12"/>
          </reference>
          <reference field="5" count="1">
            <x v="75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110">
      <pivotArea dataOnly="0" labelOnly="1" outline="0" fieldPosition="0">
        <references count="7">
          <reference field="0" count="1" selected="0">
            <x v="12"/>
          </reference>
          <reference field="5" count="1">
            <x v="75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4109">
      <pivotArea dataOnly="0" labelOnly="1" outline="0" fieldPosition="0">
        <references count="7">
          <reference field="0" count="1" selected="0">
            <x v="13"/>
          </reference>
          <reference field="5" count="1">
            <x v="74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108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107">
      <pivotArea dataOnly="0" labelOnly="1" outline="0" fieldPosition="0">
        <references count="7">
          <reference field="0" count="1" selected="0">
            <x v="13"/>
          </reference>
          <reference field="5" count="1"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106">
      <pivotArea dataOnly="0" labelOnly="1" outline="0" fieldPosition="0">
        <references count="7">
          <reference field="0" count="1" selected="0">
            <x v="14"/>
          </reference>
          <reference field="5" count="1">
            <x v="752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105">
      <pivotArea dataOnly="0" labelOnly="1" outline="0" fieldPosition="0">
        <references count="7">
          <reference field="0" count="1" selected="0">
            <x v="14"/>
          </reference>
          <reference field="5" count="1">
            <x v="753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104">
      <pivotArea dataOnly="0" labelOnly="1" outline="0" fieldPosition="0">
        <references count="7">
          <reference field="0" count="1" selected="0">
            <x v="14"/>
          </reference>
          <reference field="5" count="1">
            <x v="343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103">
      <pivotArea dataOnly="0" labelOnly="1" outline="0" fieldPosition="0">
        <references count="7">
          <reference field="0" count="1" selected="0">
            <x v="14"/>
          </reference>
          <reference field="5" count="1">
            <x v="751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102">
      <pivotArea dataOnly="0" labelOnly="1" outline="0" fieldPosition="0">
        <references count="7">
          <reference field="0" count="1" selected="0">
            <x v="14"/>
          </reference>
          <reference field="5" count="1">
            <x v="3988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101">
      <pivotArea dataOnly="0" labelOnly="1" outline="0" fieldPosition="0">
        <references count="7">
          <reference field="0" count="1" selected="0">
            <x v="14"/>
          </reference>
          <reference field="5" count="1">
            <x v="7528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100">
      <pivotArea dataOnly="0" labelOnly="1" outline="0" fieldPosition="0">
        <references count="7">
          <reference field="0" count="1" selected="0">
            <x v="14"/>
          </reference>
          <reference field="5" count="2">
            <x v="5943"/>
            <x v="656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099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4098">
      <pivotArea dataOnly="0" labelOnly="1" outline="0" fieldPosition="0">
        <references count="7">
          <reference field="0" count="1" selected="0">
            <x v="14"/>
          </reference>
          <reference field="5" count="1">
            <x v="235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097">
      <pivotArea dataOnly="0" labelOnly="1" outline="0" fieldPosition="0">
        <references count="7">
          <reference field="0" count="1" selected="0">
            <x v="15"/>
          </reference>
          <reference field="5" count="1">
            <x v="75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096">
      <pivotArea dataOnly="0" labelOnly="1" outline="0" fieldPosition="0">
        <references count="7">
          <reference field="0" count="1" selected="0">
            <x v="15"/>
          </reference>
          <reference field="5" count="1"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095">
      <pivotArea dataOnly="0" labelOnly="1" outline="0" fieldPosition="0">
        <references count="7">
          <reference field="0" count="1" selected="0">
            <x v="15"/>
          </reference>
          <reference field="5" count="2">
            <x v="7510"/>
            <x v="75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4094">
      <pivotArea dataOnly="0" labelOnly="1" outline="0" fieldPosition="0">
        <references count="7">
          <reference field="0" count="1" selected="0">
            <x v="15"/>
          </reference>
          <reference field="5" count="1">
            <x v="75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093">
      <pivotArea dataOnly="0" labelOnly="1" outline="0" fieldPosition="0">
        <references count="7">
          <reference field="0" count="1" selected="0">
            <x v="15"/>
          </reference>
          <reference field="5" count="1">
            <x v="75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0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09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09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4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08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408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0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08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4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408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9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408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1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08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0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0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0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3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0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0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0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0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5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0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2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0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074">
      <pivotArea dataOnly="0" labelOnly="1" outline="0" fieldPosition="0">
        <references count="9">
          <reference field="0" count="1" selected="0">
            <x v="14"/>
          </reference>
          <reference field="3" count="1">
            <x v="7475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07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07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4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071">
      <pivotArea dataOnly="0" labelOnly="1" outline="0" fieldPosition="0">
        <references count="9">
          <reference field="0" count="1" selected="0">
            <x v="2"/>
          </reference>
          <reference field="3" count="1">
            <x v="7509"/>
          </reference>
          <reference field="5" count="1" selected="0">
            <x v="43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4070">
      <pivotArea dataOnly="0" labelOnly="1" outline="0" fieldPosition="0">
        <references count="9">
          <reference field="0" count="1" selected="0">
            <x v="2"/>
          </reference>
          <reference field="3" count="1">
            <x v="7508"/>
          </reference>
          <reference field="5" count="1" selected="0">
            <x v="60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06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406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406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406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1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0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0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7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0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06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3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061">
      <pivotArea dataOnly="0" labelOnly="1" outline="0" fieldPosition="0">
        <references count="9">
          <reference field="0" count="1" selected="0">
            <x v="14"/>
          </reference>
          <reference field="3" count="1">
            <x v="7474"/>
          </reference>
          <reference field="5" count="1" selected="0">
            <x v="343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06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1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059">
      <pivotArea dataOnly="0" labelOnly="1" outline="0" fieldPosition="0">
        <references count="9">
          <reference field="0" count="1" selected="0">
            <x v="14"/>
          </reference>
          <reference field="3" count="1">
            <x v="7405"/>
          </reference>
          <reference field="5" count="1" selected="0">
            <x v="398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05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2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057">
      <pivotArea dataOnly="0" labelOnly="1" outline="0" fieldPosition="0">
        <references count="9">
          <reference field="0" count="1" selected="0">
            <x v="14"/>
          </reference>
          <reference field="3" count="1">
            <x v="7478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056">
      <pivotArea dataOnly="0" labelOnly="1" outline="0" fieldPosition="0">
        <references count="9">
          <reference field="0" count="1" selected="0">
            <x v="14"/>
          </reference>
          <reference field="3" count="1">
            <x v="7480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055">
      <pivotArea dataOnly="0" labelOnly="1" outline="0" fieldPosition="0">
        <references count="9">
          <reference field="0" count="1" selected="0">
            <x v="14"/>
          </reference>
          <reference field="3" count="1">
            <x v="7477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4054">
      <pivotArea dataOnly="0" labelOnly="1" outline="0" fieldPosition="0">
        <references count="9">
          <reference field="0" count="1" selected="0">
            <x v="14"/>
          </reference>
          <reference field="3" count="1">
            <x v="7507"/>
          </reference>
          <reference field="5" count="1" selected="0">
            <x v="235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053">
      <pivotArea dataOnly="0" labelOnly="1" outline="0" fieldPosition="0">
        <references count="9">
          <reference field="0" count="1" selected="0">
            <x v="15"/>
          </reference>
          <reference field="3" count="1">
            <x v="7500"/>
          </reference>
          <reference field="5" count="1" selected="0">
            <x v="75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0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5"/>
          </reference>
          <reference field="5" count="1" selected="0">
            <x v="61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05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3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05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4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04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09"/>
          </reference>
          <reference field="5" count="1" selected="0">
            <x v="43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404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08"/>
          </reference>
          <reference field="5" count="1" selected="0">
            <x v="60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04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404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4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404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6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404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04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04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0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0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0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4"/>
          </reference>
          <reference field="5" count="1" selected="0">
            <x v="34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0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1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0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5"/>
          </reference>
          <reference field="5" count="1" selected="0">
            <x v="39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0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0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8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0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7"/>
          </reference>
          <reference field="5" count="1" selected="0">
            <x v="23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0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00"/>
          </reference>
          <reference field="5" count="1" selected="0">
            <x v="75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032">
      <pivotArea dataOnly="0" labelOnly="1" outline="0" fieldPosition="0">
        <references count="11">
          <reference field="0" count="1" selected="0">
            <x v="2"/>
          </reference>
          <reference field="1" count="1">
            <x v="7281"/>
          </reference>
          <reference field="3" count="1" selected="0">
            <x v="0"/>
          </reference>
          <reference field="5" count="1" selected="0">
            <x v="753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031">
      <pivotArea dataOnly="0" labelOnly="1" outline="0" fieldPosition="0">
        <references count="11">
          <reference field="0" count="1" selected="0">
            <x v="2"/>
          </reference>
          <reference field="1" count="1">
            <x v="7282"/>
          </reference>
          <reference field="3" count="1" selected="0">
            <x v="7509"/>
          </reference>
          <reference field="5" count="1" selected="0">
            <x v="43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4030">
      <pivotArea dataOnly="0" labelOnly="1" outline="0" fieldPosition="0">
        <references count="11">
          <reference field="0" count="1" selected="0">
            <x v="2"/>
          </reference>
          <reference field="1" count="1">
            <x v="7279"/>
          </reference>
          <reference field="3" count="1" selected="0">
            <x v="0"/>
          </reference>
          <reference field="5" count="1" selected="0">
            <x v="75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4029">
      <pivotArea dataOnly="0" labelOnly="1" outline="0" fieldPosition="0">
        <references count="11">
          <reference field="0" count="1" selected="0">
            <x v="2"/>
          </reference>
          <reference field="1" count="1">
            <x v="7280"/>
          </reference>
          <reference field="3" count="1" selected="0">
            <x v="0"/>
          </reference>
          <reference field="5" count="1" selected="0">
            <x v="196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4028">
      <pivotArea dataOnly="0" labelOnly="1" outline="0" fieldPosition="0">
        <references count="11">
          <reference field="0" count="1" selected="0">
            <x v="14"/>
          </reference>
          <reference field="1" count="1">
            <x v="7275"/>
          </reference>
          <reference field="3" count="1" selected="0">
            <x v="2"/>
          </reference>
          <reference field="5" count="1" selected="0">
            <x v="75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027">
      <pivotArea dataOnly="0" labelOnly="1" outline="0" fieldPosition="0">
        <references count="11">
          <reference field="0" count="1" selected="0">
            <x v="14"/>
          </reference>
          <reference field="1" count="1">
            <x v="7255"/>
          </reference>
          <reference field="3" count="1" selected="0">
            <x v="7405"/>
          </reference>
          <reference field="5" count="1" selected="0">
            <x v="398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026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78"/>
          </reference>
          <reference field="5" count="1" selected="0">
            <x v="59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025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27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024">
      <pivotArea dataOnly="0" labelOnly="1" outline="0" fieldPosition="0">
        <references count="11">
          <reference field="0" count="1" selected="0">
            <x v="15"/>
          </reference>
          <reference field="1" count="1">
            <x v="7263"/>
          </reference>
          <reference field="3" count="1" selected="0">
            <x v="0"/>
          </reference>
          <reference field="5" count="1" selected="0">
            <x v="75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023">
      <pivotArea outline="0" collapsedLevelsAreSubtotals="1" fieldPosition="0"/>
    </format>
    <format dxfId="14022">
      <pivotArea dataOnly="0" labelOnly="1" outline="0" axis="axisValues" fieldPosition="0"/>
    </format>
    <format dxfId="14021">
      <pivotArea dataOnly="0" outline="0" fieldPosition="0">
        <references count="1">
          <reference field="12" count="0" defaultSubtotal="1"/>
        </references>
      </pivotArea>
    </format>
    <format dxfId="14020">
      <pivotArea outline="0" collapsedLevelsAreSubtotals="1" fieldPosition="0"/>
    </format>
    <format dxfId="14019">
      <pivotArea dataOnly="0" labelOnly="1" outline="0" axis="axisValues" fieldPosition="0"/>
    </format>
    <format dxfId="14018">
      <pivotArea outline="0" collapsedLevelsAreSubtotals="1" fieldPosition="0"/>
    </format>
    <format dxfId="14017">
      <pivotArea dataOnly="0" labelOnly="1" outline="0" axis="axisValues" fieldPosition="0"/>
    </format>
    <format dxfId="14016">
      <pivotArea dataOnly="0" labelOnly="1" outline="0" axis="axisValues" fieldPosition="0"/>
    </format>
    <format dxfId="14015">
      <pivotArea outline="0" collapsedLevelsAreSubtotals="1" fieldPosition="0"/>
    </format>
    <format dxfId="14014">
      <pivotArea field="12" type="button" dataOnly="0" labelOnly="1" outline="0" axis="axisRow" fieldPosition="2"/>
    </format>
    <format dxfId="14013">
      <pivotArea field="10" type="button" dataOnly="0" labelOnly="1" outline="0" axis="axisRow" fieldPosition="3"/>
    </format>
    <format dxfId="14012">
      <pivotArea field="16" type="button" dataOnly="0" labelOnly="1" outline="0" axis="axisRow" fieldPosition="4"/>
    </format>
    <format dxfId="14011">
      <pivotArea field="18" type="button" dataOnly="0" labelOnly="1" outline="0" axis="axisRow" fieldPosition="5"/>
    </format>
    <format dxfId="14010">
      <pivotArea field="5" type="button" dataOnly="0" labelOnly="1" outline="0" axis="axisRow" fieldPosition="6"/>
    </format>
    <format dxfId="14009">
      <pivotArea field="9" type="button" dataOnly="0" labelOnly="1" outline="0" axis="axisRow" fieldPosition="7"/>
    </format>
    <format dxfId="14008">
      <pivotArea field="3" type="button" dataOnly="0" labelOnly="1" outline="0" axis="axisRow" fieldPosition="8"/>
    </format>
    <format dxfId="14007">
      <pivotArea field="7" type="button" dataOnly="0" labelOnly="1" outline="0" axis="axisRow" fieldPosition="9"/>
    </format>
    <format dxfId="14006">
      <pivotArea field="1" type="button" dataOnly="0" labelOnly="1" outline="0" axis="axisRow" fieldPosition="10"/>
    </format>
    <format dxfId="14005">
      <pivotArea dataOnly="0" labelOnly="1" outline="0" axis="axisValues" fieldPosition="0"/>
    </format>
    <format dxfId="1400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00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002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400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4000">
      <pivotArea dataOnly="0" labelOnly="1" outline="0" fieldPosition="0">
        <references count="3">
          <reference field="0" count="1" selected="0">
            <x v="0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13999">
      <pivotArea dataOnly="0" labelOnly="1" outline="0" fieldPosition="0">
        <references count="3">
          <reference field="0" count="1" selected="0">
            <x v="0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1399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399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399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99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99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99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992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13991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1399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98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98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9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398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98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98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98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98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98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98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97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97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9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97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9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9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9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9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9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397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396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39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396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96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396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96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39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396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396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96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9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95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95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9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9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9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9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39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39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9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39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39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39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39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39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39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39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39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394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9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139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39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39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39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3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393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393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393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139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393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9"/>
            <x v="42"/>
            <x v="66"/>
          </reference>
        </references>
      </pivotArea>
    </format>
    <format dxfId="139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39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39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39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3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39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3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3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3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3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9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39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39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39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9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9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39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39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39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9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5"/>
            <x v="36"/>
            <x v="39"/>
            <x v="41"/>
            <x v="58"/>
          </reference>
        </references>
      </pivotArea>
    </format>
    <format dxfId="139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13907">
      <pivotArea dataOnly="0" labelOnly="1" outline="0" fieldPosition="0">
        <references count="7">
          <reference field="0" count="1" selected="0">
            <x v="13"/>
          </reference>
          <reference field="5" count="1">
            <x v="259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3906">
      <pivotArea dataOnly="0" labelOnly="1" outline="0" fieldPosition="0">
        <references count="7">
          <reference field="0" count="1" selected="0">
            <x v="13"/>
          </reference>
          <reference field="5" count="1">
            <x v="74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3905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904">
      <pivotArea dataOnly="0" labelOnly="1" outline="0" fieldPosition="0">
        <references count="7">
          <reference field="0" count="1" selected="0">
            <x v="0"/>
          </reference>
          <reference field="5" count="1">
            <x v="201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903">
      <pivotArea dataOnly="0" labelOnly="1" outline="0" fieldPosition="0">
        <references count="7">
          <reference field="0" count="1" selected="0">
            <x v="0"/>
          </reference>
          <reference field="5" count="1">
            <x v="200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902">
      <pivotArea dataOnly="0" labelOnly="1" outline="0" fieldPosition="0">
        <references count="7">
          <reference field="0" count="1" selected="0">
            <x v="0"/>
          </reference>
          <reference field="5" count="2">
            <x v="2277"/>
            <x v="743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901">
      <pivotArea dataOnly="0" labelOnly="1" outline="0" fieldPosition="0">
        <references count="7">
          <reference field="0" count="1" selected="0">
            <x v="0"/>
          </reference>
          <reference field="5" count="1">
            <x v="566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900">
      <pivotArea dataOnly="0" labelOnly="1" outline="0" fieldPosition="0">
        <references count="7">
          <reference field="0" count="1" selected="0">
            <x v="7"/>
          </reference>
          <reference field="5" count="1">
            <x v="213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899">
      <pivotArea dataOnly="0" labelOnly="1" outline="0" fieldPosition="0">
        <references count="7">
          <reference field="0" count="1" selected="0">
            <x v="12"/>
          </reference>
          <reference field="5" count="2">
            <x v="7122"/>
            <x v="753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898">
      <pivotArea dataOnly="0" labelOnly="1" outline="0" fieldPosition="0">
        <references count="7">
          <reference field="0" count="1" selected="0">
            <x v="12"/>
          </reference>
          <reference field="5" count="1">
            <x v="753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897">
      <pivotArea dataOnly="0" labelOnly="1" outline="0" fieldPosition="0">
        <references count="7">
          <reference field="0" count="1" selected="0">
            <x v="12"/>
          </reference>
          <reference field="5" count="1">
            <x v="665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3896">
      <pivotArea dataOnly="0" labelOnly="1" outline="0" fieldPosition="0">
        <references count="7">
          <reference field="0" count="1" selected="0">
            <x v="13"/>
          </reference>
          <reference field="5" count="1">
            <x v="74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895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894">
      <pivotArea dataOnly="0" labelOnly="1" outline="0" fieldPosition="0">
        <references count="7">
          <reference field="0" count="1" selected="0">
            <x v="13"/>
          </reference>
          <reference field="5" count="1"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893">
      <pivotArea dataOnly="0" labelOnly="1" outline="0" fieldPosition="0">
        <references count="7">
          <reference field="0" count="1" selected="0">
            <x v="14"/>
          </reference>
          <reference field="5" count="1">
            <x v="752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892">
      <pivotArea dataOnly="0" labelOnly="1" outline="0" fieldPosition="0">
        <references count="7">
          <reference field="0" count="1" selected="0">
            <x v="14"/>
          </reference>
          <reference field="5" count="1">
            <x v="433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891">
      <pivotArea dataOnly="0" labelOnly="1" outline="0" fieldPosition="0">
        <references count="7">
          <reference field="0" count="1" selected="0">
            <x v="14"/>
          </reference>
          <reference field="5" count="1">
            <x v="343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890">
      <pivotArea dataOnly="0" labelOnly="1" outline="0" fieldPosition="0">
        <references count="7">
          <reference field="0" count="1" selected="0">
            <x v="14"/>
          </reference>
          <reference field="5" count="1">
            <x v="753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889">
      <pivotArea dataOnly="0" labelOnly="1" outline="0" fieldPosition="0">
        <references count="7">
          <reference field="0" count="1" selected="0">
            <x v="14"/>
          </reference>
          <reference field="5" count="1">
            <x v="751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888">
      <pivotArea dataOnly="0" labelOnly="1" outline="0" fieldPosition="0">
        <references count="7">
          <reference field="0" count="1" selected="0">
            <x v="14"/>
          </reference>
          <reference field="5" count="1">
            <x v="743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887">
      <pivotArea dataOnly="0" labelOnly="1" outline="0" fieldPosition="0">
        <references count="7">
          <reference field="0" count="1" selected="0">
            <x v="14"/>
          </reference>
          <reference field="5" count="1">
            <x v="753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886">
      <pivotArea dataOnly="0" labelOnly="1" outline="0" fieldPosition="0">
        <references count="7">
          <reference field="0" count="1" selected="0">
            <x v="14"/>
          </reference>
          <reference field="5" count="1">
            <x v="7528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885">
      <pivotArea dataOnly="0" labelOnly="1" outline="0" fieldPosition="0">
        <references count="7">
          <reference field="0" count="1" selected="0">
            <x v="14"/>
          </reference>
          <reference field="5" count="2">
            <x v="5943"/>
            <x v="656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884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3883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882">
      <pivotArea dataOnly="0" labelOnly="1" outline="0" fieldPosition="0">
        <references count="7">
          <reference field="0" count="1" selected="0">
            <x v="15"/>
          </reference>
          <reference field="5" count="1">
            <x v="75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881">
      <pivotArea dataOnly="0" labelOnly="1" outline="0" fieldPosition="0">
        <references count="7">
          <reference field="0" count="1" selected="0">
            <x v="15"/>
          </reference>
          <reference field="5" count="1"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880">
      <pivotArea dataOnly="0" labelOnly="1" outline="0" fieldPosition="0">
        <references count="7">
          <reference field="0" count="1" selected="0">
            <x v="15"/>
          </reference>
          <reference field="5" count="1">
            <x v="75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879">
      <pivotArea dataOnly="0" labelOnly="1" outline="0" fieldPosition="0">
        <references count="7">
          <reference field="0" count="1" selected="0">
            <x v="15"/>
          </reference>
          <reference field="5" count="1">
            <x v="747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8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87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876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2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8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87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2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87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3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87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65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38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8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8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8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3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8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3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8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8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8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8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8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8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8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8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2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8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857">
      <pivotArea dataOnly="0" labelOnly="1" outline="0" fieldPosition="0">
        <references count="9">
          <reference field="0" count="1" selected="0">
            <x v="14"/>
          </reference>
          <reference field="3" count="1">
            <x v="7475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856">
      <pivotArea dataOnly="0" labelOnly="1" outline="0" fieldPosition="0">
        <references count="9">
          <reference field="0" count="1" selected="0">
            <x v="0"/>
          </reference>
          <reference field="3" count="1">
            <x v="7224"/>
          </reference>
          <reference field="5" count="1" selected="0">
            <x v="20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855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854">
      <pivotArea dataOnly="0" labelOnly="1" outline="0" fieldPosition="0">
        <references count="9">
          <reference field="0" count="1" selected="0">
            <x v="0"/>
          </reference>
          <reference field="3" count="1">
            <x v="7426"/>
          </reference>
          <reference field="5" count="1" selected="0">
            <x v="22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853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74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852">
      <pivotArea dataOnly="0" labelOnly="1" outline="0" fieldPosition="0">
        <references count="9">
          <reference field="0" count="1" selected="0">
            <x v="0"/>
          </reference>
          <reference field="3" count="1">
            <x v="7225"/>
          </reference>
          <reference field="5" count="1" selected="0">
            <x v="56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851">
      <pivotArea dataOnly="0" labelOnly="1" outline="0" fieldPosition="0">
        <references count="9">
          <reference field="0" count="1" selected="0">
            <x v="7"/>
          </reference>
          <reference field="3" count="1">
            <x v="7333"/>
          </reference>
          <reference field="5" count="1" selected="0">
            <x v="21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85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2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84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84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7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8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846">
      <pivotArea dataOnly="0" labelOnly="1" outline="0" fieldPosition="0">
        <references count="9">
          <reference field="0" count="1" selected="0">
            <x v="14"/>
          </reference>
          <reference field="3" count="1">
            <x v="7366"/>
          </reference>
          <reference field="5" count="1" selected="0">
            <x v="433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845">
      <pivotArea dataOnly="0" labelOnly="1" outline="0" fieldPosition="0">
        <references count="9">
          <reference field="0" count="1" selected="0">
            <x v="14"/>
          </reference>
          <reference field="3" count="1">
            <x v="7517"/>
          </reference>
          <reference field="5" count="1" selected="0">
            <x v="343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844">
      <pivotArea dataOnly="0" labelOnly="1" outline="0" fieldPosition="0">
        <references count="9">
          <reference field="0" count="1" selected="0">
            <x v="14"/>
          </reference>
          <reference field="3" count="1">
            <x v="7515"/>
          </reference>
          <reference field="5" count="1" selected="0">
            <x v="75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843">
      <pivotArea dataOnly="0" labelOnly="1" outline="0" fieldPosition="0">
        <references count="9">
          <reference field="0" count="1" selected="0">
            <x v="14"/>
          </reference>
          <reference field="3" count="1">
            <x v="7513"/>
          </reference>
          <reference field="5" count="1" selected="0">
            <x v="751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84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84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3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84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2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839">
      <pivotArea dataOnly="0" labelOnly="1" outline="0" fieldPosition="0">
        <references count="9">
          <reference field="0" count="1" selected="0">
            <x v="14"/>
          </reference>
          <reference field="3" count="1">
            <x v="7478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838">
      <pivotArea dataOnly="0" labelOnly="1" outline="0" fieldPosition="0">
        <references count="9">
          <reference field="0" count="1" selected="0">
            <x v="14"/>
          </reference>
          <reference field="3" count="1">
            <x v="7480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837">
      <pivotArea dataOnly="0" labelOnly="1" outline="0" fieldPosition="0">
        <references count="9">
          <reference field="0" count="1" selected="0">
            <x v="14"/>
          </reference>
          <reference field="3" count="1">
            <x v="7477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38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835">
      <pivotArea dataOnly="0" labelOnly="1" outline="0" fieldPosition="0">
        <references count="9">
          <reference field="0" count="1" selected="0">
            <x v="15"/>
          </reference>
          <reference field="3" count="1">
            <x v="7500"/>
          </reference>
          <reference field="5" count="1" selected="0">
            <x v="75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8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5"/>
          </reference>
          <reference field="5" count="1" selected="0">
            <x v="61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83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224"/>
          </reference>
          <reference field="5" count="1" selected="0">
            <x v="20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83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83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426"/>
          </reference>
          <reference field="5" count="1" selected="0">
            <x v="22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830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743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8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3"/>
          </reference>
          <reference field="5" count="1" selected="0">
            <x v="21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82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8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8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8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8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6"/>
          </reference>
          <reference field="5" count="1" selected="0">
            <x v="43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8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7"/>
          </reference>
          <reference field="5" count="1" selected="0">
            <x v="34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8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5"/>
          </reference>
          <reference field="5" count="1" selected="0">
            <x v="75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8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3"/>
          </reference>
          <reference field="5" count="1" selected="0">
            <x v="75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8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8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3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8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8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8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8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8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00"/>
          </reference>
          <reference field="5" count="1" selected="0">
            <x v="75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814">
      <pivotArea dataOnly="0" labelOnly="1" outline="0" fieldPosition="0">
        <references count="11">
          <reference field="0" count="1" selected="0">
            <x v="0"/>
          </reference>
          <reference field="1" count="1">
            <x v="6258"/>
          </reference>
          <reference field="3" count="1" selected="0">
            <x v="0"/>
          </reference>
          <reference field="5" count="1" selected="0">
            <x v="200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813">
      <pivotArea dataOnly="0" labelOnly="1" outline="0" fieldPosition="0">
        <references count="11">
          <reference field="0" count="1" selected="0">
            <x v="0"/>
          </reference>
          <reference field="1" count="1">
            <x v="7288"/>
          </reference>
          <reference field="3" count="1" selected="0">
            <x v="7426"/>
          </reference>
          <reference field="5" count="1" selected="0">
            <x v="22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812">
      <pivotArea dataOnly="0" labelOnly="1" outline="0" fieldPosition="0">
        <references count="11">
          <reference field="0" count="1" selected="0">
            <x v="7"/>
          </reference>
          <reference field="1" count="1">
            <x v="7287"/>
          </reference>
          <reference field="3" count="1" selected="0">
            <x v="7333"/>
          </reference>
          <reference field="5" count="1" selected="0">
            <x v="21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811">
      <pivotArea dataOnly="0" labelOnly="1" outline="0" fieldPosition="0">
        <references count="11">
          <reference field="0" count="1" selected="0">
            <x v="12"/>
          </reference>
          <reference field="1" count="1">
            <x v="7286"/>
          </reference>
          <reference field="3" count="1" selected="0">
            <x v="0"/>
          </reference>
          <reference field="5" count="1" selected="0">
            <x v="665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3810">
      <pivotArea dataOnly="0" labelOnly="1" outline="0" fieldPosition="0">
        <references count="11">
          <reference field="0" count="1" selected="0">
            <x v="14"/>
          </reference>
          <reference field="1" count="1">
            <x v="7285"/>
          </reference>
          <reference field="3" count="1" selected="0">
            <x v="7513"/>
          </reference>
          <reference field="5" count="1" selected="0">
            <x v="75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809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78"/>
          </reference>
          <reference field="5" count="1" selected="0">
            <x v="59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808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27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807">
      <pivotArea dataOnly="0" labelOnly="1" outline="0" fieldPosition="0">
        <references count="11">
          <reference field="0" count="1" selected="0">
            <x v="15"/>
          </reference>
          <reference field="1" count="1">
            <x v="7263"/>
          </reference>
          <reference field="3" count="1" selected="0">
            <x v="0"/>
          </reference>
          <reference field="5" count="1" selected="0">
            <x v="75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806">
      <pivotArea outline="0" collapsedLevelsAreSubtotals="1" fieldPosition="0"/>
    </format>
    <format dxfId="13805">
      <pivotArea dataOnly="0" labelOnly="1" outline="0" axis="axisValues" fieldPosition="0"/>
    </format>
    <format dxfId="13804">
      <pivotArea dataOnly="0" outline="0" fieldPosition="0">
        <references count="1">
          <reference field="12" count="0" defaultSubtotal="1"/>
        </references>
      </pivotArea>
    </format>
    <format dxfId="13803">
      <pivotArea outline="0" collapsedLevelsAreSubtotals="1" fieldPosition="0"/>
    </format>
    <format dxfId="13802">
      <pivotArea dataOnly="0" labelOnly="1" outline="0" axis="axisValues" fieldPosition="0"/>
    </format>
    <format dxfId="13801">
      <pivotArea outline="0" collapsedLevelsAreSubtotals="1" fieldPosition="0"/>
    </format>
    <format dxfId="13800">
      <pivotArea dataOnly="0" labelOnly="1" outline="0" axis="axisValues" fieldPosition="0"/>
    </format>
    <format dxfId="13799">
      <pivotArea dataOnly="0" labelOnly="1" outline="0" axis="axisValues" fieldPosition="0"/>
    </format>
    <format dxfId="13798">
      <pivotArea outline="0" collapsedLevelsAreSubtotals="1" fieldPosition="0"/>
    </format>
    <format dxfId="13797">
      <pivotArea field="12" type="button" dataOnly="0" labelOnly="1" outline="0" axis="axisRow" fieldPosition="2"/>
    </format>
    <format dxfId="13796">
      <pivotArea field="10" type="button" dataOnly="0" labelOnly="1" outline="0" axis="axisRow" fieldPosition="3"/>
    </format>
    <format dxfId="13795">
      <pivotArea field="16" type="button" dataOnly="0" labelOnly="1" outline="0" axis="axisRow" fieldPosition="4"/>
    </format>
    <format dxfId="13794">
      <pivotArea field="18" type="button" dataOnly="0" labelOnly="1" outline="0" axis="axisRow" fieldPosition="5"/>
    </format>
    <format dxfId="13793">
      <pivotArea field="5" type="button" dataOnly="0" labelOnly="1" outline="0" axis="axisRow" fieldPosition="6"/>
    </format>
    <format dxfId="13792">
      <pivotArea field="9" type="button" dataOnly="0" labelOnly="1" outline="0" axis="axisRow" fieldPosition="7"/>
    </format>
    <format dxfId="13791">
      <pivotArea field="3" type="button" dataOnly="0" labelOnly="1" outline="0" axis="axisRow" fieldPosition="8"/>
    </format>
    <format dxfId="13790">
      <pivotArea field="7" type="button" dataOnly="0" labelOnly="1" outline="0" axis="axisRow" fieldPosition="9"/>
    </format>
    <format dxfId="13789">
      <pivotArea field="1" type="button" dataOnly="0" labelOnly="1" outline="0" axis="axisRow" fieldPosition="10"/>
    </format>
    <format dxfId="13788">
      <pivotArea dataOnly="0" labelOnly="1" outline="0" axis="axisValues" fieldPosition="0"/>
    </format>
    <format dxfId="1378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78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785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7"/>
          </reference>
          <reference field="13" count="1" selected="0">
            <x v="0"/>
          </reference>
        </references>
      </pivotArea>
    </format>
    <format dxfId="1378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7"/>
          </reference>
          <reference field="13" count="1" selected="0">
            <x v="0"/>
          </reference>
        </references>
      </pivotArea>
    </format>
    <format dxfId="1378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78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78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78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779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3778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377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77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77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7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7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377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7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7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6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7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7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76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7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7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37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7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7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76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7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75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75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375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5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3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75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5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3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7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37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7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37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37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72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37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7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7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7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3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63"/>
          </reference>
        </references>
      </pivotArea>
    </format>
    <format dxfId="13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7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7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137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37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37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7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6"/>
            <x v="39"/>
            <x v="41"/>
            <x v="58"/>
            <x v="130"/>
          </reference>
        </references>
      </pivotArea>
    </format>
    <format dxfId="137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7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37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3704">
      <pivotArea dataOnly="0" labelOnly="1" outline="0" fieldPosition="0">
        <references count="7">
          <reference field="0" count="1" selected="0">
            <x v="13"/>
          </reference>
          <reference field="5" count="1">
            <x v="259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703">
      <pivotArea dataOnly="0" labelOnly="1" outline="0" fieldPosition="0">
        <references count="7">
          <reference field="0" count="1" selected="0">
            <x v="13"/>
          </reference>
          <reference field="5" count="1">
            <x v="74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702">
      <pivotArea dataOnly="0" labelOnly="1" outline="0" fieldPosition="0">
        <references count="7">
          <reference field="0" count="1" selected="0">
            <x v="14"/>
          </reference>
          <reference field="5" count="1">
            <x v="7399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3701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700">
      <pivotArea dataOnly="0" labelOnly="1" outline="0" fieldPosition="0">
        <references count="7">
          <reference field="0" count="1" selected="0">
            <x v="12"/>
          </reference>
          <reference field="5" count="1">
            <x v="7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699">
      <pivotArea dataOnly="0" labelOnly="1" outline="0" fieldPosition="0">
        <references count="7">
          <reference field="0" count="1" selected="0">
            <x v="13"/>
          </reference>
          <reference field="5" count="1">
            <x v="74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698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697">
      <pivotArea dataOnly="0" labelOnly="1" outline="0" fieldPosition="0">
        <references count="7">
          <reference field="0" count="1" selected="0">
            <x v="13"/>
          </reference>
          <reference field="5" count="1"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696">
      <pivotArea dataOnly="0" labelOnly="1" outline="0" fieldPosition="0">
        <references count="7">
          <reference field="0" count="1" selected="0">
            <x v="14"/>
          </reference>
          <reference field="5" count="1">
            <x v="754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695">
      <pivotArea dataOnly="0" labelOnly="1" outline="0" fieldPosition="0">
        <references count="7">
          <reference field="0" count="1" selected="0">
            <x v="14"/>
          </reference>
          <reference field="5" count="1">
            <x v="433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94">
      <pivotArea dataOnly="0" labelOnly="1" outline="0" fieldPosition="0">
        <references count="7">
          <reference field="0" count="1" selected="0">
            <x v="14"/>
          </reference>
          <reference field="5" count="1">
            <x v="343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693">
      <pivotArea dataOnly="0" labelOnly="1" outline="0" fieldPosition="0">
        <references count="7">
          <reference field="0" count="1" selected="0">
            <x v="14"/>
          </reference>
          <reference field="5" count="1">
            <x v="754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692">
      <pivotArea dataOnly="0" labelOnly="1" outline="0" fieldPosition="0">
        <references count="7">
          <reference field="0" count="1" selected="0">
            <x v="14"/>
          </reference>
          <reference field="5" count="1">
            <x v="754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691">
      <pivotArea dataOnly="0" labelOnly="1" outline="0" fieldPosition="0">
        <references count="7">
          <reference field="0" count="1" selected="0">
            <x v="14"/>
          </reference>
          <reference field="5" count="1">
            <x v="754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690">
      <pivotArea dataOnly="0" labelOnly="1" outline="0" fieldPosition="0">
        <references count="7">
          <reference field="0" count="1" selected="0">
            <x v="14"/>
          </reference>
          <reference field="5" count="1">
            <x v="753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689">
      <pivotArea dataOnly="0" labelOnly="1" outline="0" fieldPosition="0">
        <references count="7">
          <reference field="0" count="1" selected="0">
            <x v="14"/>
          </reference>
          <reference field="5" count="1">
            <x v="377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3688">
      <pivotArea dataOnly="0" labelOnly="1" outline="0" fieldPosition="0">
        <references count="7">
          <reference field="0" count="1" selected="0">
            <x v="14"/>
          </reference>
          <reference field="5" count="2">
            <x v="5943"/>
            <x v="656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687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3686">
      <pivotArea dataOnly="0" labelOnly="1" outline="0" fieldPosition="0">
        <references count="7">
          <reference field="0" count="1" selected="0">
            <x v="14"/>
          </reference>
          <reference field="5" count="1">
            <x v="235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685">
      <pivotArea dataOnly="0" labelOnly="1" outline="0" fieldPosition="0">
        <references count="7">
          <reference field="0" count="1" selected="0">
            <x v="15"/>
          </reference>
          <reference field="5" count="1">
            <x v="75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84">
      <pivotArea dataOnly="0" labelOnly="1" outline="0" fieldPosition="0">
        <references count="7">
          <reference field="0" count="1" selected="0">
            <x v="15"/>
          </reference>
          <reference field="5" count="1"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683">
      <pivotArea dataOnly="0" labelOnly="1" outline="0" fieldPosition="0">
        <references count="7">
          <reference field="0" count="1" selected="0">
            <x v="15"/>
          </reference>
          <reference field="5" count="1">
            <x v="38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13682">
      <pivotArea dataOnly="0" labelOnly="1" outline="0" fieldPosition="0">
        <references count="7">
          <reference field="0" count="1" selected="0">
            <x v="15"/>
          </reference>
          <reference field="5" count="1">
            <x v="111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681">
      <pivotArea dataOnly="0" labelOnly="1" outline="0" fieldPosition="0">
        <references count="7">
          <reference field="0" count="1" selected="0">
            <x v="15"/>
          </reference>
          <reference field="5" count="1">
            <x v="7539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680">
      <pivotArea dataOnly="0" labelOnly="1" outline="0" fieldPosition="0">
        <references count="7">
          <reference field="0" count="1" selected="0">
            <x v="15"/>
          </reference>
          <reference field="5" count="1">
            <x v="754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6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36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67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6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6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6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6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3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3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6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6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6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6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6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36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6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5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6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2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6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66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10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661">
      <pivotArea dataOnly="0" labelOnly="1" outline="0" fieldPosition="0">
        <references count="9">
          <reference field="0" count="1" selected="0">
            <x v="14"/>
          </reference>
          <reference field="3" count="1">
            <x v="7526"/>
          </reference>
          <reference field="5" count="1" selected="0">
            <x v="73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3660">
      <pivotArea dataOnly="0" labelOnly="1" outline="0" fieldPosition="0">
        <references count="9">
          <reference field="0" count="1" selected="0">
            <x v="14"/>
          </reference>
          <reference field="3" count="1">
            <x v="7475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65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65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65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7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6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4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655">
      <pivotArea dataOnly="0" labelOnly="1" outline="0" fieldPosition="0">
        <references count="9">
          <reference field="0" count="1" selected="0">
            <x v="14"/>
          </reference>
          <reference field="3" count="1">
            <x v="7366"/>
          </reference>
          <reference field="5" count="1" selected="0">
            <x v="433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54">
      <pivotArea dataOnly="0" labelOnly="1" outline="0" fieldPosition="0">
        <references count="9">
          <reference field="0" count="1" selected="0">
            <x v="14"/>
          </reference>
          <reference field="3" count="1">
            <x v="7517"/>
          </reference>
          <reference field="5" count="1" selected="0">
            <x v="343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6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4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6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4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651">
      <pivotArea dataOnly="0" labelOnly="1" outline="0" fieldPosition="0">
        <references count="9">
          <reference field="0" count="1" selected="0">
            <x v="14"/>
          </reference>
          <reference field="3" count="1">
            <x v="7523"/>
          </reference>
          <reference field="5" count="1" selected="0">
            <x v="754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650">
      <pivotArea dataOnly="0" labelOnly="1" outline="0" fieldPosition="0">
        <references count="9">
          <reference field="0" count="1" selected="0">
            <x v="14"/>
          </reference>
          <reference field="3" count="1">
            <x v="7525"/>
          </reference>
          <reference field="5" count="1" selected="0">
            <x v="75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649">
      <pivotArea dataOnly="0" labelOnly="1" outline="0" fieldPosition="0">
        <references count="9">
          <reference field="0" count="1" selected="0">
            <x v="14"/>
          </reference>
          <reference field="3" count="1">
            <x v="7522"/>
          </reference>
          <reference field="5" count="1" selected="0">
            <x v="377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3648">
      <pivotArea dataOnly="0" labelOnly="1" outline="0" fieldPosition="0">
        <references count="9">
          <reference field="0" count="1" selected="0">
            <x v="14"/>
          </reference>
          <reference field="3" count="1">
            <x v="7478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647">
      <pivotArea dataOnly="0" labelOnly="1" outline="0" fieldPosition="0">
        <references count="9">
          <reference field="0" count="1" selected="0">
            <x v="14"/>
          </reference>
          <reference field="3" count="1">
            <x v="7480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646">
      <pivotArea dataOnly="0" labelOnly="1" outline="0" fieldPosition="0">
        <references count="9">
          <reference field="0" count="1" selected="0">
            <x v="14"/>
          </reference>
          <reference field="3" count="1">
            <x v="7477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3645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235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644">
      <pivotArea dataOnly="0" labelOnly="1" outline="0" fieldPosition="0">
        <references count="9">
          <reference field="0" count="1" selected="0">
            <x v="15"/>
          </reference>
          <reference field="3" count="1">
            <x v="7500"/>
          </reference>
          <reference field="5" count="1" selected="0">
            <x v="75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43">
      <pivotArea dataOnly="0" labelOnly="1" outline="0" fieldPosition="0">
        <references count="9">
          <reference field="0" count="1" selected="0">
            <x v="15"/>
          </reference>
          <reference field="3" count="1">
            <x v="7521"/>
          </reference>
          <reference field="5" count="1" selected="0">
            <x v="38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13642">
      <pivotArea dataOnly="0" labelOnly="1" outline="0" fieldPosition="0">
        <references count="9">
          <reference field="0" count="1" selected="0">
            <x v="15"/>
          </reference>
          <reference field="3" count="1">
            <x v="7520"/>
          </reference>
          <reference field="5" count="1" selected="0">
            <x v="111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641">
      <pivotArea dataOnly="0" labelOnly="1" outline="0" fieldPosition="0">
        <references count="9">
          <reference field="0" count="1" selected="0">
            <x v="15"/>
          </reference>
          <reference field="3" count="1">
            <x v="7519"/>
          </reference>
          <reference field="5" count="1" selected="0">
            <x v="7539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64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4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6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6"/>
          </reference>
          <reference field="5" count="1" selected="0">
            <x v="73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36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5"/>
          </reference>
          <reference field="5" count="1" selected="0">
            <x v="61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63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63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63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6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6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6"/>
          </reference>
          <reference field="5" count="1" selected="0">
            <x v="43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7"/>
          </reference>
          <reference field="5" count="1" selected="0">
            <x v="34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6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6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6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3"/>
          </reference>
          <reference field="5" count="1" selected="0">
            <x v="754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6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5"/>
          </reference>
          <reference field="5" count="1" selected="0">
            <x v="75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6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2"/>
          </reference>
          <reference field="5" count="1" selected="0">
            <x v="37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36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8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6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7"/>
          </reference>
          <reference field="5" count="1" selected="0">
            <x v="23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6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00"/>
          </reference>
          <reference field="5" count="1" selected="0">
            <x v="75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21"/>
          </reference>
          <reference field="5" count="1" selected="0">
            <x v="38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136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19"/>
          </reference>
          <reference field="5" count="1" selected="0">
            <x v="753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6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620">
      <pivotArea dataOnly="0" labelOnly="1" outline="0" fieldPosition="0">
        <references count="11">
          <reference field="0" count="1" selected="0">
            <x v="12"/>
          </reference>
          <reference field="1" count="1">
            <x v="7300"/>
          </reference>
          <reference field="3" count="1" selected="0">
            <x v="0"/>
          </reference>
          <reference field="5" count="1" selected="0">
            <x v="71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619">
      <pivotArea dataOnly="0" labelOnly="1" outline="0" fieldPosition="0">
        <references count="11">
          <reference field="0" count="1" selected="0">
            <x v="14"/>
          </reference>
          <reference field="1" count="1">
            <x v="7294"/>
          </reference>
          <reference field="3" count="1" selected="0">
            <x v="2"/>
          </reference>
          <reference field="5" count="1" selected="0">
            <x v="75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618">
      <pivotArea dataOnly="0" labelOnly="1" outline="0" fieldPosition="0">
        <references count="11">
          <reference field="0" count="1" selected="0">
            <x v="14"/>
          </reference>
          <reference field="1" count="1">
            <x v="7295"/>
          </reference>
          <reference field="3" count="1" selected="0">
            <x v="7523"/>
          </reference>
          <reference field="5" count="1" selected="0">
            <x v="754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617">
      <pivotArea dataOnly="0" labelOnly="1" outline="0" fieldPosition="0">
        <references count="11">
          <reference field="0" count="1" selected="0">
            <x v="14"/>
          </reference>
          <reference field="1" count="1">
            <x v="7297"/>
          </reference>
          <reference field="3" count="1" selected="0">
            <x v="7525"/>
          </reference>
          <reference field="5" count="1" selected="0">
            <x v="7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616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78"/>
          </reference>
          <reference field="5" count="1" selected="0">
            <x v="59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615">
      <pivotArea dataOnly="0" labelOnly="1" outline="0" fieldPosition="0">
        <references count="11">
          <reference field="0" count="1" selected="0">
            <x v="14"/>
          </reference>
          <reference field="1" count="1">
            <x v="7298"/>
          </reference>
          <reference field="3" count="1" selected="0">
            <x v="7527"/>
          </reference>
          <reference field="5" count="1" selected="0">
            <x v="23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614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27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613">
      <pivotArea dataOnly="0" labelOnly="1" outline="0" fieldPosition="0">
        <references count="11">
          <reference field="0" count="1" selected="0">
            <x v="15"/>
          </reference>
          <reference field="1" count="1">
            <x v="7293"/>
          </reference>
          <reference field="3" count="1" selected="0">
            <x v="0"/>
          </reference>
          <reference field="5" count="1" selected="0">
            <x v="75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612">
      <pivotArea outline="0" collapsedLevelsAreSubtotals="1" fieldPosition="0"/>
    </format>
    <format dxfId="13611">
      <pivotArea dataOnly="0" labelOnly="1" outline="0" axis="axisValues" fieldPosition="0"/>
    </format>
    <format dxfId="13610">
      <pivotArea dataOnly="0" outline="0" fieldPosition="0">
        <references count="1">
          <reference field="12" count="0" defaultSubtotal="1"/>
        </references>
      </pivotArea>
    </format>
    <format dxfId="13609">
      <pivotArea outline="0" collapsedLevelsAreSubtotals="1" fieldPosition="0"/>
    </format>
    <format dxfId="13608">
      <pivotArea dataOnly="0" labelOnly="1" outline="0" axis="axisValues" fieldPosition="0"/>
    </format>
    <format dxfId="13607">
      <pivotArea outline="0" collapsedLevelsAreSubtotals="1" fieldPosition="0"/>
    </format>
    <format dxfId="13606">
      <pivotArea dataOnly="0" labelOnly="1" outline="0" axis="axisValues" fieldPosition="0"/>
    </format>
    <format dxfId="13605">
      <pivotArea dataOnly="0" labelOnly="1" outline="0" axis="axisValues" fieldPosition="0"/>
    </format>
    <format dxfId="13604">
      <pivotArea outline="0" collapsedLevelsAreSubtotals="1" fieldPosition="0"/>
    </format>
    <format dxfId="13603">
      <pivotArea field="12" type="button" dataOnly="0" labelOnly="1" outline="0" axis="axisRow" fieldPosition="2"/>
    </format>
    <format dxfId="13602">
      <pivotArea field="10" type="button" dataOnly="0" labelOnly="1" outline="0" axis="axisRow" fieldPosition="3"/>
    </format>
    <format dxfId="13601">
      <pivotArea field="16" type="button" dataOnly="0" labelOnly="1" outline="0" axis="axisRow" fieldPosition="4"/>
    </format>
    <format dxfId="13600">
      <pivotArea field="18" type="button" dataOnly="0" labelOnly="1" outline="0" axis="axisRow" fieldPosition="5"/>
    </format>
    <format dxfId="13599">
      <pivotArea field="5" type="button" dataOnly="0" labelOnly="1" outline="0" axis="axisRow" fieldPosition="6"/>
    </format>
    <format dxfId="13598">
      <pivotArea field="9" type="button" dataOnly="0" labelOnly="1" outline="0" axis="axisRow" fieldPosition="7"/>
    </format>
    <format dxfId="13597">
      <pivotArea field="3" type="button" dataOnly="0" labelOnly="1" outline="0" axis="axisRow" fieldPosition="8"/>
    </format>
    <format dxfId="13596">
      <pivotArea field="7" type="button" dataOnly="0" labelOnly="1" outline="0" axis="axisRow" fieldPosition="9"/>
    </format>
    <format dxfId="13595">
      <pivotArea field="1" type="button" dataOnly="0" labelOnly="1" outline="0" axis="axisRow" fieldPosition="10"/>
    </format>
    <format dxfId="13594">
      <pivotArea dataOnly="0" labelOnly="1" outline="0" axis="axisValues" fieldPosition="0"/>
    </format>
    <format dxfId="13593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592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59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59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589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358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358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58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58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58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583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3582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358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58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579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57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5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357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57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57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57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5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5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5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56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356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5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35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35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35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56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56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356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560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355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35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355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55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5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5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5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3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5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35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3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35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35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35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135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35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35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354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541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135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135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35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35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35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3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353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135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6"/>
          </reference>
        </references>
      </pivotArea>
    </format>
    <format dxfId="135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35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35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35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35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35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35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3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35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5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35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3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35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3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3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3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3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5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1"/>
            <x v="58"/>
          </reference>
        </references>
      </pivotArea>
    </format>
    <format dxfId="135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4"/>
            <x v="71"/>
          </reference>
        </references>
      </pivotArea>
    </format>
    <format dxfId="135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135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1"/>
          </reference>
        </references>
      </pivotArea>
    </format>
    <format dxfId="13511">
      <pivotArea dataOnly="0" labelOnly="1" outline="0" fieldPosition="0">
        <references count="7">
          <reference field="0" count="1" selected="0">
            <x v="13"/>
          </reference>
          <reference field="5" count="1">
            <x v="259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3510">
      <pivotArea dataOnly="0" labelOnly="1" outline="0" fieldPosition="0">
        <references count="7">
          <reference field="0" count="1" selected="0">
            <x v="13"/>
          </reference>
          <reference field="5" count="1">
            <x v="74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3509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508">
      <pivotArea dataOnly="0" labelOnly="1" outline="0" fieldPosition="0">
        <references count="7">
          <reference field="0" count="1" selected="0">
            <x v="12"/>
          </reference>
          <reference field="5" count="1">
            <x v="75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507">
      <pivotArea dataOnly="0" labelOnly="1" outline="0" fieldPosition="0">
        <references count="7">
          <reference field="0" count="1" selected="0">
            <x v="12"/>
          </reference>
          <reference field="5" count="1">
            <x v="754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506">
      <pivotArea dataOnly="0" labelOnly="1" outline="0" fieldPosition="0">
        <references count="7">
          <reference field="0" count="1" selected="0">
            <x v="13"/>
          </reference>
          <reference field="5" count="1">
            <x v="75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505">
      <pivotArea dataOnly="0" labelOnly="1" outline="0" fieldPosition="0">
        <references count="7">
          <reference field="0" count="1" selected="0">
            <x v="13"/>
          </reference>
          <reference field="5" count="1">
            <x v="74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504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503">
      <pivotArea dataOnly="0" labelOnly="1" outline="0" fieldPosition="0">
        <references count="7">
          <reference field="0" count="1" selected="0">
            <x v="13"/>
          </reference>
          <reference field="5" count="1"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502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501">
      <pivotArea dataOnly="0" labelOnly="1" outline="0" fieldPosition="0">
        <references count="7">
          <reference field="0" count="1" selected="0">
            <x v="14"/>
          </reference>
          <reference field="5" count="1">
            <x v="343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500">
      <pivotArea dataOnly="0" labelOnly="1" outline="0" fieldPosition="0">
        <references count="7">
          <reference field="0" count="1" selected="0">
            <x v="14"/>
          </reference>
          <reference field="5" count="1">
            <x v="453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499">
      <pivotArea dataOnly="0" labelOnly="1" outline="0" fieldPosition="0">
        <references count="7">
          <reference field="0" count="1" selected="0">
            <x v="14"/>
          </reference>
          <reference field="5" count="1">
            <x v="753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498">
      <pivotArea dataOnly="0" labelOnly="1" outline="0" fieldPosition="0">
        <references count="7">
          <reference field="0" count="1" selected="0">
            <x v="14"/>
          </reference>
          <reference field="5" count="1">
            <x v="3988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497">
      <pivotArea dataOnly="0" labelOnly="1" outline="0" fieldPosition="0">
        <references count="7">
          <reference field="0" count="1" selected="0">
            <x v="14"/>
          </reference>
          <reference field="5" count="1">
            <x v="3855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496">
      <pivotArea dataOnly="0" labelOnly="1" outline="0" fieldPosition="0">
        <references count="7">
          <reference field="0" count="1" selected="0">
            <x v="14"/>
          </reference>
          <reference field="5" count="1">
            <x v="7337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495">
      <pivotArea dataOnly="0" labelOnly="1" outline="0" fieldPosition="0">
        <references count="7">
          <reference field="0" count="1" selected="0">
            <x v="14"/>
          </reference>
          <reference field="5" count="2">
            <x v="5943"/>
            <x v="656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494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3493">
      <pivotArea dataOnly="0" labelOnly="1" outline="0" fieldPosition="0">
        <references count="7">
          <reference field="0" count="1" selected="0">
            <x v="14"/>
          </reference>
          <reference field="5" count="1">
            <x v="754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492">
      <pivotArea dataOnly="0" labelOnly="1" outline="0" fieldPosition="0">
        <references count="7">
          <reference field="0" count="1" selected="0">
            <x v="15"/>
          </reference>
          <reference field="5" count="1"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491">
      <pivotArea dataOnly="0" labelOnly="1" outline="0" fieldPosition="0">
        <references count="7">
          <reference field="0" count="1" selected="0">
            <x v="15"/>
          </reference>
          <reference field="5" count="1">
            <x v="75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3490">
      <pivotArea dataOnly="0" labelOnly="1" outline="0" fieldPosition="0">
        <references count="7">
          <reference field="0" count="1" selected="0">
            <x v="15"/>
          </reference>
          <reference field="5" count="1">
            <x v="75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3489">
      <pivotArea dataOnly="0" labelOnly="1" outline="0" fieldPosition="0">
        <references count="7">
          <reference field="0" count="1" selected="0">
            <x v="15"/>
          </reference>
          <reference field="5" count="1">
            <x v="7539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3488">
      <pivotArea dataOnly="0" labelOnly="1" outline="0" fieldPosition="0">
        <references count="7">
          <reference field="0" count="1" selected="0">
            <x v="15"/>
          </reference>
          <reference field="5" count="1">
            <x v="754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34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4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4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4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4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3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4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3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4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4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4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4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4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4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475">
      <pivotArea dataOnly="0" labelOnly="1" outline="0" fieldPosition="0">
        <references count="9">
          <reference field="0" count="1" selected="0">
            <x v="14"/>
          </reference>
          <reference field="3" count="1">
            <x v="7475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47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47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7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4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471">
      <pivotArea dataOnly="0" labelOnly="1" outline="0" fieldPosition="0">
        <references count="9">
          <reference field="0" count="1" selected="0">
            <x v="14"/>
          </reference>
          <reference field="3" count="1">
            <x v="7517"/>
          </reference>
          <reference field="5" count="1" selected="0">
            <x v="343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470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453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46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3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468">
      <pivotArea dataOnly="0" labelOnly="1" outline="0" fieldPosition="0">
        <references count="9">
          <reference field="0" count="1" selected="0">
            <x v="14"/>
          </reference>
          <reference field="3" count="1">
            <x v="7405"/>
          </reference>
          <reference field="5" count="1" selected="0">
            <x v="398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467">
      <pivotArea dataOnly="0" labelOnly="1" outline="0" fieldPosition="0">
        <references count="9">
          <reference field="0" count="1" selected="0">
            <x v="14"/>
          </reference>
          <reference field="3" count="1">
            <x v="7529"/>
          </reference>
          <reference field="5" count="1" selected="0">
            <x v="3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466">
      <pivotArea dataOnly="0" labelOnly="1" outline="0" fieldPosition="0">
        <references count="9">
          <reference field="0" count="1" selected="0">
            <x v="14"/>
          </reference>
          <reference field="3" count="1">
            <x v="7478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465">
      <pivotArea dataOnly="0" labelOnly="1" outline="0" fieldPosition="0">
        <references count="9">
          <reference field="0" count="1" selected="0">
            <x v="14"/>
          </reference>
          <reference field="3" count="1">
            <x v="7480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464">
      <pivotArea dataOnly="0" labelOnly="1" outline="0" fieldPosition="0">
        <references count="9">
          <reference field="0" count="1" selected="0">
            <x v="14"/>
          </reference>
          <reference field="3" count="1">
            <x v="7477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34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4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462">
      <pivotArea dataOnly="0" labelOnly="1" outline="0" fieldPosition="0">
        <references count="9">
          <reference field="0" count="1" selected="0">
            <x v="15"/>
          </reference>
          <reference field="3" count="1">
            <x v="7519"/>
          </reference>
          <reference field="5" count="1" selected="0">
            <x v="7539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3461">
      <pivotArea dataOnly="0" labelOnly="1" outline="0" fieldPosition="0">
        <references count="9">
          <reference field="0" count="1" selected="0">
            <x v="15"/>
          </reference>
          <reference field="3" count="1">
            <x v="7528"/>
          </reference>
          <reference field="5" count="1" selected="0">
            <x v="754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34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5"/>
          </reference>
          <reference field="5" count="1" selected="0">
            <x v="61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45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45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4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4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7"/>
          </reference>
          <reference field="5" count="1" selected="0">
            <x v="34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4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45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4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3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4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5"/>
          </reference>
          <reference field="5" count="1" selected="0">
            <x v="39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4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9"/>
          </reference>
          <reference field="5" count="1" selected="0">
            <x v="38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4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8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4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19"/>
          </reference>
          <reference field="5" count="1" selected="0">
            <x v="753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34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28"/>
          </reference>
          <reference field="5" count="1" selected="0">
            <x v="75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3448">
      <pivotArea dataOnly="0" labelOnly="1" outline="0" fieldPosition="0">
        <references count="11">
          <reference field="0" count="1" selected="0">
            <x v="12"/>
          </reference>
          <reference field="1" count="1">
            <x v="7309"/>
          </reference>
          <reference field="3" count="1" selected="0">
            <x v="0"/>
          </reference>
          <reference field="5" count="1" selected="0">
            <x v="754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447">
      <pivotArea dataOnly="0" labelOnly="1" outline="0" fieldPosition="0">
        <references count="11">
          <reference field="0" count="1" selected="0">
            <x v="14"/>
          </reference>
          <reference field="1" count="1">
            <x v="7305"/>
          </reference>
          <reference field="3" count="1" selected="0">
            <x v="7405"/>
          </reference>
          <reference field="5" count="1" selected="0">
            <x v="398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446">
      <pivotArea dataOnly="0" labelOnly="1" outline="0" fieldPosition="0">
        <references count="11">
          <reference field="0" count="1" selected="0">
            <x v="14"/>
          </reference>
          <reference field="1" count="1">
            <x v="7306"/>
          </reference>
          <reference field="3" count="1" selected="0">
            <x v="7529"/>
          </reference>
          <reference field="5" count="1" selected="0">
            <x v="385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445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78"/>
          </reference>
          <reference field="5" count="1" selected="0">
            <x v="59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444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27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443">
      <pivotArea dataOnly="0" labelOnly="1" outline="0" fieldPosition="0">
        <references count="11">
          <reference field="0" count="1" selected="0">
            <x v="15"/>
          </reference>
          <reference field="1" count="1">
            <x v="7304"/>
          </reference>
          <reference field="3" count="1" selected="0">
            <x v="7528"/>
          </reference>
          <reference field="5" count="1" selected="0">
            <x v="75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3442">
      <pivotArea outline="0" collapsedLevelsAreSubtotals="1" fieldPosition="0"/>
    </format>
    <format dxfId="13441">
      <pivotArea dataOnly="0" labelOnly="1" outline="0" axis="axisValues" fieldPosition="0"/>
    </format>
    <format dxfId="13440">
      <pivotArea dataOnly="0" outline="0" fieldPosition="0">
        <references count="1">
          <reference field="12" count="0" defaultSubtotal="1"/>
        </references>
      </pivotArea>
    </format>
    <format dxfId="13439">
      <pivotArea outline="0" collapsedLevelsAreSubtotals="1" fieldPosition="0"/>
    </format>
    <format dxfId="13438">
      <pivotArea dataOnly="0" labelOnly="1" outline="0" axis="axisValues" fieldPosition="0"/>
    </format>
    <format dxfId="13437">
      <pivotArea outline="0" collapsedLevelsAreSubtotals="1" fieldPosition="0"/>
    </format>
    <format dxfId="13436">
      <pivotArea dataOnly="0" labelOnly="1" outline="0" axis="axisValues" fieldPosition="0"/>
    </format>
    <format dxfId="13435">
      <pivotArea dataOnly="0" labelOnly="1" outline="0" axis="axisValues" fieldPosition="0"/>
    </format>
    <format dxfId="13434">
      <pivotArea outline="0" collapsedLevelsAreSubtotals="1" fieldPosition="0"/>
    </format>
    <format dxfId="13433">
      <pivotArea field="12" type="button" dataOnly="0" labelOnly="1" outline="0" axis="axisRow" fieldPosition="2"/>
    </format>
    <format dxfId="13432">
      <pivotArea field="10" type="button" dataOnly="0" labelOnly="1" outline="0" axis="axisRow" fieldPosition="3"/>
    </format>
    <format dxfId="13431">
      <pivotArea field="16" type="button" dataOnly="0" labelOnly="1" outline="0" axis="axisRow" fieldPosition="4"/>
    </format>
    <format dxfId="13430">
      <pivotArea field="18" type="button" dataOnly="0" labelOnly="1" outline="0" axis="axisRow" fieldPosition="5"/>
    </format>
    <format dxfId="13429">
      <pivotArea field="5" type="button" dataOnly="0" labelOnly="1" outline="0" axis="axisRow" fieldPosition="6"/>
    </format>
    <format dxfId="13428">
      <pivotArea field="9" type="button" dataOnly="0" labelOnly="1" outline="0" axis="axisRow" fieldPosition="7"/>
    </format>
    <format dxfId="13427">
      <pivotArea field="3" type="button" dataOnly="0" labelOnly="1" outline="0" axis="axisRow" fieldPosition="8"/>
    </format>
    <format dxfId="13426">
      <pivotArea field="7" type="button" dataOnly="0" labelOnly="1" outline="0" axis="axisRow" fieldPosition="9"/>
    </format>
    <format dxfId="13425">
      <pivotArea field="1" type="button" dataOnly="0" labelOnly="1" outline="0" axis="axisRow" fieldPosition="10"/>
    </format>
    <format dxfId="13424">
      <pivotArea dataOnly="0" labelOnly="1" outline="0" axis="axisValues" fieldPosition="0"/>
    </format>
    <format dxfId="1342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42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421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342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3419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3418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341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41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415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13414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1341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41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41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4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340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40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40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40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40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40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40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4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4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40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3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3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39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33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33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339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39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39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33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339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338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338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38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38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3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3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3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33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33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3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33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33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33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33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33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337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3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133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33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33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33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3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336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336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2"/>
            <x v="63"/>
          </reference>
        </references>
      </pivotArea>
    </format>
    <format dxfId="1336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59"/>
            <x v="63"/>
          </reference>
        </references>
      </pivotArea>
    </format>
    <format dxfId="1336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15"/>
            <x v="35"/>
            <x v="63"/>
            <x v="85"/>
          </reference>
        </references>
      </pivotArea>
    </format>
    <format dxfId="133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6"/>
          </reference>
        </references>
      </pivotArea>
    </format>
    <format dxfId="133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33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33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3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33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3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3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3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3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3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3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33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33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33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33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33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3"/>
          </reference>
        </references>
      </pivotArea>
    </format>
    <format dxfId="133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133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3343">
      <pivotArea dataOnly="0" labelOnly="1" outline="0" fieldPosition="0">
        <references count="7">
          <reference field="0" count="1" selected="0">
            <x v="13"/>
          </reference>
          <reference field="5" count="1">
            <x v="259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3342">
      <pivotArea dataOnly="0" labelOnly="1" outline="0" fieldPosition="0">
        <references count="7">
          <reference field="0" count="1" selected="0">
            <x v="13"/>
          </reference>
          <reference field="5" count="1">
            <x v="74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3341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340">
      <pivotArea dataOnly="0" labelOnly="1" outline="0" fieldPosition="0">
        <references count="7">
          <reference field="0" count="1" selected="0">
            <x v="11"/>
          </reference>
          <reference field="5" count="1">
            <x v="734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339">
      <pivotArea dataOnly="0" labelOnly="1" outline="0" fieldPosition="0">
        <references count="7">
          <reference field="0" count="1" selected="0">
            <x v="11"/>
          </reference>
          <reference field="5" count="2">
            <x v="4956"/>
            <x v="709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338">
      <pivotArea dataOnly="0" labelOnly="1" outline="0" fieldPosition="0">
        <references count="7">
          <reference field="0" count="1" selected="0">
            <x v="11"/>
          </reference>
          <reference field="5" count="1">
            <x v="718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337">
      <pivotArea dataOnly="0" labelOnly="1" outline="0" fieldPosition="0">
        <references count="7">
          <reference field="0" count="1" selected="0">
            <x v="11"/>
          </reference>
          <reference field="5" count="1">
            <x v="528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336">
      <pivotArea dataOnly="0" labelOnly="1" outline="0" fieldPosition="0">
        <references count="7">
          <reference field="0" count="1" selected="0">
            <x v="11"/>
          </reference>
          <reference field="5" count="1">
            <x v="619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3335">
      <pivotArea dataOnly="0" labelOnly="1" outline="0" fieldPosition="0">
        <references count="7">
          <reference field="0" count="1" selected="0">
            <x v="13"/>
          </reference>
          <reference field="5" count="1">
            <x v="75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334">
      <pivotArea dataOnly="0" labelOnly="1" outline="0" fieldPosition="0">
        <references count="7">
          <reference field="0" count="1" selected="0">
            <x v="13"/>
          </reference>
          <reference field="5" count="1">
            <x v="74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333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332">
      <pivotArea dataOnly="0" labelOnly="1" outline="0" fieldPosition="0">
        <references count="7">
          <reference field="0" count="1" selected="0">
            <x v="13"/>
          </reference>
          <reference field="5" count="1"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331">
      <pivotArea dataOnly="0" labelOnly="1" outline="0" fieldPosition="0">
        <references count="7">
          <reference field="0" count="1" selected="0">
            <x v="14"/>
          </reference>
          <reference field="5" count="1">
            <x v="755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330">
      <pivotArea dataOnly="0" labelOnly="1" outline="0" fieldPosition="0">
        <references count="7">
          <reference field="0" count="1" selected="0">
            <x v="14"/>
          </reference>
          <reference field="5" count="1">
            <x v="343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329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328">
      <pivotArea dataOnly="0" labelOnly="1" outline="0" fieldPosition="0">
        <references count="7">
          <reference field="0" count="1" selected="0">
            <x v="14"/>
          </reference>
          <reference field="5" count="1">
            <x v="4409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327">
      <pivotArea dataOnly="0" labelOnly="1" outline="0" fieldPosition="0">
        <references count="7">
          <reference field="0" count="1" selected="0">
            <x v="14"/>
          </reference>
          <reference field="5" count="2">
            <x v="5943"/>
            <x v="656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326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3325">
      <pivotArea dataOnly="0" labelOnly="1" outline="0" fieldPosition="0">
        <references count="7">
          <reference field="0" count="1" selected="0">
            <x v="15"/>
          </reference>
          <reference field="5" count="1">
            <x v="7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324">
      <pivotArea dataOnly="0" labelOnly="1" outline="0" fieldPosition="0">
        <references count="7">
          <reference field="0" count="1" selected="0">
            <x v="15"/>
          </reference>
          <reference field="5" count="1"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323">
      <pivotArea dataOnly="0" labelOnly="1" outline="0" fieldPosition="0">
        <references count="7">
          <reference field="0" count="1" selected="0">
            <x v="15"/>
          </reference>
          <reference field="5" count="1">
            <x v="75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3"/>
          </reference>
        </references>
      </pivotArea>
    </format>
    <format dxfId="13322">
      <pivotArea dataOnly="0" labelOnly="1" outline="0" fieldPosition="0">
        <references count="7">
          <reference field="0" count="1" selected="0">
            <x v="15"/>
          </reference>
          <reference field="5" count="1">
            <x v="7539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3321">
      <pivotArea dataOnly="0" labelOnly="1" outline="0" fieldPosition="0">
        <references count="7">
          <reference field="0" count="1" selected="0">
            <x v="15"/>
          </reference>
          <reference field="5" count="1">
            <x v="169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3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31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3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3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3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3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3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3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3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3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0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3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31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31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309">
      <pivotArea dataOnly="0" labelOnly="1" outline="0" fieldPosition="0">
        <references count="9">
          <reference field="0" count="1" selected="0">
            <x v="14"/>
          </reference>
          <reference field="3" count="1">
            <x v="7475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308">
      <pivotArea dataOnly="0" labelOnly="1" outline="0" fieldPosition="0">
        <references count="9">
          <reference field="0" count="1" selected="0">
            <x v="11"/>
          </reference>
          <reference field="3" count="1">
            <x v="7539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307">
      <pivotArea dataOnly="0" labelOnly="1" outline="0" fieldPosition="0">
        <references count="9">
          <reference field="0" count="1" selected="0">
            <x v="11"/>
          </reference>
          <reference field="3" count="1">
            <x v="7318"/>
          </reference>
          <reference field="5" count="1" selected="0">
            <x v="49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306">
      <pivotArea dataOnly="0" labelOnly="1" outline="0" fieldPosition="0">
        <references count="9">
          <reference field="0" count="1" selected="0">
            <x v="11"/>
          </reference>
          <reference field="3" count="1">
            <x v="7409"/>
          </reference>
          <reference field="5" count="1" selected="0">
            <x v="70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305">
      <pivotArea dataOnly="0" labelOnly="1" outline="0" fieldPosition="0">
        <references count="9">
          <reference field="0" count="1" selected="0">
            <x v="11"/>
          </reference>
          <reference field="3" count="1">
            <x v="7536"/>
          </reference>
          <reference field="5" count="1" selected="0">
            <x v="71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304">
      <pivotArea dataOnly="0" labelOnly="1" outline="0" fieldPosition="0">
        <references count="9">
          <reference field="0" count="1" selected="0">
            <x v="11"/>
          </reference>
          <reference field="3" count="1">
            <x v="7535"/>
          </reference>
          <reference field="5" count="1" selected="0">
            <x v="52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303">
      <pivotArea dataOnly="0" labelOnly="1" outline="0" fieldPosition="0">
        <references count="9">
          <reference field="0" count="1" selected="0">
            <x v="11"/>
          </reference>
          <reference field="3" count="1">
            <x v="7537"/>
          </reference>
          <reference field="5" count="1" selected="0">
            <x v="61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33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3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7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3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299">
      <pivotArea dataOnly="0" labelOnly="1" outline="0" fieldPosition="0">
        <references count="9">
          <reference field="0" count="1" selected="0">
            <x v="14"/>
          </reference>
          <reference field="3" count="1">
            <x v="7517"/>
          </reference>
          <reference field="5" count="1" selected="0">
            <x v="343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2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297">
      <pivotArea dataOnly="0" labelOnly="1" outline="0" fieldPosition="0">
        <references count="9">
          <reference field="0" count="1" selected="0">
            <x v="14"/>
          </reference>
          <reference field="3" count="1">
            <x v="7532"/>
          </reference>
          <reference field="5" count="1" selected="0">
            <x v="440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296">
      <pivotArea dataOnly="0" labelOnly="1" outline="0" fieldPosition="0">
        <references count="9">
          <reference field="0" count="1" selected="0">
            <x v="14"/>
          </reference>
          <reference field="3" count="1">
            <x v="7478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295">
      <pivotArea dataOnly="0" labelOnly="1" outline="0" fieldPosition="0">
        <references count="9">
          <reference field="0" count="1" selected="0">
            <x v="14"/>
          </reference>
          <reference field="3" count="1">
            <x v="7480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294">
      <pivotArea dataOnly="0" labelOnly="1" outline="0" fieldPosition="0">
        <references count="9">
          <reference field="0" count="1" selected="0">
            <x v="14"/>
          </reference>
          <reference field="3" count="1">
            <x v="7477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329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292">
      <pivotArea dataOnly="0" labelOnly="1" outline="0" fieldPosition="0">
        <references count="9">
          <reference field="0" count="1" selected="0">
            <x v="15"/>
          </reference>
          <reference field="3" count="1">
            <x v="7519"/>
          </reference>
          <reference field="5" count="1" selected="0">
            <x v="7539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329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69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2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5"/>
          </reference>
          <reference field="5" count="1" selected="0">
            <x v="61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28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39"/>
          </reference>
          <reference field="5" count="1" selected="0">
            <x v="73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2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2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2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2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7"/>
          </reference>
          <reference field="5" count="1" selected="0">
            <x v="34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2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2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2"/>
          </reference>
          <reference field="5" count="1" selected="0">
            <x v="44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2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8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2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2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19"/>
          </reference>
          <reference field="5" count="1" selected="0">
            <x v="753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32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69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278">
      <pivotArea dataOnly="0" labelOnly="1" outline="0" fieldPosition="0">
        <references count="11">
          <reference field="0" count="1" selected="0">
            <x v="11"/>
          </reference>
          <reference field="1" count="1">
            <x v="7319"/>
          </reference>
          <reference field="3" count="1" selected="0">
            <x v="7535"/>
          </reference>
          <reference field="5" count="1" selected="0">
            <x v="52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277">
      <pivotArea dataOnly="0" labelOnly="1" outline="0" fieldPosition="0">
        <references count="11">
          <reference field="0" count="1" selected="0">
            <x v="11"/>
          </reference>
          <reference field="1" count="1">
            <x v="7320"/>
          </reference>
          <reference field="3" count="1" selected="0">
            <x v="7537"/>
          </reference>
          <reference field="5" count="1" selected="0">
            <x v="61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3276">
      <pivotArea dataOnly="0" labelOnly="1" outline="0" fieldPosition="0">
        <references count="11">
          <reference field="0" count="1" selected="0">
            <x v="14"/>
          </reference>
          <reference field="1" count="1">
            <x v="7315"/>
          </reference>
          <reference field="3" count="1" selected="0">
            <x v="7517"/>
          </reference>
          <reference field="5" count="1" selected="0">
            <x v="343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275">
      <pivotArea dataOnly="0" labelOnly="1" outline="0" fieldPosition="0">
        <references count="11">
          <reference field="0" count="1" selected="0">
            <x v="14"/>
          </reference>
          <reference field="1" count="1">
            <x v="7314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274">
      <pivotArea dataOnly="0" labelOnly="1" outline="0" fieldPosition="0">
        <references count="11">
          <reference field="0" count="1" selected="0">
            <x v="14"/>
          </reference>
          <reference field="1" count="1">
            <x v="7313"/>
          </reference>
          <reference field="3" count="1" selected="0">
            <x v="7532"/>
          </reference>
          <reference field="5" count="1" selected="0">
            <x v="44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273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78"/>
          </reference>
          <reference field="5" count="1" selected="0">
            <x v="59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272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27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271">
      <pivotArea outline="0" collapsedLevelsAreSubtotals="1" fieldPosition="0"/>
    </format>
    <format dxfId="13270">
      <pivotArea dataOnly="0" labelOnly="1" outline="0" axis="axisValues" fieldPosition="0"/>
    </format>
    <format dxfId="13269">
      <pivotArea dataOnly="0" outline="0" fieldPosition="0">
        <references count="1">
          <reference field="12" count="0" defaultSubtotal="1"/>
        </references>
      </pivotArea>
    </format>
    <format dxfId="13268">
      <pivotArea outline="0" collapsedLevelsAreSubtotals="1" fieldPosition="0"/>
    </format>
    <format dxfId="13267">
      <pivotArea dataOnly="0" labelOnly="1" outline="0" axis="axisValues" fieldPosition="0"/>
    </format>
    <format dxfId="13266">
      <pivotArea outline="0" collapsedLevelsAreSubtotals="1" fieldPosition="0"/>
    </format>
    <format dxfId="13265">
      <pivotArea dataOnly="0" labelOnly="1" outline="0" axis="axisValues" fieldPosition="0"/>
    </format>
    <format dxfId="13264">
      <pivotArea dataOnly="0" labelOnly="1" outline="0" axis="axisValues" fieldPosition="0"/>
    </format>
    <format dxfId="13263">
      <pivotArea outline="0" collapsedLevelsAreSubtotals="1" fieldPosition="0"/>
    </format>
    <format dxfId="13262">
      <pivotArea field="12" type="button" dataOnly="0" labelOnly="1" outline="0" axis="axisRow" fieldPosition="2"/>
    </format>
    <format dxfId="13261">
      <pivotArea field="10" type="button" dataOnly="0" labelOnly="1" outline="0" axis="axisRow" fieldPosition="3"/>
    </format>
    <format dxfId="13260">
      <pivotArea field="16" type="button" dataOnly="0" labelOnly="1" outline="0" axis="axisRow" fieldPosition="4"/>
    </format>
    <format dxfId="13259">
      <pivotArea field="18" type="button" dataOnly="0" labelOnly="1" outline="0" axis="axisRow" fieldPosition="5"/>
    </format>
    <format dxfId="13258">
      <pivotArea field="5" type="button" dataOnly="0" labelOnly="1" outline="0" axis="axisRow" fieldPosition="6"/>
    </format>
    <format dxfId="13257">
      <pivotArea field="9" type="button" dataOnly="0" labelOnly="1" outline="0" axis="axisRow" fieldPosition="7"/>
    </format>
    <format dxfId="13256">
      <pivotArea field="3" type="button" dataOnly="0" labelOnly="1" outline="0" axis="axisRow" fieldPosition="8"/>
    </format>
    <format dxfId="13255">
      <pivotArea field="7" type="button" dataOnly="0" labelOnly="1" outline="0" axis="axisRow" fieldPosition="9"/>
    </format>
    <format dxfId="13254">
      <pivotArea field="1" type="button" dataOnly="0" labelOnly="1" outline="0" axis="axisRow" fieldPosition="10"/>
    </format>
    <format dxfId="13253">
      <pivotArea dataOnly="0" labelOnly="1" outline="0" axis="axisValues" fieldPosition="0"/>
    </format>
    <format dxfId="1325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25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250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1"/>
          </reference>
          <reference field="13" count="1" selected="0">
            <x v="0"/>
          </reference>
        </references>
      </pivotArea>
    </format>
    <format dxfId="1324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1"/>
          </reference>
          <reference field="13" count="1" selected="0">
            <x v="0"/>
          </reference>
        </references>
      </pivotArea>
    </format>
    <format dxfId="1324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24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24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24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244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13243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1324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24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24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2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2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323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3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3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3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2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23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2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2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2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32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32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2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322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22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2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3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3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1322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21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3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3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3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3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3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3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13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320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2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132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32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32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32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3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9"/>
          </reference>
        </references>
      </pivotArea>
    </format>
    <format dxfId="13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319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31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6"/>
          </reference>
        </references>
      </pivotArea>
    </format>
    <format dxfId="131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31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31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3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3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3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13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3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3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55"/>
          </reference>
        </references>
      </pivotArea>
    </format>
    <format dxfId="13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3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3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3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31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31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4"/>
            <x v="71"/>
          </reference>
        </references>
      </pivotArea>
    </format>
    <format dxfId="131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131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65"/>
          </reference>
        </references>
      </pivotArea>
    </format>
    <format dxfId="13178">
      <pivotArea dataOnly="0" labelOnly="1" outline="0" fieldPosition="0">
        <references count="7">
          <reference field="0" count="1" selected="0">
            <x v="13"/>
          </reference>
          <reference field="5" count="1">
            <x v="259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3177">
      <pivotArea dataOnly="0" labelOnly="1" outline="0" fieldPosition="0">
        <references count="7">
          <reference field="0" count="1" selected="0">
            <x v="13"/>
          </reference>
          <reference field="5" count="1">
            <x v="74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3176">
      <pivotArea dataOnly="0" labelOnly="1" outline="0" fieldPosition="0">
        <references count="7">
          <reference field="0" count="1" selected="0">
            <x v="14"/>
          </reference>
          <reference field="5" count="1">
            <x v="755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13175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174">
      <pivotArea dataOnly="0" labelOnly="1" outline="0" fieldPosition="0">
        <references count="7">
          <reference field="0" count="1" selected="0">
            <x v="13"/>
          </reference>
          <reference field="5" count="1">
            <x v="75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173">
      <pivotArea dataOnly="0" labelOnly="1" outline="0" fieldPosition="0">
        <references count="7">
          <reference field="0" count="1" selected="0">
            <x v="13"/>
          </reference>
          <reference field="5" count="1">
            <x v="74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172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171">
      <pivotArea dataOnly="0" labelOnly="1" outline="0" fieldPosition="0">
        <references count="7">
          <reference field="0" count="1" selected="0">
            <x v="13"/>
          </reference>
          <reference field="5" count="1"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170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169">
      <pivotArea dataOnly="0" labelOnly="1" outline="0" fieldPosition="0">
        <references count="7">
          <reference field="0" count="1" selected="0">
            <x v="14"/>
          </reference>
          <reference field="5" count="1">
            <x v="75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3168">
      <pivotArea dataOnly="0" labelOnly="1" outline="0" fieldPosition="0">
        <references count="7">
          <reference field="0" count="1" selected="0">
            <x v="14"/>
          </reference>
          <reference field="5" count="1">
            <x v="755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167">
      <pivotArea dataOnly="0" labelOnly="1" outline="0" fieldPosition="0">
        <references count="7">
          <reference field="0" count="1" selected="0">
            <x v="14"/>
          </reference>
          <reference field="5" count="1">
            <x v="739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166">
      <pivotArea dataOnly="0" labelOnly="1" outline="0" fieldPosition="0">
        <references count="7">
          <reference field="0" count="1" selected="0">
            <x v="14"/>
          </reference>
          <reference field="5" count="1">
            <x v="385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165">
      <pivotArea dataOnly="0" labelOnly="1" outline="0" fieldPosition="0">
        <references count="7">
          <reference field="0" count="1" selected="0">
            <x v="14"/>
          </reference>
          <reference field="5" count="1">
            <x v="3988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164">
      <pivotArea dataOnly="0" labelOnly="1" outline="0" fieldPosition="0">
        <references count="7">
          <reference field="0" count="1" selected="0">
            <x v="14"/>
          </reference>
          <reference field="5" count="2">
            <x v="5943"/>
            <x v="656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163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3162">
      <pivotArea dataOnly="0" labelOnly="1" outline="0" fieldPosition="0">
        <references count="7">
          <reference field="0" count="1" selected="0">
            <x v="15"/>
          </reference>
          <reference field="5" count="1">
            <x v="7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161">
      <pivotArea dataOnly="0" labelOnly="1" outline="0" fieldPosition="0">
        <references count="7">
          <reference field="0" count="1" selected="0">
            <x v="15"/>
          </reference>
          <reference field="5" count="1"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160">
      <pivotArea dataOnly="0" labelOnly="1" outline="0" fieldPosition="0">
        <references count="7">
          <reference field="0" count="1" selected="0">
            <x v="15"/>
          </reference>
          <reference field="5" count="1">
            <x v="75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3159">
      <pivotArea dataOnly="0" labelOnly="1" outline="0" fieldPosition="0">
        <references count="7">
          <reference field="0" count="1" selected="0">
            <x v="15"/>
          </reference>
          <reference field="5" count="1">
            <x v="75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3158">
      <pivotArea dataOnly="0" labelOnly="1" outline="0" fieldPosition="0">
        <references count="7">
          <reference field="0" count="1" selected="0">
            <x v="15"/>
          </reference>
          <reference field="5" count="1">
            <x v="7539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3157">
      <pivotArea dataOnly="0" labelOnly="1" outline="0" fieldPosition="0">
        <references count="7">
          <reference field="0" count="1" selected="0">
            <x v="15"/>
          </reference>
          <reference field="5" count="1">
            <x v="755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1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131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1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1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1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1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31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1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1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1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1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14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1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14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5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13142">
      <pivotArea dataOnly="0" labelOnly="1" outline="0" fieldPosition="0">
        <references count="9">
          <reference field="0" count="1" selected="0">
            <x v="14"/>
          </reference>
          <reference field="3" count="1">
            <x v="7475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14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1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7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1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1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31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136">
      <pivotArea dataOnly="0" labelOnly="1" outline="0" fieldPosition="0">
        <references count="9">
          <reference field="0" count="1" selected="0">
            <x v="14"/>
          </reference>
          <reference field="3" count="1">
            <x v="7526"/>
          </reference>
          <reference field="5" count="1" selected="0">
            <x v="73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135">
      <pivotArea dataOnly="0" labelOnly="1" outline="0" fieldPosition="0">
        <references count="9">
          <reference field="0" count="1" selected="0">
            <x v="14"/>
          </reference>
          <reference field="3" count="1">
            <x v="7529"/>
          </reference>
          <reference field="5" count="1" selected="0">
            <x v="3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134">
      <pivotArea dataOnly="0" labelOnly="1" outline="0" fieldPosition="0">
        <references count="9">
          <reference field="0" count="1" selected="0">
            <x v="14"/>
          </reference>
          <reference field="3" count="1">
            <x v="7540"/>
          </reference>
          <reference field="5" count="1" selected="0">
            <x v="398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133">
      <pivotArea dataOnly="0" labelOnly="1" outline="0" fieldPosition="0">
        <references count="9">
          <reference field="0" count="1" selected="0">
            <x v="14"/>
          </reference>
          <reference field="3" count="1">
            <x v="7478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132">
      <pivotArea dataOnly="0" labelOnly="1" outline="0" fieldPosition="0">
        <references count="9">
          <reference field="0" count="1" selected="0">
            <x v="14"/>
          </reference>
          <reference field="3" count="1">
            <x v="7480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131">
      <pivotArea dataOnly="0" labelOnly="1" outline="0" fieldPosition="0">
        <references count="9">
          <reference field="0" count="1" selected="0">
            <x v="14"/>
          </reference>
          <reference field="3" count="1">
            <x v="7477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313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129">
      <pivotArea dataOnly="0" labelOnly="1" outline="0" fieldPosition="0">
        <references count="9">
          <reference field="0" count="1" selected="0">
            <x v="15"/>
          </reference>
          <reference field="3" count="1">
            <x v="7519"/>
          </reference>
          <reference field="5" count="1" selected="0">
            <x v="7539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31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131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5"/>
          </reference>
          <reference field="5" count="1" selected="0">
            <x v="61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1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12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1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1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31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1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6"/>
          </reference>
          <reference field="5" count="1" selected="0">
            <x v="73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1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9"/>
          </reference>
          <reference field="5" count="1" selected="0">
            <x v="38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1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0"/>
          </reference>
          <reference field="5" count="1" selected="0">
            <x v="39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1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8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1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1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19"/>
          </reference>
          <reference field="5" count="1" selected="0">
            <x v="753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3115">
      <pivotArea dataOnly="0" labelOnly="1" outline="0" fieldPosition="0">
        <references count="11">
          <reference field="0" count="1" selected="0">
            <x v="14"/>
          </reference>
          <reference field="1" count="1">
            <x v="7325"/>
          </reference>
          <reference field="3" count="1" selected="0">
            <x v="0"/>
          </reference>
          <reference field="5" count="1" selected="0">
            <x v="75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13114">
      <pivotArea dataOnly="0" labelOnly="1" outline="0" fieldPosition="0">
        <references count="11">
          <reference field="0" count="1" selected="0">
            <x v="14"/>
          </reference>
          <reference field="1" count="1">
            <x v="7324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113">
      <pivotArea dataOnly="0" labelOnly="1" outline="0" fieldPosition="0">
        <references count="11">
          <reference field="0" count="1" selected="0">
            <x v="14"/>
          </reference>
          <reference field="1" count="1">
            <x v="7306"/>
          </reference>
          <reference field="3" count="1" selected="0">
            <x v="7529"/>
          </reference>
          <reference field="5" count="1" selected="0">
            <x v="385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112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78"/>
          </reference>
          <reference field="5" count="1" selected="0">
            <x v="59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111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27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110">
      <pivotArea outline="0" collapsedLevelsAreSubtotals="1" fieldPosition="0"/>
    </format>
    <format dxfId="13109">
      <pivotArea dataOnly="0" labelOnly="1" outline="0" axis="axisValues" fieldPosition="0"/>
    </format>
    <format dxfId="13108">
      <pivotArea dataOnly="0" outline="0" fieldPosition="0">
        <references count="1">
          <reference field="12" count="0" defaultSubtotal="1"/>
        </references>
      </pivotArea>
    </format>
    <format dxfId="13107">
      <pivotArea outline="0" collapsedLevelsAreSubtotals="1" fieldPosition="0"/>
    </format>
    <format dxfId="13106">
      <pivotArea dataOnly="0" labelOnly="1" outline="0" axis="axisValues" fieldPosition="0"/>
    </format>
    <format dxfId="13105">
      <pivotArea outline="0" collapsedLevelsAreSubtotals="1" fieldPosition="0"/>
    </format>
    <format dxfId="13104">
      <pivotArea dataOnly="0" labelOnly="1" outline="0" axis="axisValues" fieldPosition="0"/>
    </format>
    <format dxfId="13103">
      <pivotArea dataOnly="0" labelOnly="1" outline="0" axis="axisValues" fieldPosition="0"/>
    </format>
    <format dxfId="13102">
      <pivotArea outline="0" collapsedLevelsAreSubtotals="1" fieldPosition="0"/>
    </format>
    <format dxfId="13101">
      <pivotArea field="12" type="button" dataOnly="0" labelOnly="1" outline="0" axis="axisRow" fieldPosition="2"/>
    </format>
    <format dxfId="13100">
      <pivotArea field="10" type="button" dataOnly="0" labelOnly="1" outline="0" axis="axisRow" fieldPosition="3"/>
    </format>
    <format dxfId="13099">
      <pivotArea field="16" type="button" dataOnly="0" labelOnly="1" outline="0" axis="axisRow" fieldPosition="4"/>
    </format>
    <format dxfId="13098">
      <pivotArea field="18" type="button" dataOnly="0" labelOnly="1" outline="0" axis="axisRow" fieldPosition="5"/>
    </format>
    <format dxfId="13097">
      <pivotArea field="5" type="button" dataOnly="0" labelOnly="1" outline="0" axis="axisRow" fieldPosition="6"/>
    </format>
    <format dxfId="13096">
      <pivotArea field="9" type="button" dataOnly="0" labelOnly="1" outline="0" axis="axisRow" fieldPosition="7"/>
    </format>
    <format dxfId="13095">
      <pivotArea field="3" type="button" dataOnly="0" labelOnly="1" outline="0" axis="axisRow" fieldPosition="8"/>
    </format>
    <format dxfId="13094">
      <pivotArea field="7" type="button" dataOnly="0" labelOnly="1" outline="0" axis="axisRow" fieldPosition="9"/>
    </format>
    <format dxfId="13093">
      <pivotArea field="1" type="button" dataOnly="0" labelOnly="1" outline="0" axis="axisRow" fieldPosition="10"/>
    </format>
    <format dxfId="13092">
      <pivotArea dataOnly="0" labelOnly="1" outline="0" axis="axisValues" fieldPosition="0"/>
    </format>
    <format dxfId="1309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09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089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308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3087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3086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3085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3084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308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08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08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08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079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13078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1307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07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075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0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30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072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0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0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0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0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0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0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0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30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0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306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06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06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05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05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05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05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05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54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5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5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0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0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0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0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0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0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0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30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30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304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304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30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303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03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303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3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0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2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2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2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2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1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1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1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1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1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99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9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29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9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29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9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9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9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29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39"/>
            <x v="106"/>
          </reference>
        </references>
      </pivotArea>
    </format>
    <format dxfId="129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109"/>
          </reference>
        </references>
      </pivotArea>
    </format>
    <format dxfId="129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29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9"/>
          </reference>
        </references>
      </pivotArea>
    </format>
    <format dxfId="129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9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109"/>
          </reference>
        </references>
      </pivotArea>
    </format>
    <format dxfId="129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09"/>
          </reference>
        </references>
      </pivotArea>
    </format>
    <format dxfId="129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9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98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297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297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97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297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9"/>
          </reference>
        </references>
      </pivotArea>
    </format>
    <format dxfId="1297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297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6"/>
          </reference>
        </references>
      </pivotArea>
    </format>
    <format dxfId="1297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9"/>
            <x v="46"/>
          </reference>
        </references>
      </pivotArea>
    </format>
    <format dxfId="129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6"/>
          </reference>
        </references>
      </pivotArea>
    </format>
    <format dxfId="129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9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9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9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29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9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129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9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29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129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29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9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9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29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9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9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5"/>
          </reference>
        </references>
      </pivotArea>
    </format>
    <format dxfId="129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29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29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2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2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29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129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9"/>
          </reference>
        </references>
      </pivotArea>
    </format>
    <format dxfId="129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29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2945">
      <pivotArea dataOnly="0" labelOnly="1" outline="0" fieldPosition="0">
        <references count="7">
          <reference field="0" count="1" selected="0">
            <x v="13"/>
          </reference>
          <reference field="5" count="1">
            <x v="4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944">
      <pivotArea dataOnly="0" labelOnly="1" outline="0" fieldPosition="0">
        <references count="7">
          <reference field="0" count="1" selected="0">
            <x v="13"/>
          </reference>
          <reference field="5" count="1">
            <x v="259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943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942">
      <pivotArea dataOnly="0" labelOnly="1" outline="0" fieldPosition="0">
        <references count="7">
          <reference field="0" count="1" selected="0">
            <x v="7"/>
          </reference>
          <reference field="5" count="1">
            <x v="756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941">
      <pivotArea dataOnly="0" labelOnly="1" outline="0" fieldPosition="0">
        <references count="7">
          <reference field="0" count="1" selected="0">
            <x v="7"/>
          </reference>
          <reference field="5" count="1">
            <x v="270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940">
      <pivotArea dataOnly="0" labelOnly="1" outline="0" fieldPosition="0">
        <references count="7">
          <reference field="0" count="1" selected="0">
            <x v="7"/>
          </reference>
          <reference field="5" count="1">
            <x v="6674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939">
      <pivotArea dataOnly="0" labelOnly="1" outline="0" fieldPosition="0">
        <references count="7">
          <reference field="0" count="1" selected="0">
            <x v="7"/>
          </reference>
          <reference field="5" count="1">
            <x v="758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938">
      <pivotArea dataOnly="0" labelOnly="1" outline="0" fieldPosition="0">
        <references count="7">
          <reference field="0" count="1" selected="0">
            <x v="7"/>
          </reference>
          <reference field="5" count="1">
            <x v="757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937">
      <pivotArea dataOnly="0" labelOnly="1" outline="0" fieldPosition="0">
        <references count="7">
          <reference field="0" count="1" selected="0">
            <x v="7"/>
          </reference>
          <reference field="5" count="2">
            <x v="7571"/>
            <x v="757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936">
      <pivotArea dataOnly="0" labelOnly="1" outline="0" fieldPosition="0">
        <references count="7">
          <reference field="0" count="1" selected="0">
            <x v="7"/>
          </reference>
          <reference field="5" count="1">
            <x v="185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935">
      <pivotArea dataOnly="0" labelOnly="1" outline="0" fieldPosition="0">
        <references count="7">
          <reference field="0" count="1" selected="0">
            <x v="7"/>
          </reference>
          <reference field="5" count="1">
            <x v="757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934">
      <pivotArea dataOnly="0" labelOnly="1" outline="0" fieldPosition="0">
        <references count="7">
          <reference field="0" count="1" selected="0">
            <x v="7"/>
          </reference>
          <reference field="5" count="1">
            <x v="757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933">
      <pivotArea dataOnly="0" labelOnly="1" outline="0" fieldPosition="0">
        <references count="7">
          <reference field="0" count="1" selected="0">
            <x v="7"/>
          </reference>
          <reference field="5" count="1">
            <x v="756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932">
      <pivotArea dataOnly="0" labelOnly="1" outline="0" fieldPosition="0">
        <references count="7">
          <reference field="0" count="1" selected="0">
            <x v="7"/>
          </reference>
          <reference field="5" count="1">
            <x v="757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931">
      <pivotArea dataOnly="0" labelOnly="1" outline="0" fieldPosition="0">
        <references count="7">
          <reference field="0" count="1" selected="0">
            <x v="7"/>
          </reference>
          <reference field="5" count="1">
            <x v="758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930">
      <pivotArea dataOnly="0" labelOnly="1" outline="0" fieldPosition="0">
        <references count="7">
          <reference field="0" count="1" selected="0">
            <x v="7"/>
          </reference>
          <reference field="5" count="2">
            <x v="7573"/>
            <x v="757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929">
      <pivotArea dataOnly="0" labelOnly="1" outline="0" fieldPosition="0">
        <references count="7">
          <reference field="0" count="1" selected="0">
            <x v="7"/>
          </reference>
          <reference field="5" count="1">
            <x v="7570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928">
      <pivotArea dataOnly="0" labelOnly="1" outline="0" fieldPosition="0">
        <references count="7">
          <reference field="0" count="1" selected="0">
            <x v="7"/>
          </reference>
          <reference field="5" count="2">
            <x v="7577"/>
            <x v="758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927">
      <pivotArea dataOnly="0" labelOnly="1" outline="0" fieldPosition="0">
        <references count="7">
          <reference field="0" count="1" selected="0">
            <x v="7"/>
          </reference>
          <reference field="5" count="1">
            <x v="758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926">
      <pivotArea dataOnly="0" labelOnly="1" outline="0" fieldPosition="0">
        <references count="7">
          <reference field="0" count="1" selected="0">
            <x v="7"/>
          </reference>
          <reference field="5" count="1">
            <x v="7582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925">
      <pivotArea dataOnly="0" labelOnly="1" outline="0" fieldPosition="0">
        <references count="7">
          <reference field="0" count="1" selected="0">
            <x v="10"/>
          </reference>
          <reference field="5" count="1">
            <x v="499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924">
      <pivotArea dataOnly="0" labelOnly="1" outline="0" fieldPosition="0">
        <references count="7">
          <reference field="0" count="1" selected="0">
            <x v="10"/>
          </reference>
          <reference field="5" count="1">
            <x v="571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2923">
      <pivotArea dataOnly="0" labelOnly="1" outline="0" fieldPosition="0">
        <references count="7">
          <reference field="0" count="1" selected="0">
            <x v="10"/>
          </reference>
          <reference field="5" count="1">
            <x v="674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922">
      <pivotArea dataOnly="0" labelOnly="1" outline="0" fieldPosition="0">
        <references count="7">
          <reference field="0" count="1" selected="0">
            <x v="10"/>
          </reference>
          <reference field="5" count="1">
            <x v="195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921">
      <pivotArea dataOnly="0" labelOnly="1" outline="0" fieldPosition="0">
        <references count="7">
          <reference field="0" count="1" selected="0">
            <x v="10"/>
          </reference>
          <reference field="5" count="1">
            <x v="453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920">
      <pivotArea dataOnly="0" labelOnly="1" outline="0" fieldPosition="0">
        <references count="7">
          <reference field="0" count="1" selected="0">
            <x v="10"/>
          </reference>
          <reference field="5" count="1">
            <x v="499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919">
      <pivotArea dataOnly="0" labelOnly="1" outline="0" fieldPosition="0">
        <references count="7">
          <reference field="0" count="1" selected="0">
            <x v="10"/>
          </reference>
          <reference field="5" count="1">
            <x v="737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918">
      <pivotArea dataOnly="0" labelOnly="1" outline="0" fieldPosition="0">
        <references count="7">
          <reference field="0" count="1" selected="0">
            <x v="10"/>
          </reference>
          <reference field="5" count="1">
            <x v="464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917">
      <pivotArea dataOnly="0" labelOnly="1" outline="0" fieldPosition="0">
        <references count="7">
          <reference field="0" count="1" selected="0">
            <x v="12"/>
          </reference>
          <reference field="5" count="1">
            <x v="75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916">
      <pivotArea dataOnly="0" labelOnly="1" outline="0" fieldPosition="0">
        <references count="7">
          <reference field="0" count="1" selected="0">
            <x v="12"/>
          </reference>
          <reference field="5" count="1">
            <x v="75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915">
      <pivotArea dataOnly="0" labelOnly="1" outline="0" fieldPosition="0">
        <references count="7">
          <reference field="0" count="1" selected="0">
            <x v="12"/>
          </reference>
          <reference field="5" count="1">
            <x v="57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914">
      <pivotArea dataOnly="0" labelOnly="1" outline="0" fieldPosition="0">
        <references count="7">
          <reference field="0" count="1" selected="0">
            <x v="13"/>
          </reference>
          <reference field="5" count="1">
            <x v="75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913">
      <pivotArea dataOnly="0" labelOnly="1" outline="0" fieldPosition="0">
        <references count="7">
          <reference field="0" count="1" selected="0">
            <x v="13"/>
          </reference>
          <reference field="5" count="1">
            <x v="74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912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911">
      <pivotArea dataOnly="0" labelOnly="1" outline="0" fieldPosition="0">
        <references count="7">
          <reference field="0" count="1" selected="0">
            <x v="13"/>
          </reference>
          <reference field="5" count="1"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910">
      <pivotArea dataOnly="0" labelOnly="1" outline="0" fieldPosition="0">
        <references count="7">
          <reference field="0" count="1" selected="0">
            <x v="14"/>
          </reference>
          <reference field="5" count="1">
            <x v="756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909">
      <pivotArea dataOnly="0" labelOnly="1" outline="0" fieldPosition="0">
        <references count="7">
          <reference field="0" count="1" selected="0">
            <x v="14"/>
          </reference>
          <reference field="5" count="1">
            <x v="755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908">
      <pivotArea dataOnly="0" labelOnly="1" outline="0" fieldPosition="0">
        <references count="7">
          <reference field="0" count="1" selected="0">
            <x v="14"/>
          </reference>
          <reference field="5" count="1">
            <x v="75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907">
      <pivotArea dataOnly="0" labelOnly="1" outline="0" fieldPosition="0">
        <references count="7">
          <reference field="0" count="1" selected="0">
            <x v="14"/>
          </reference>
          <reference field="5" count="1">
            <x v="7562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906">
      <pivotArea dataOnly="0" labelOnly="1" outline="0" fieldPosition="0">
        <references count="7">
          <reference field="0" count="1" selected="0">
            <x v="14"/>
          </reference>
          <reference field="5" count="1">
            <x v="756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905">
      <pivotArea dataOnly="0" labelOnly="1" outline="0" fieldPosition="0">
        <references count="7">
          <reference field="0" count="1" selected="0">
            <x v="14"/>
          </reference>
          <reference field="5" count="1">
            <x v="756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904">
      <pivotArea dataOnly="0" labelOnly="1" outline="0" fieldPosition="0">
        <references count="7">
          <reference field="0" count="1" selected="0">
            <x v="14"/>
          </reference>
          <reference field="5" count="1">
            <x v="7565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903">
      <pivotArea dataOnly="0" labelOnly="1" outline="0" fieldPosition="0">
        <references count="7">
          <reference field="0" count="1" selected="0">
            <x v="14"/>
          </reference>
          <reference field="5" count="1">
            <x v="756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902">
      <pivotArea dataOnly="0" labelOnly="1" outline="0" fieldPosition="0">
        <references count="7">
          <reference field="0" count="1" selected="0">
            <x v="14"/>
          </reference>
          <reference field="5" count="2">
            <x v="5943"/>
            <x v="656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901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2900">
      <pivotArea dataOnly="0" labelOnly="1" outline="0" fieldPosition="0">
        <references count="7">
          <reference field="0" count="1" selected="0">
            <x v="14"/>
          </reference>
          <reference field="5" count="1">
            <x v="7553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899">
      <pivotArea dataOnly="0" labelOnly="1" outline="0" fieldPosition="0">
        <references count="7">
          <reference field="0" count="1" selected="0">
            <x v="15"/>
          </reference>
          <reference field="5" count="1">
            <x v="7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898">
      <pivotArea dataOnly="0" labelOnly="1" outline="0" fieldPosition="0">
        <references count="7">
          <reference field="0" count="1" selected="0">
            <x v="15"/>
          </reference>
          <reference field="5" count="1"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897">
      <pivotArea dataOnly="0" labelOnly="1" outline="0" fieldPosition="0">
        <references count="7">
          <reference field="0" count="1" selected="0">
            <x v="15"/>
          </reference>
          <reference field="5" count="1">
            <x v="755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2896">
      <pivotArea dataOnly="0" labelOnly="1" outline="0" fieldPosition="0">
        <references count="7">
          <reference field="0" count="1" selected="0">
            <x v="15"/>
          </reference>
          <reference field="5" count="1">
            <x v="7539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89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63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8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8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8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7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8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8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8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8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8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8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8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8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88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9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88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7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88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88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9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87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3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87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6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8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8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8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8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8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8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8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8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8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8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8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8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8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8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8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63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862">
      <pivotArea dataOnly="0" labelOnly="1" outline="0" fieldPosition="0">
        <references count="9">
          <reference field="0" count="1" selected="0">
            <x v="14"/>
          </reference>
          <reference field="3" count="1">
            <x v="7475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861">
      <pivotArea dataOnly="0" labelOnly="1" outline="0" fieldPosition="0">
        <references count="9">
          <reference field="0" count="1" selected="0">
            <x v="7"/>
          </reference>
          <reference field="3" count="1">
            <x v="7554"/>
          </reference>
          <reference field="5" count="1" selected="0">
            <x v="75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860">
      <pivotArea dataOnly="0" labelOnly="1" outline="0" fieldPosition="0">
        <references count="9">
          <reference field="0" count="1" selected="0">
            <x v="7"/>
          </reference>
          <reference field="3" count="1">
            <x v="7550"/>
          </reference>
          <reference field="5" count="1" selected="0">
            <x v="27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859">
      <pivotArea dataOnly="0" labelOnly="1" outline="0" fieldPosition="0">
        <references count="9">
          <reference field="0" count="1" selected="0">
            <x v="7"/>
          </reference>
          <reference field="3" count="1">
            <x v="7549"/>
          </reference>
          <reference field="5" count="1" selected="0">
            <x v="667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858">
      <pivotArea dataOnly="0" labelOnly="1" outline="0" fieldPosition="0">
        <references count="9">
          <reference field="0" count="1" selected="0">
            <x v="7"/>
          </reference>
          <reference field="3" count="1">
            <x v="7561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857">
      <pivotArea dataOnly="0" labelOnly="1" outline="0" fieldPosition="0">
        <references count="9">
          <reference field="0" count="1" selected="0">
            <x v="7"/>
          </reference>
          <reference field="3" count="1">
            <x v="7556"/>
          </reference>
          <reference field="5" count="1" selected="0">
            <x v="75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856">
      <pivotArea dataOnly="0" labelOnly="1" outline="0" fieldPosition="0">
        <references count="9">
          <reference field="0" count="1" selected="0">
            <x v="7"/>
          </reference>
          <reference field="3" count="1">
            <x v="7557"/>
          </reference>
          <reference field="5" count="1" selected="0">
            <x v="75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855">
      <pivotArea dataOnly="0" labelOnly="1" outline="0" fieldPosition="0">
        <references count="9">
          <reference field="0" count="1" selected="0">
            <x v="7"/>
          </reference>
          <reference field="3" count="1">
            <x v="7551"/>
          </reference>
          <reference field="5" count="1" selected="0">
            <x v="18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854">
      <pivotArea dataOnly="0" labelOnly="1" outline="0" fieldPosition="0">
        <references count="9">
          <reference field="0" count="1" selected="0">
            <x v="7"/>
          </reference>
          <reference field="3" count="1">
            <x v="7564"/>
          </reference>
          <reference field="5" count="1" selected="0">
            <x v="75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853">
      <pivotArea dataOnly="0" labelOnly="1" outline="0" fieldPosition="0">
        <references count="9">
          <reference field="0" count="1" selected="0">
            <x v="7"/>
          </reference>
          <reference field="3" count="1">
            <x v="7559"/>
          </reference>
          <reference field="5" count="1" selected="0">
            <x v="75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852">
      <pivotArea dataOnly="0" labelOnly="1" outline="0" fieldPosition="0">
        <references count="9">
          <reference field="0" count="1" selected="0">
            <x v="7"/>
          </reference>
          <reference field="3" count="1">
            <x v="7552"/>
          </reference>
          <reference field="5" count="1" selected="0">
            <x v="75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851">
      <pivotArea dataOnly="0" labelOnly="1" outline="0" fieldPosition="0">
        <references count="9">
          <reference field="0" count="1" selected="0">
            <x v="7"/>
          </reference>
          <reference field="3" count="1">
            <x v="7563"/>
          </reference>
          <reference field="5" count="1" selected="0">
            <x v="75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850">
      <pivotArea dataOnly="0" labelOnly="1" outline="0" fieldPosition="0">
        <references count="9">
          <reference field="0" count="1" selected="0">
            <x v="7"/>
          </reference>
          <reference field="3" count="1">
            <x v="7565"/>
          </reference>
          <reference field="5" count="1" selected="0">
            <x v="75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849">
      <pivotArea dataOnly="0" labelOnly="1" outline="0" fieldPosition="0">
        <references count="9">
          <reference field="0" count="1" selected="0">
            <x v="7"/>
          </reference>
          <reference field="3" count="1">
            <x v="7558"/>
          </reference>
          <reference field="5" count="1" selected="0">
            <x v="75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848">
      <pivotArea dataOnly="0" labelOnly="1" outline="0" fieldPosition="0">
        <references count="9">
          <reference field="0" count="1" selected="0">
            <x v="7"/>
          </reference>
          <reference field="3" count="1">
            <x v="7560"/>
          </reference>
          <reference field="5" count="1" selected="0">
            <x v="75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847">
      <pivotArea dataOnly="0" labelOnly="1" outline="0" fieldPosition="0">
        <references count="9">
          <reference field="0" count="1" selected="0">
            <x v="7"/>
          </reference>
          <reference field="3" count="1">
            <x v="7555"/>
          </reference>
          <reference field="5" count="1" selected="0">
            <x v="75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846">
      <pivotArea dataOnly="0" labelOnly="1" outline="0" fieldPosition="0">
        <references count="9">
          <reference field="0" count="1" selected="0">
            <x v="7"/>
          </reference>
          <reference field="3" count="1">
            <x v="7562"/>
          </reference>
          <reference field="5" count="1" selected="0">
            <x v="75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845">
      <pivotArea dataOnly="0" labelOnly="1" outline="0" fieldPosition="0">
        <references count="9">
          <reference field="0" count="1" selected="0">
            <x v="7"/>
          </reference>
          <reference field="3" count="1">
            <x v="7568"/>
          </reference>
          <reference field="5" count="1" selected="0">
            <x v="75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844">
      <pivotArea dataOnly="0" labelOnly="1" outline="0" fieldPosition="0">
        <references count="9">
          <reference field="0" count="1" selected="0">
            <x v="7"/>
          </reference>
          <reference field="3" count="1">
            <x v="7566"/>
          </reference>
          <reference field="5" count="1" selected="0">
            <x v="75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843">
      <pivotArea dataOnly="0" labelOnly="1" outline="0" fieldPosition="0">
        <references count="9">
          <reference field="0" count="1" selected="0">
            <x v="7"/>
          </reference>
          <reference field="3" count="1">
            <x v="7567"/>
          </reference>
          <reference field="5" count="1" selected="0">
            <x v="75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842">
      <pivotArea dataOnly="0" labelOnly="1" outline="0" fieldPosition="0">
        <references count="9">
          <reference field="0" count="1" selected="0">
            <x v="10"/>
          </reference>
          <reference field="3" count="1">
            <x v="7353"/>
          </reference>
          <reference field="5" count="1" selected="0">
            <x v="49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841">
      <pivotArea dataOnly="0" labelOnly="1" outline="0" fieldPosition="0">
        <references count="9">
          <reference field="0" count="1" selected="0">
            <x v="10"/>
          </reference>
          <reference field="3" count="1">
            <x v="7351"/>
          </reference>
          <reference field="5" count="1" selected="0">
            <x v="57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2840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7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839">
      <pivotArea dataOnly="0" labelOnly="1" outline="0" fieldPosition="0">
        <references count="9">
          <reference field="0" count="1" selected="0">
            <x v="10"/>
          </reference>
          <reference field="3" count="1">
            <x v="7491"/>
          </reference>
          <reference field="5" count="1" selected="0">
            <x v="19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838">
      <pivotArea dataOnly="0" labelOnly="1" outline="0" fieldPosition="0">
        <references count="9">
          <reference field="0" count="1" selected="0">
            <x v="10"/>
          </reference>
          <reference field="3" count="1">
            <x v="7489"/>
          </reference>
          <reference field="5" count="1" selected="0">
            <x v="45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837">
      <pivotArea dataOnly="0" labelOnly="1" outline="0" fieldPosition="0">
        <references count="9">
          <reference field="0" count="1" selected="0">
            <x v="10"/>
          </reference>
          <reference field="3" count="1">
            <x v="7490"/>
          </reference>
          <reference field="5" count="1" selected="0">
            <x v="49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836">
      <pivotArea dataOnly="0" labelOnly="1" outline="0" fieldPosition="0">
        <references count="9">
          <reference field="0" count="1" selected="0">
            <x v="10"/>
          </reference>
          <reference field="3" count="1">
            <x v="7495"/>
          </reference>
          <reference field="5" count="1" selected="0">
            <x v="73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835">
      <pivotArea dataOnly="0" labelOnly="1" outline="0" fieldPosition="0">
        <references count="9">
          <reference field="0" count="1" selected="0">
            <x v="10"/>
          </reference>
          <reference field="3" count="1">
            <x v="7352"/>
          </reference>
          <reference field="5" count="1" selected="0">
            <x v="46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834">
      <pivotArea dataOnly="0" labelOnly="1" outline="0" fieldPosition="0">
        <references count="9">
          <reference field="0" count="1" selected="0">
            <x v="12"/>
          </reference>
          <reference field="3" count="1">
            <x v="7546"/>
          </reference>
          <reference field="5" count="1" selected="0">
            <x v="756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83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8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8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7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83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6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82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5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8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827">
      <pivotArea dataOnly="0" labelOnly="1" outline="0" fieldPosition="0">
        <references count="9">
          <reference field="0" count="1" selected="0">
            <x v="14"/>
          </reference>
          <reference field="3" count="1">
            <x v="7545"/>
          </reference>
          <reference field="5" count="1" selected="0">
            <x v="756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826">
      <pivotArea dataOnly="0" labelOnly="1" outline="0" fieldPosition="0">
        <references count="9">
          <reference field="0" count="1" selected="0">
            <x v="14"/>
          </reference>
          <reference field="3" count="1">
            <x v="7543"/>
          </reference>
          <reference field="5" count="1" selected="0">
            <x v="756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825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756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82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823">
      <pivotArea dataOnly="0" labelOnly="1" outline="0" fieldPosition="0">
        <references count="9">
          <reference field="0" count="1" selected="0">
            <x v="14"/>
          </reference>
          <reference field="3" count="1">
            <x v="7478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822">
      <pivotArea dataOnly="0" labelOnly="1" outline="0" fieldPosition="0">
        <references count="9">
          <reference field="0" count="1" selected="0">
            <x v="14"/>
          </reference>
          <reference field="3" count="1">
            <x v="7480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821">
      <pivotArea dataOnly="0" labelOnly="1" outline="0" fieldPosition="0">
        <references count="9">
          <reference field="0" count="1" selected="0">
            <x v="14"/>
          </reference>
          <reference field="3" count="1">
            <x v="7477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28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81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818">
      <pivotArea dataOnly="0" labelOnly="1" outline="0" fieldPosition="0">
        <references count="9">
          <reference field="0" count="1" selected="0">
            <x v="15"/>
          </reference>
          <reference field="3" count="1">
            <x v="7519"/>
          </reference>
          <reference field="5" count="1" selected="0">
            <x v="7539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81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6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8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5"/>
          </reference>
          <reference field="5" count="1" selected="0">
            <x v="61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8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54"/>
          </reference>
          <reference field="5" count="1" selected="0">
            <x v="75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8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50"/>
          </reference>
          <reference field="5" count="1" selected="0">
            <x v="27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8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56"/>
          </reference>
          <reference field="5" count="1" selected="0">
            <x v="75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8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64"/>
          </reference>
          <reference field="5" count="1" selected="0">
            <x v="75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8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59"/>
          </reference>
          <reference field="5" count="1" selected="0">
            <x v="75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8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65"/>
          </reference>
          <reference field="5" count="1" selected="0">
            <x v="7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8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58"/>
          </reference>
          <reference field="5" count="1" selected="0">
            <x v="75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8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62"/>
          </reference>
          <reference field="5" count="1" selected="0">
            <x v="75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8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67"/>
          </reference>
          <reference field="5" count="1" selected="0">
            <x v="7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80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53"/>
          </reference>
          <reference field="5" count="1" selected="0">
            <x v="49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80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74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80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91"/>
          </reference>
          <reference field="5" count="1" selected="0">
            <x v="19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80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90"/>
          </reference>
          <reference field="5" count="1" selected="0">
            <x v="49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80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95"/>
          </reference>
          <reference field="5" count="1" selected="0">
            <x v="73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80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46"/>
          </reference>
          <reference field="5" count="1" selected="0">
            <x v="75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80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79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79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7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7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7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7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5"/>
          </reference>
          <reference field="5" count="1" selected="0">
            <x v="75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7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3"/>
          </reference>
          <reference field="5" count="1" selected="0">
            <x v="75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7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75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7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7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8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7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7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7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19"/>
          </reference>
          <reference field="5" count="1" selected="0">
            <x v="753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786">
      <pivotArea dataOnly="0" labelOnly="1" outline="0" fieldPosition="0">
        <references count="11">
          <reference field="0" count="1" selected="0">
            <x v="7"/>
          </reference>
          <reference field="1" count="1">
            <x v="7335"/>
          </reference>
          <reference field="3" count="1" selected="0">
            <x v="7555"/>
          </reference>
          <reference field="5" count="1" selected="0">
            <x v="75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785">
      <pivotArea dataOnly="0" labelOnly="1" outline="0" fieldPosition="0">
        <references count="11">
          <reference field="0" count="1" selected="0">
            <x v="10"/>
          </reference>
          <reference field="1" count="1">
            <x v="7334"/>
          </reference>
          <reference field="3" count="1" selected="0">
            <x v="7491"/>
          </reference>
          <reference field="5" count="1" selected="0">
            <x v="19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784">
      <pivotArea dataOnly="0" labelOnly="1" outline="0" fieldPosition="0">
        <references count="11">
          <reference field="0" count="1" selected="0">
            <x v="10"/>
          </reference>
          <reference field="1" count="1">
            <x v="7095"/>
          </reference>
          <reference field="3" count="1" selected="0">
            <x v="7352"/>
          </reference>
          <reference field="5" count="1" selected="0">
            <x v="46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783">
      <pivotArea dataOnly="0" labelOnly="1" outline="0" fieldPosition="0">
        <references count="11">
          <reference field="0" count="1" selected="0">
            <x v="12"/>
          </reference>
          <reference field="1" count="1">
            <x v="7333"/>
          </reference>
          <reference field="3" count="1" selected="0">
            <x v="0"/>
          </reference>
          <reference field="5" count="1" selected="0">
            <x v="756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782">
      <pivotArea dataOnly="0" labelOnly="1" outline="0" fieldPosition="0">
        <references count="11">
          <reference field="0" count="1" selected="0">
            <x v="14"/>
          </reference>
          <reference field="1" count="1">
            <x v="7332"/>
          </reference>
          <reference field="3" count="1" selected="0">
            <x v="0"/>
          </reference>
          <reference field="5" count="1" selected="0">
            <x v="75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781">
      <pivotArea dataOnly="0" labelOnly="1" outline="0" fieldPosition="0">
        <references count="11">
          <reference field="0" count="1" selected="0">
            <x v="14"/>
          </reference>
          <reference field="1" count="1">
            <x v="7325"/>
          </reference>
          <reference field="3" count="1" selected="0">
            <x v="0"/>
          </reference>
          <reference field="5" count="1" selected="0">
            <x v="75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780">
      <pivotArea dataOnly="0" labelOnly="1" outline="0" fieldPosition="0">
        <references count="11">
          <reference field="0" count="1" selected="0">
            <x v="14"/>
          </reference>
          <reference field="1" count="1">
            <x v="7330"/>
          </reference>
          <reference field="3" count="1" selected="0">
            <x v="7545"/>
          </reference>
          <reference field="5" count="1" selected="0">
            <x v="75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779">
      <pivotArea dataOnly="0" labelOnly="1" outline="0" fieldPosition="0">
        <references count="11">
          <reference field="0" count="1" selected="0">
            <x v="14"/>
          </reference>
          <reference field="1" count="1">
            <x v="7329"/>
          </reference>
          <reference field="3" count="1" selected="0">
            <x v="7543"/>
          </reference>
          <reference field="5" count="1" selected="0">
            <x v="756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778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78"/>
          </reference>
          <reference field="5" count="1" selected="0">
            <x v="59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777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75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2776">
      <pivotArea outline="0" collapsedLevelsAreSubtotals="1" fieldPosition="0"/>
    </format>
    <format dxfId="12775">
      <pivotArea dataOnly="0" labelOnly="1" outline="0" axis="axisValues" fieldPosition="0"/>
    </format>
    <format dxfId="12774">
      <pivotArea dataOnly="0" outline="0" fieldPosition="0">
        <references count="1">
          <reference field="12" count="0" defaultSubtotal="1"/>
        </references>
      </pivotArea>
    </format>
    <format dxfId="12773">
      <pivotArea outline="0" collapsedLevelsAreSubtotals="1" fieldPosition="0"/>
    </format>
    <format dxfId="12772">
      <pivotArea dataOnly="0" labelOnly="1" outline="0" axis="axisValues" fieldPosition="0"/>
    </format>
    <format dxfId="12771">
      <pivotArea outline="0" collapsedLevelsAreSubtotals="1" fieldPosition="0"/>
    </format>
    <format dxfId="12770">
      <pivotArea dataOnly="0" labelOnly="1" outline="0" axis="axisValues" fieldPosition="0"/>
    </format>
    <format dxfId="12769">
      <pivotArea dataOnly="0" labelOnly="1" outline="0" axis="axisValues" fieldPosition="0"/>
    </format>
    <format dxfId="12768">
      <pivotArea outline="0" collapsedLevelsAreSubtotals="1" fieldPosition="0"/>
    </format>
    <format dxfId="12767">
      <pivotArea field="12" type="button" dataOnly="0" labelOnly="1" outline="0" axis="axisRow" fieldPosition="2"/>
    </format>
    <format dxfId="12766">
      <pivotArea field="10" type="button" dataOnly="0" labelOnly="1" outline="0" axis="axisRow" fieldPosition="3"/>
    </format>
    <format dxfId="12765">
      <pivotArea field="16" type="button" dataOnly="0" labelOnly="1" outline="0" axis="axisRow" fieldPosition="4"/>
    </format>
    <format dxfId="12764">
      <pivotArea field="18" type="button" dataOnly="0" labelOnly="1" outline="0" axis="axisRow" fieldPosition="5"/>
    </format>
    <format dxfId="12763">
      <pivotArea field="5" type="button" dataOnly="0" labelOnly="1" outline="0" axis="axisRow" fieldPosition="6"/>
    </format>
    <format dxfId="12762">
      <pivotArea field="9" type="button" dataOnly="0" labelOnly="1" outline="0" axis="axisRow" fieldPosition="7"/>
    </format>
    <format dxfId="12761">
      <pivotArea field="3" type="button" dataOnly="0" labelOnly="1" outline="0" axis="axisRow" fieldPosition="8"/>
    </format>
    <format dxfId="12760">
      <pivotArea field="7" type="button" dataOnly="0" labelOnly="1" outline="0" axis="axisRow" fieldPosition="9"/>
    </format>
    <format dxfId="12759">
      <pivotArea field="1" type="button" dataOnly="0" labelOnly="1" outline="0" axis="axisRow" fieldPosition="10"/>
    </format>
    <format dxfId="12758">
      <pivotArea dataOnly="0" labelOnly="1" outline="0" axis="axisValues" fieldPosition="0"/>
    </format>
    <format dxfId="12757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0"/>
          </reference>
        </references>
      </pivotArea>
    </format>
    <format dxfId="1275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0"/>
          </reference>
        </references>
      </pivotArea>
    </format>
    <format dxfId="1275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75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753">
      <pivotArea dataOnly="0" labelOnly="1" outline="0" fieldPosition="0">
        <references count="3">
          <reference field="0" count="1" selected="0">
            <x v="14"/>
          </reference>
          <reference field="12" count="5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12752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12751">
      <pivotArea dataOnly="0" labelOnly="1" outline="0" fieldPosition="0">
        <references count="3">
          <reference field="0" count="1" selected="0">
            <x v="2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2750">
      <pivotArea dataOnly="0" labelOnly="1" outline="0" fieldPosition="0">
        <references count="3">
          <reference field="0" count="1" selected="0">
            <x v="2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274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74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74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74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745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12744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1274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74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7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274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2"/>
            <x v="15"/>
            <x v="34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73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73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127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27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273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1273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73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73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73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73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72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72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72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72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2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2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2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7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7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72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7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7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717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27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7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271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27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71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71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70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7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27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7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7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7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7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70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0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0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9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9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9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9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9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9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9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6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7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6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26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26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6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26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26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74"/>
            <x v="114"/>
          </reference>
        </references>
      </pivotArea>
    </format>
    <format dxfId="126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6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6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6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66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66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1266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266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1266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1266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66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65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65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126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6"/>
          </reference>
        </references>
      </pivotArea>
    </format>
    <format dxfId="126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6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6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26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2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12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26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26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6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2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2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2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2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2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26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126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9"/>
          </reference>
        </references>
      </pivotArea>
    </format>
    <format dxfId="126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26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2634">
      <pivotArea dataOnly="0" labelOnly="1" outline="0" fieldPosition="0">
        <references count="7">
          <reference field="0" count="1" selected="0">
            <x v="7"/>
          </reference>
          <reference field="5" count="1">
            <x v="758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633">
      <pivotArea dataOnly="0" labelOnly="1" outline="0" fieldPosition="0">
        <references count="7">
          <reference field="0" count="1" selected="0">
            <x v="13"/>
          </reference>
          <reference field="5" count="1">
            <x v="4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632">
      <pivotArea dataOnly="0" labelOnly="1" outline="0" fieldPosition="0">
        <references count="7">
          <reference field="0" count="1" selected="0">
            <x v="13"/>
          </reference>
          <reference field="5" count="1">
            <x v="259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631">
      <pivotArea dataOnly="0" labelOnly="1" outline="0" fieldPosition="0">
        <references count="7">
          <reference field="0" count="1" selected="0">
            <x v="14"/>
          </reference>
          <reference field="5" count="1">
            <x v="7500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630">
      <pivotArea dataOnly="0" labelOnly="1" outline="0" fieldPosition="0">
        <references count="7">
          <reference field="0" count="1" selected="0">
            <x v="14"/>
          </reference>
          <reference field="5" count="1">
            <x v="755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629">
      <pivotArea dataOnly="0" labelOnly="1" outline="0" fieldPosition="0">
        <references count="7">
          <reference field="0" count="1" selected="0">
            <x v="14"/>
          </reference>
          <reference field="5" count="1">
            <x v="716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628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627">
      <pivotArea dataOnly="0" labelOnly="1" outline="0" fieldPosition="0">
        <references count="7">
          <reference field="0" count="1" selected="0">
            <x v="14"/>
          </reference>
          <reference field="5" count="1">
            <x v="235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626">
      <pivotArea dataOnly="0" labelOnly="1" outline="0" fieldPosition="0">
        <references count="7">
          <reference field="0" count="1" selected="0">
            <x v="2"/>
          </reference>
          <reference field="5" count="1">
            <x v="196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2625">
      <pivotArea dataOnly="0" labelOnly="1" outline="0" fieldPosition="0">
        <references count="7">
          <reference field="0" count="1" selected="0">
            <x v="2"/>
          </reference>
          <reference field="5" count="1">
            <x v="750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624">
      <pivotArea dataOnly="0" labelOnly="1" outline="0" fieldPosition="0">
        <references count="7">
          <reference field="0" count="1" selected="0">
            <x v="2"/>
          </reference>
          <reference field="5" count="1">
            <x v="43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2623">
      <pivotArea dataOnly="0" labelOnly="1" outline="0" fieldPosition="0">
        <references count="7">
          <reference field="0" count="1" selected="0">
            <x v="2"/>
          </reference>
          <reference field="5" count="1">
            <x v="600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622">
      <pivotArea dataOnly="0" labelOnly="1" outline="0" fieldPosition="0">
        <references count="7">
          <reference field="0" count="1" selected="0">
            <x v="2"/>
          </reference>
          <reference field="5" count="1">
            <x v="753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621">
      <pivotArea dataOnly="0" labelOnly="1" outline="0" fieldPosition="0">
        <references count="7">
          <reference field="0" count="1" selected="0">
            <x v="12"/>
          </reference>
          <reference field="5" count="1">
            <x v="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620">
      <pivotArea dataOnly="0" labelOnly="1" outline="0" fieldPosition="0">
        <references count="7">
          <reference field="0" count="1" selected="0">
            <x v="12"/>
          </reference>
          <reference field="5" count="1">
            <x v="758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619">
      <pivotArea dataOnly="0" labelOnly="1" outline="0" fieldPosition="0">
        <references count="7">
          <reference field="0" count="1" selected="0">
            <x v="13"/>
          </reference>
          <reference field="5" count="1">
            <x v="75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618">
      <pivotArea dataOnly="0" labelOnly="1" outline="0" fieldPosition="0">
        <references count="7">
          <reference field="0" count="1" selected="0">
            <x v="13"/>
          </reference>
          <reference field="5" count="1">
            <x v="74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17">
      <pivotArea dataOnly="0" labelOnly="1" outline="0" fieldPosition="0">
        <references count="7">
          <reference field="0" count="1" selected="0">
            <x v="13"/>
          </reference>
          <reference field="5" count="1"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616">
      <pivotArea dataOnly="0" labelOnly="1" outline="0" fieldPosition="0">
        <references count="7">
          <reference field="0" count="1" selected="0">
            <x v="14"/>
          </reference>
          <reference field="5" count="1">
            <x v="755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615">
      <pivotArea dataOnly="0" labelOnly="1" outline="0" fieldPosition="0">
        <references count="7">
          <reference field="0" count="1" selected="0">
            <x v="14"/>
          </reference>
          <reference field="5" count="1">
            <x v="75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614">
      <pivotArea dataOnly="0" labelOnly="1" outline="0" fieldPosition="0">
        <references count="7">
          <reference field="0" count="1" selected="0">
            <x v="14"/>
          </reference>
          <reference field="5" count="1">
            <x v="3433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2613">
      <pivotArea dataOnly="0" labelOnly="1" outline="0" fieldPosition="0">
        <references count="7">
          <reference field="0" count="1" selected="0">
            <x v="14"/>
          </reference>
          <reference field="5" count="1">
            <x v="2130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612">
      <pivotArea dataOnly="0" labelOnly="1" outline="0" fieldPosition="0">
        <references count="7">
          <reference field="0" count="1" selected="0">
            <x v="14"/>
          </reference>
          <reference field="5" count="1">
            <x v="3988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611">
      <pivotArea dataOnly="0" labelOnly="1" outline="0" fieldPosition="0">
        <references count="7">
          <reference field="0" count="1" selected="0">
            <x v="14"/>
          </reference>
          <reference field="5" count="1">
            <x v="756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610">
      <pivotArea dataOnly="0" labelOnly="1" outline="0" fieldPosition="0">
        <references count="7">
          <reference field="0" count="1" selected="0">
            <x v="14"/>
          </reference>
          <reference field="5" count="1">
            <x v="4792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609">
      <pivotArea dataOnly="0" labelOnly="1" outline="0" fieldPosition="0">
        <references count="7">
          <reference field="0" count="1" selected="0">
            <x v="14"/>
          </reference>
          <reference field="5" count="2">
            <x v="5943"/>
            <x v="656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608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2607">
      <pivotArea dataOnly="0" labelOnly="1" outline="0" fieldPosition="0">
        <references count="7">
          <reference field="0" count="1" selected="0">
            <x v="15"/>
          </reference>
          <reference field="5" count="1">
            <x v="7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606">
      <pivotArea dataOnly="0" labelOnly="1" outline="0" fieldPosition="0">
        <references count="7">
          <reference field="0" count="1" selected="0">
            <x v="15"/>
          </reference>
          <reference field="5" count="1"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605">
      <pivotArea dataOnly="0" labelOnly="1" outline="0" fieldPosition="0">
        <references count="7">
          <reference field="0" count="1" selected="0">
            <x v="15"/>
          </reference>
          <reference field="5" count="2">
            <x v="4673"/>
            <x v="755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2604">
      <pivotArea dataOnly="0" labelOnly="1" outline="0" fieldPosition="0">
        <references count="7">
          <reference field="0" count="1" selected="0">
            <x v="15"/>
          </reference>
          <reference field="5" count="1">
            <x v="7539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6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6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6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6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5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5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59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9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259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59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259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0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9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59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9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8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5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5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5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5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3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25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30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5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5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5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9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5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5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579">
      <pivotArea dataOnly="0" labelOnly="1" outline="0" fieldPosition="0">
        <references count="9">
          <reference field="0" count="1" selected="0">
            <x v="7"/>
          </reference>
          <reference field="3" count="1">
            <x v="7575"/>
          </reference>
          <reference field="5" count="1" selected="0">
            <x v="75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57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0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5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576">
      <pivotArea dataOnly="0" labelOnly="1" outline="0" fieldPosition="0">
        <references count="9">
          <reference field="0" count="1" selected="0">
            <x v="14"/>
          </reference>
          <reference field="3" count="1">
            <x v="7475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575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235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57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257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572">
      <pivotArea dataOnly="0" labelOnly="1" outline="0" fieldPosition="0">
        <references count="9">
          <reference field="0" count="1" selected="0">
            <x v="2"/>
          </reference>
          <reference field="3" count="1">
            <x v="7509"/>
          </reference>
          <reference field="5" count="1" selected="0">
            <x v="43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2571">
      <pivotArea dataOnly="0" labelOnly="1" outline="0" fieldPosition="0">
        <references count="9">
          <reference field="0" count="1" selected="0">
            <x v="2"/>
          </reference>
          <reference field="3" count="1">
            <x v="7508"/>
          </reference>
          <reference field="5" count="1" selected="0">
            <x v="60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7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56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6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56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49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6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5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5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564">
      <pivotArea dataOnly="0" labelOnly="1" outline="0" fieldPosition="0">
        <references count="9">
          <reference field="0" count="1" selected="0">
            <x v="14"/>
          </reference>
          <reference field="3" count="1">
            <x v="7517"/>
          </reference>
          <reference field="5" count="1" selected="0">
            <x v="343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2563">
      <pivotArea dataOnly="0" labelOnly="1" outline="0" fieldPosition="0">
        <references count="9">
          <reference field="0" count="1" selected="0">
            <x v="14"/>
          </reference>
          <reference field="3" count="1">
            <x v="5820"/>
          </reference>
          <reference field="5" count="1" selected="0">
            <x v="2130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562">
      <pivotArea dataOnly="0" labelOnly="1" outline="0" fieldPosition="0">
        <references count="9">
          <reference field="0" count="1" selected="0">
            <x v="14"/>
          </reference>
          <reference field="3" count="1">
            <x v="7540"/>
          </reference>
          <reference field="5" count="1" selected="0">
            <x v="398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561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479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560">
      <pivotArea dataOnly="0" labelOnly="1" outline="0" fieldPosition="0">
        <references count="9">
          <reference field="0" count="1" selected="0">
            <x v="14"/>
          </reference>
          <reference field="3" count="1">
            <x v="7478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559">
      <pivotArea dataOnly="0" labelOnly="1" outline="0" fieldPosition="0">
        <references count="9">
          <reference field="0" count="1" selected="0">
            <x v="14"/>
          </reference>
          <reference field="3" count="1">
            <x v="7480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558">
      <pivotArea dataOnly="0" labelOnly="1" outline="0" fieldPosition="0">
        <references count="9">
          <reference field="0" count="1" selected="0">
            <x v="14"/>
          </reference>
          <reference field="3" count="1">
            <x v="7477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255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56">
      <pivotArea dataOnly="0" labelOnly="1" outline="0" fieldPosition="0">
        <references count="9">
          <reference field="0" count="1" selected="0">
            <x v="15"/>
          </reference>
          <reference field="3" count="1">
            <x v="7519"/>
          </reference>
          <reference field="5" count="1" selected="0">
            <x v="7539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5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75"/>
          </reference>
          <reference field="5" count="1" selected="0">
            <x v="75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5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0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5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5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5"/>
          </reference>
          <reference field="5" count="1" selected="0">
            <x v="61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5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4"/>
          </reference>
          <reference field="5" count="1" selected="0">
            <x v="23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55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6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254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0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54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09"/>
          </reference>
          <reference field="5" count="1" selected="0">
            <x v="43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254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08"/>
          </reference>
          <reference field="5" count="1" selected="0">
            <x v="60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4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3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54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4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54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5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5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7"/>
          </reference>
          <reference field="5" count="1" selected="0">
            <x v="34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25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820"/>
          </reference>
          <reference field="5" count="1" selected="0">
            <x v="21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5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0"/>
          </reference>
          <reference field="5" count="1" selected="0">
            <x v="39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5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2"/>
          </reference>
          <reference field="5" count="1" selected="0">
            <x v="47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5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8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5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19"/>
          </reference>
          <reference field="5" count="1" selected="0">
            <x v="753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533">
      <pivotArea dataOnly="0" labelOnly="1" outline="0" fieldPosition="0">
        <references count="11">
          <reference field="0" count="1" selected="0">
            <x v="7"/>
          </reference>
          <reference field="1" count="1">
            <x v="7343"/>
          </reference>
          <reference field="3" count="1" selected="0">
            <x v="7575"/>
          </reference>
          <reference field="5" count="1" selected="0">
            <x v="75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532">
      <pivotArea dataOnly="0" labelOnly="1" outline="0" fieldPosition="0">
        <references count="11">
          <reference field="0" count="1" selected="0">
            <x v="14"/>
          </reference>
          <reference field="1" count="1">
            <x v="7340"/>
          </reference>
          <reference field="3" count="1" selected="0">
            <x v="0"/>
          </reference>
          <reference field="5" count="1" selected="0">
            <x v="75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531">
      <pivotArea dataOnly="0" labelOnly="1" outline="0" fieldPosition="0">
        <references count="11">
          <reference field="0" count="1" selected="0">
            <x v="14"/>
          </reference>
          <reference field="1" count="1">
            <x v="7341"/>
          </reference>
          <reference field="3" count="1" selected="0">
            <x v="2"/>
          </reference>
          <reference field="5" count="1" selected="0">
            <x v="75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530">
      <pivotArea dataOnly="0" labelOnly="1" outline="0" fieldPosition="0">
        <references count="11">
          <reference field="0" count="1" selected="0">
            <x v="2"/>
          </reference>
          <reference field="1" count="1">
            <x v="7280"/>
          </reference>
          <reference field="3" count="1" selected="0">
            <x v="0"/>
          </reference>
          <reference field="5" count="1" selected="0">
            <x v="196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2529">
      <pivotArea dataOnly="0" labelOnly="1" outline="0" fieldPosition="0">
        <references count="11">
          <reference field="0" count="1" selected="0">
            <x v="2"/>
          </reference>
          <reference field="1" count="1">
            <x v="7344"/>
          </reference>
          <reference field="3" count="1" selected="0">
            <x v="0"/>
          </reference>
          <reference field="5" count="1" selected="0">
            <x v="750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528">
      <pivotArea dataOnly="0" labelOnly="1" outline="0" fieldPosition="0">
        <references count="11">
          <reference field="0" count="1" selected="0">
            <x v="2"/>
          </reference>
          <reference field="1" count="1">
            <x v="7282"/>
          </reference>
          <reference field="3" count="1" selected="0">
            <x v="7509"/>
          </reference>
          <reference field="5" count="1" selected="0">
            <x v="43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2527">
      <pivotArea dataOnly="0" labelOnly="1" outline="0" fieldPosition="0">
        <references count="11">
          <reference field="0" count="1" selected="0">
            <x v="2"/>
          </reference>
          <reference field="1" count="1">
            <x v="7281"/>
          </reference>
          <reference field="3" count="1" selected="0">
            <x v="0"/>
          </reference>
          <reference field="5" count="1" selected="0">
            <x v="753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526">
      <pivotArea dataOnly="0" labelOnly="1" outline="0" fieldPosition="0">
        <references count="11">
          <reference field="0" count="1" selected="0">
            <x v="14"/>
          </reference>
          <reference field="1" count="1">
            <x v="7325"/>
          </reference>
          <reference field="3" count="1" selected="0">
            <x v="0"/>
          </reference>
          <reference field="5" count="1" selected="0">
            <x v="75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525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78"/>
          </reference>
          <reference field="5" count="1" selected="0">
            <x v="59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524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75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2523">
      <pivotArea outline="0" collapsedLevelsAreSubtotals="1" fieldPosition="0"/>
    </format>
    <format dxfId="12522">
      <pivotArea dataOnly="0" labelOnly="1" outline="0" axis="axisValues" fieldPosition="0"/>
    </format>
    <format dxfId="12521">
      <pivotArea dataOnly="0" outline="0" fieldPosition="0">
        <references count="1">
          <reference field="12" count="0" defaultSubtotal="1"/>
        </references>
      </pivotArea>
    </format>
    <format dxfId="12520">
      <pivotArea outline="0" collapsedLevelsAreSubtotals="1" fieldPosition="0"/>
    </format>
    <format dxfId="12519">
      <pivotArea dataOnly="0" labelOnly="1" outline="0" axis="axisValues" fieldPosition="0"/>
    </format>
    <format dxfId="12518">
      <pivotArea outline="0" collapsedLevelsAreSubtotals="1" fieldPosition="0"/>
    </format>
    <format dxfId="12517">
      <pivotArea dataOnly="0" labelOnly="1" outline="0" axis="axisValues" fieldPosition="0"/>
    </format>
    <format dxfId="12516">
      <pivotArea dataOnly="0" labelOnly="1" outline="0" axis="axisValues" fieldPosition="0"/>
    </format>
    <format dxfId="12515">
      <pivotArea outline="0" collapsedLevelsAreSubtotals="1" fieldPosition="0"/>
    </format>
    <format dxfId="12514">
      <pivotArea field="12" type="button" dataOnly="0" labelOnly="1" outline="0" axis="axisRow" fieldPosition="2"/>
    </format>
    <format dxfId="12513">
      <pivotArea field="10" type="button" dataOnly="0" labelOnly="1" outline="0" axis="axisRow" fieldPosition="3"/>
    </format>
    <format dxfId="12512">
      <pivotArea field="16" type="button" dataOnly="0" labelOnly="1" outline="0" axis="axisRow" fieldPosition="4"/>
    </format>
    <format dxfId="12511">
      <pivotArea field="18" type="button" dataOnly="0" labelOnly="1" outline="0" axis="axisRow" fieldPosition="5"/>
    </format>
    <format dxfId="12510">
      <pivotArea field="5" type="button" dataOnly="0" labelOnly="1" outline="0" axis="axisRow" fieldPosition="6"/>
    </format>
    <format dxfId="12509">
      <pivotArea field="9" type="button" dataOnly="0" labelOnly="1" outline="0" axis="axisRow" fieldPosition="7"/>
    </format>
    <format dxfId="12508">
      <pivotArea field="3" type="button" dataOnly="0" labelOnly="1" outline="0" axis="axisRow" fieldPosition="8"/>
    </format>
    <format dxfId="12507">
      <pivotArea field="7" type="button" dataOnly="0" labelOnly="1" outline="0" axis="axisRow" fieldPosition="9"/>
    </format>
    <format dxfId="12506">
      <pivotArea field="1" type="button" dataOnly="0" labelOnly="1" outline="0" axis="axisRow" fieldPosition="10"/>
    </format>
    <format dxfId="12505">
      <pivotArea dataOnly="0" labelOnly="1" outline="0" axis="axisValues" fieldPosition="0"/>
    </format>
    <format dxfId="12504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250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2502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2501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250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249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249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49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49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49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494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12493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1249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49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4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248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48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48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48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85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8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8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4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4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4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4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47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47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47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47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247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247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47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4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46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46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4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4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4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4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4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4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24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24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24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24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245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4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245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42"/>
          </reference>
        </references>
      </pivotArea>
    </format>
    <format dxfId="1245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2"/>
          </reference>
        </references>
      </pivotArea>
    </format>
    <format dxfId="124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245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24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124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4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124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24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124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4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4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24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4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24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24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4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4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24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24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4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5"/>
            <x v="36"/>
            <x v="39"/>
            <x v="41"/>
            <x v="58"/>
          </reference>
        </references>
      </pivotArea>
    </format>
    <format dxfId="124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124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7"/>
          </reference>
        </references>
      </pivotArea>
    </format>
    <format dxfId="12432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431">
      <pivotArea dataOnly="0" labelOnly="1" outline="0" fieldPosition="0">
        <references count="7">
          <reference field="0" count="1" selected="0">
            <x v="0"/>
          </reference>
          <reference field="5" count="1">
            <x v="566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430">
      <pivotArea dataOnly="0" labelOnly="1" outline="0" fieldPosition="0">
        <references count="7">
          <reference field="0" count="1" selected="0">
            <x v="0"/>
          </reference>
          <reference field="5" count="1">
            <x v="596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2429">
      <pivotArea dataOnly="0" labelOnly="1" outline="0" fieldPosition="0">
        <references count="7">
          <reference field="0" count="1" selected="0">
            <x v="0"/>
          </reference>
          <reference field="5" count="1">
            <x v="201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428">
      <pivotArea dataOnly="0" labelOnly="1" outline="0" fieldPosition="0">
        <references count="7">
          <reference field="0" count="1" selected="0">
            <x v="0"/>
          </reference>
          <reference field="5" count="1">
            <x v="227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2427">
      <pivotArea dataOnly="0" labelOnly="1" outline="0" fieldPosition="0">
        <references count="7">
          <reference field="0" count="1" selected="0">
            <x v="7"/>
          </reference>
          <reference field="5" count="1">
            <x v="213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426">
      <pivotArea dataOnly="0" labelOnly="1" outline="0" fieldPosition="0">
        <references count="7">
          <reference field="0" count="1" selected="0">
            <x v="12"/>
          </reference>
          <reference field="5" count="2">
            <x v="7589"/>
            <x v="759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425">
      <pivotArea dataOnly="0" labelOnly="1" outline="0" fieldPosition="0">
        <references count="7">
          <reference field="0" count="1" selected="0">
            <x v="13"/>
          </reference>
          <reference field="5" count="2">
            <x v="4637"/>
            <x v="75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424">
      <pivotArea dataOnly="0" labelOnly="1" outline="0" fieldPosition="0">
        <references count="7">
          <reference field="0" count="1" selected="0">
            <x v="13"/>
          </reference>
          <reference field="5" count="1">
            <x v="74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423">
      <pivotArea dataOnly="0" labelOnly="1" outline="0" fieldPosition="0">
        <references count="7">
          <reference field="0" count="1" selected="0">
            <x v="13"/>
          </reference>
          <reference field="5" count="2">
            <x v="2593"/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422">
      <pivotArea dataOnly="0" labelOnly="1" outline="0" fieldPosition="0">
        <references count="7">
          <reference field="0" count="1" selected="0">
            <x v="14"/>
          </reference>
          <reference field="5" count="1">
            <x v="433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421">
      <pivotArea dataOnly="0" labelOnly="1" outline="0" fieldPosition="0">
        <references count="7">
          <reference field="0" count="1" selected="0">
            <x v="14"/>
          </reference>
          <reference field="5" count="1">
            <x v="479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420">
      <pivotArea dataOnly="0" labelOnly="1" outline="0" fieldPosition="0">
        <references count="7">
          <reference field="0" count="1" selected="0">
            <x v="14"/>
          </reference>
          <reference field="5" count="1">
            <x v="7432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419">
      <pivotArea dataOnly="0" labelOnly="1" outline="0" fieldPosition="0">
        <references count="7">
          <reference field="0" count="1" selected="0">
            <x v="14"/>
          </reference>
          <reference field="5" count="2">
            <x v="5943"/>
            <x v="656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418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417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416">
      <pivotArea dataOnly="0" labelOnly="1" outline="0" fieldPosition="0">
        <references count="7">
          <reference field="0" count="1" selected="0">
            <x v="15"/>
          </reference>
          <reference field="5" count="1">
            <x v="7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415">
      <pivotArea dataOnly="0" labelOnly="1" outline="0" fieldPosition="0">
        <references count="7">
          <reference field="0" count="1" selected="0">
            <x v="15"/>
          </reference>
          <reference field="5" count="1">
            <x v="75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414">
      <pivotArea dataOnly="0" labelOnly="1" outline="0" fieldPosition="0">
        <references count="7">
          <reference field="0" count="1" selected="0">
            <x v="15"/>
          </reference>
          <reference field="5" count="1"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413">
      <pivotArea dataOnly="0" labelOnly="1" outline="0" fieldPosition="0">
        <references count="7">
          <reference field="0" count="1" selected="0">
            <x v="15"/>
          </reference>
          <reference field="5" count="1">
            <x v="7539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2412">
      <pivotArea dataOnly="0" labelOnly="1" outline="0" fieldPosition="0">
        <references count="7">
          <reference field="0" count="1" selected="0">
            <x v="15"/>
          </reference>
          <reference field="5" count="1">
            <x v="758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4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410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4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40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8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4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4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3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4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9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4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4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4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4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4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399">
      <pivotArea dataOnly="0" labelOnly="1" outline="0" fieldPosition="0">
        <references count="9">
          <reference field="0" count="1" selected="0">
            <x v="14"/>
          </reference>
          <reference field="3" count="1">
            <x v="7475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398">
      <pivotArea dataOnly="0" labelOnly="1" outline="0" fieldPosition="0">
        <references count="9">
          <reference field="0" count="1" selected="0">
            <x v="0"/>
          </reference>
          <reference field="3" count="1">
            <x v="7225"/>
          </reference>
          <reference field="5" count="1" selected="0">
            <x v="56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397">
      <pivotArea dataOnly="0" labelOnly="1" outline="0" fieldPosition="0">
        <references count="9">
          <reference field="0" count="1" selected="0">
            <x v="0"/>
          </reference>
          <reference field="3" count="1">
            <x v="7581"/>
          </reference>
          <reference field="5" count="1" selected="0">
            <x v="59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2396">
      <pivotArea dataOnly="0" labelOnly="1" outline="0" fieldPosition="0">
        <references count="9">
          <reference field="0" count="1" selected="0">
            <x v="0"/>
          </reference>
          <reference field="3" count="1">
            <x v="7224"/>
          </reference>
          <reference field="5" count="1" selected="0">
            <x v="20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395">
      <pivotArea dataOnly="0" labelOnly="1" outline="0" fieldPosition="0">
        <references count="9">
          <reference field="0" count="1" selected="0">
            <x v="0"/>
          </reference>
          <reference field="3" count="1">
            <x v="7426"/>
          </reference>
          <reference field="5" count="1" selected="0">
            <x v="22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2394">
      <pivotArea dataOnly="0" labelOnly="1" outline="0" fieldPosition="0">
        <references count="9">
          <reference field="0" count="1" selected="0">
            <x v="7"/>
          </reference>
          <reference field="3" count="1">
            <x v="7333"/>
          </reference>
          <reference field="5" count="1" selected="0">
            <x v="21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39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8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392">
      <pivotArea dataOnly="0" labelOnly="1" outline="0" fieldPosition="0">
        <references count="9">
          <reference field="0" count="1" selected="0">
            <x v="14"/>
          </reference>
          <reference field="3" count="1">
            <x v="7366"/>
          </reference>
          <reference field="5" count="1" selected="0">
            <x v="433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391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479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39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389">
      <pivotArea dataOnly="0" labelOnly="1" outline="0" fieldPosition="0">
        <references count="9">
          <reference field="0" count="1" selected="0">
            <x v="14"/>
          </reference>
          <reference field="3" count="1">
            <x v="7478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388">
      <pivotArea dataOnly="0" labelOnly="1" outline="0" fieldPosition="0">
        <references count="9">
          <reference field="0" count="1" selected="0">
            <x v="14"/>
          </reference>
          <reference field="3" count="1">
            <x v="7480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387">
      <pivotArea dataOnly="0" labelOnly="1" outline="0" fieldPosition="0">
        <references count="9">
          <reference field="0" count="1" selected="0">
            <x v="14"/>
          </reference>
          <reference field="3" count="1">
            <x v="7477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3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38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384">
      <pivotArea dataOnly="0" labelOnly="1" outline="0" fieldPosition="0">
        <references count="9">
          <reference field="0" count="1" selected="0">
            <x v="15"/>
          </reference>
          <reference field="3" count="1">
            <x v="7500"/>
          </reference>
          <reference field="5" count="1" selected="0">
            <x v="75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383">
      <pivotArea dataOnly="0" labelOnly="1" outline="0" fieldPosition="0">
        <references count="9">
          <reference field="0" count="1" selected="0">
            <x v="15"/>
          </reference>
          <reference field="3" count="1">
            <x v="7519"/>
          </reference>
          <reference field="5" count="1" selected="0">
            <x v="7539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2382">
      <pivotArea dataOnly="0" labelOnly="1" outline="0" fieldPosition="0">
        <references count="9">
          <reference field="0" count="1" selected="0">
            <x v="15"/>
          </reference>
          <reference field="3" count="1">
            <x v="7580"/>
          </reference>
          <reference field="5" count="1" selected="0">
            <x v="758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3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5"/>
          </reference>
          <reference field="5" count="1" selected="0">
            <x v="61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380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225"/>
          </reference>
          <reference field="5" count="1" selected="0">
            <x v="56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3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3"/>
          </reference>
          <reference field="5" count="1" selected="0">
            <x v="21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37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3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6"/>
          </reference>
          <reference field="5" count="1" selected="0">
            <x v="43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3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2"/>
          </reference>
          <reference field="5" count="1" selected="0">
            <x v="47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3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3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8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3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3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3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00"/>
          </reference>
          <reference field="5" count="1" selected="0">
            <x v="75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3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19"/>
          </reference>
          <reference field="5" count="1" selected="0">
            <x v="753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23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0"/>
          </reference>
          <reference field="5" count="1" selected="0">
            <x v="75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368">
      <pivotArea dataOnly="0" labelOnly="1" outline="0" fieldPosition="0">
        <references count="11">
          <reference field="0" count="1" selected="0">
            <x v="0"/>
          </reference>
          <reference field="1" count="1">
            <x v="7351"/>
          </reference>
          <reference field="3" count="1" selected="0">
            <x v="7426"/>
          </reference>
          <reference field="5" count="1" selected="0">
            <x v="22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2367">
      <pivotArea dataOnly="0" labelOnly="1" outline="0" fieldPosition="0">
        <references count="11">
          <reference field="0" count="1" selected="0">
            <x v="7"/>
          </reference>
          <reference field="1" count="1">
            <x v="7350"/>
          </reference>
          <reference field="3" count="1" selected="0">
            <x v="7333"/>
          </reference>
          <reference field="5" count="1" selected="0">
            <x v="21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366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78"/>
          </reference>
          <reference field="5" count="1" selected="0">
            <x v="59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365">
      <pivotArea dataOnly="0" labelOnly="1" outline="0" fieldPosition="0">
        <references count="11">
          <reference field="0" count="1" selected="0">
            <x v="14"/>
          </reference>
          <reference field="1" count="1">
            <x v="7349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364">
      <pivotArea dataOnly="0" labelOnly="1" outline="0" fieldPosition="0">
        <references count="11">
          <reference field="0" count="1" selected="0">
            <x v="15"/>
          </reference>
          <reference field="1" count="1">
            <x v="7348"/>
          </reference>
          <reference field="3" count="1" selected="0">
            <x v="7580"/>
          </reference>
          <reference field="5" count="1" selected="0">
            <x v="758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363">
      <pivotArea outline="0" collapsedLevelsAreSubtotals="1" fieldPosition="0"/>
    </format>
    <format dxfId="12362">
      <pivotArea dataOnly="0" labelOnly="1" outline="0" axis="axisValues" fieldPosition="0"/>
    </format>
    <format dxfId="12361">
      <pivotArea dataOnly="0" outline="0" fieldPosition="0">
        <references count="1">
          <reference field="12" count="0" defaultSubtotal="1"/>
        </references>
      </pivotArea>
    </format>
    <format dxfId="12360">
      <pivotArea outline="0" collapsedLevelsAreSubtotals="1" fieldPosition="0"/>
    </format>
    <format dxfId="12359">
      <pivotArea dataOnly="0" labelOnly="1" outline="0" axis="axisValues" fieldPosition="0"/>
    </format>
    <format dxfId="12358">
      <pivotArea outline="0" collapsedLevelsAreSubtotals="1" fieldPosition="0"/>
    </format>
    <format dxfId="12357">
      <pivotArea dataOnly="0" labelOnly="1" outline="0" axis="axisValues" fieldPosition="0"/>
    </format>
    <format dxfId="12356">
      <pivotArea dataOnly="0" labelOnly="1" outline="0" axis="axisValues" fieldPosition="0"/>
    </format>
    <format dxfId="12355">
      <pivotArea outline="0" collapsedLevelsAreSubtotals="1" fieldPosition="0"/>
    </format>
    <format dxfId="12354">
      <pivotArea field="12" type="button" dataOnly="0" labelOnly="1" outline="0" axis="axisRow" fieldPosition="2"/>
    </format>
    <format dxfId="12353">
      <pivotArea field="10" type="button" dataOnly="0" labelOnly="1" outline="0" axis="axisRow" fieldPosition="3"/>
    </format>
    <format dxfId="12352">
      <pivotArea field="16" type="button" dataOnly="0" labelOnly="1" outline="0" axis="axisRow" fieldPosition="4"/>
    </format>
    <format dxfId="12351">
      <pivotArea field="18" type="button" dataOnly="0" labelOnly="1" outline="0" axis="axisRow" fieldPosition="5"/>
    </format>
    <format dxfId="12350">
      <pivotArea field="5" type="button" dataOnly="0" labelOnly="1" outline="0" axis="axisRow" fieldPosition="6"/>
    </format>
    <format dxfId="12349">
      <pivotArea field="9" type="button" dataOnly="0" labelOnly="1" outline="0" axis="axisRow" fieldPosition="7"/>
    </format>
    <format dxfId="12348">
      <pivotArea field="3" type="button" dataOnly="0" labelOnly="1" outline="0" axis="axisRow" fieldPosition="8"/>
    </format>
    <format dxfId="12347">
      <pivotArea field="7" type="button" dataOnly="0" labelOnly="1" outline="0" axis="axisRow" fieldPosition="9"/>
    </format>
    <format dxfId="12346">
      <pivotArea field="1" type="button" dataOnly="0" labelOnly="1" outline="0" axis="axisRow" fieldPosition="10"/>
    </format>
    <format dxfId="12345">
      <pivotArea dataOnly="0" labelOnly="1" outline="0" axis="axisValues" fieldPosition="0"/>
    </format>
    <format dxfId="1234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34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342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234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2340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233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233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33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33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33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334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2333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233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33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33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3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232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32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32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25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2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2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3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3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32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3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3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3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31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3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23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31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31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231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1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3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0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0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29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9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22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2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22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228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2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122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2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22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2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22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2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2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22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2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2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2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2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2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22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12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2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2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22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9"/>
            <x v="41"/>
            <x v="58"/>
            <x v="130"/>
          </reference>
        </references>
      </pivotArea>
    </format>
    <format dxfId="122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2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122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7"/>
          </reference>
        </references>
      </pivotArea>
    </format>
    <format dxfId="12262">
      <pivotArea dataOnly="0" labelOnly="1" outline="0" fieldPosition="0">
        <references count="7">
          <reference field="0" count="1" selected="0">
            <x v="12"/>
          </reference>
          <reference field="5" count="1">
            <x v="759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261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260">
      <pivotArea dataOnly="0" labelOnly="1" outline="0" fieldPosition="0">
        <references count="7">
          <reference field="0" count="1" selected="0">
            <x v="7"/>
          </reference>
          <reference field="5" count="1">
            <x v="7593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259">
      <pivotArea dataOnly="0" labelOnly="1" outline="0" fieldPosition="0">
        <references count="7">
          <reference field="0" count="1" selected="0">
            <x v="7"/>
          </reference>
          <reference field="5" count="1">
            <x v="213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258">
      <pivotArea dataOnly="0" labelOnly="1" outline="0" fieldPosition="0">
        <references count="7">
          <reference field="0" count="1" selected="0">
            <x v="13"/>
          </reference>
          <reference field="5" count="2">
            <x v="4637"/>
            <x v="75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257">
      <pivotArea dataOnly="0" labelOnly="1" outline="0" fieldPosition="0">
        <references count="7">
          <reference field="0" count="1" selected="0">
            <x v="13"/>
          </reference>
          <reference field="5" count="1">
            <x v="74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256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255">
      <pivotArea dataOnly="0" labelOnly="1" outline="0" fieldPosition="0">
        <references count="7">
          <reference field="0" count="1" selected="0">
            <x v="13"/>
          </reference>
          <reference field="5" count="2">
            <x v="2593"/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254">
      <pivotArea dataOnly="0" labelOnly="1" outline="0" fieldPosition="0">
        <references count="7">
          <reference field="0" count="1" selected="0">
            <x v="14"/>
          </reference>
          <reference field="5" count="1">
            <x v="755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253">
      <pivotArea dataOnly="0" labelOnly="1" outline="0" fieldPosition="0">
        <references count="7">
          <reference field="0" count="1" selected="0">
            <x v="14"/>
          </reference>
          <reference field="5" count="1">
            <x v="433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52">
      <pivotArea dataOnly="0" labelOnly="1" outline="0" fieldPosition="0">
        <references count="7">
          <reference field="0" count="1" selected="0">
            <x v="14"/>
          </reference>
          <reference field="5" count="1">
            <x v="343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251">
      <pivotArea dataOnly="0" labelOnly="1" outline="0" fieldPosition="0">
        <references count="7">
          <reference field="0" count="1" selected="0">
            <x v="14"/>
          </reference>
          <reference field="5" count="1">
            <x v="739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250">
      <pivotArea dataOnly="0" labelOnly="1" outline="0" fieldPosition="0">
        <references count="7">
          <reference field="0" count="1" selected="0">
            <x v="14"/>
          </reference>
          <reference field="5" count="1">
            <x v="377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2249">
      <pivotArea dataOnly="0" labelOnly="1" outline="0" fieldPosition="0">
        <references count="7">
          <reference field="0" count="1" selected="0">
            <x v="14"/>
          </reference>
          <reference field="5" count="2">
            <x v="5943"/>
            <x v="656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248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2247">
      <pivotArea dataOnly="0" labelOnly="1" outline="0" fieldPosition="0">
        <references count="7">
          <reference field="0" count="1" selected="0">
            <x v="14"/>
          </reference>
          <reference field="5" count="1">
            <x v="235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2246">
      <pivotArea dataOnly="0" labelOnly="1" outline="0" fieldPosition="0">
        <references count="7">
          <reference field="0" count="1" selected="0">
            <x v="15"/>
          </reference>
          <reference field="5" count="1">
            <x v="7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245">
      <pivotArea dataOnly="0" labelOnly="1" outline="0" fieldPosition="0">
        <references count="7">
          <reference field="0" count="1" selected="0">
            <x v="15"/>
          </reference>
          <reference field="5" count="1">
            <x v="75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44">
      <pivotArea dataOnly="0" labelOnly="1" outline="0" fieldPosition="0">
        <references count="7">
          <reference field="0" count="1" selected="0">
            <x v="15"/>
          </reference>
          <reference field="5" count="1"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243">
      <pivotArea dataOnly="0" labelOnly="1" outline="0" fieldPosition="0">
        <references count="7">
          <reference field="0" count="1" selected="0">
            <x v="15"/>
          </reference>
          <reference field="5" count="1">
            <x v="38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12242">
      <pivotArea dataOnly="0" labelOnly="1" outline="0" fieldPosition="0">
        <references count="7">
          <reference field="0" count="1" selected="0">
            <x v="15"/>
          </reference>
          <reference field="5" count="1">
            <x v="111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41">
      <pivotArea dataOnly="0" labelOnly="1" outline="0" fieldPosition="0">
        <references count="7">
          <reference field="0" count="1" selected="0">
            <x v="15"/>
          </reference>
          <reference field="5" count="1">
            <x v="7591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224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9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2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2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9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2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2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2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2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3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3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2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2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22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2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5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222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22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22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10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2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9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224">
      <pivotArea dataOnly="0" labelOnly="1" outline="0" fieldPosition="0">
        <references count="9">
          <reference field="0" count="1" selected="0">
            <x v="14"/>
          </reference>
          <reference field="3" count="1">
            <x v="7475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223">
      <pivotArea dataOnly="0" labelOnly="1" outline="0" fieldPosition="0">
        <references count="9">
          <reference field="0" count="1" selected="0">
            <x v="7"/>
          </reference>
          <reference field="3" count="1">
            <x v="7586"/>
          </reference>
          <reference field="5" count="1" selected="0">
            <x v="759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222">
      <pivotArea dataOnly="0" labelOnly="1" outline="0" fieldPosition="0">
        <references count="9">
          <reference field="0" count="1" selected="0">
            <x v="7"/>
          </reference>
          <reference field="3" count="1">
            <x v="7333"/>
          </reference>
          <reference field="5" count="1" selected="0">
            <x v="21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2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220">
      <pivotArea dataOnly="0" labelOnly="1" outline="0" fieldPosition="0">
        <references count="9">
          <reference field="0" count="1" selected="0">
            <x v="14"/>
          </reference>
          <reference field="3" count="1">
            <x v="7366"/>
          </reference>
          <reference field="5" count="1" selected="0">
            <x v="433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19">
      <pivotArea dataOnly="0" labelOnly="1" outline="0" fieldPosition="0">
        <references count="9">
          <reference field="0" count="1" selected="0">
            <x v="14"/>
          </reference>
          <reference field="3" count="1">
            <x v="7517"/>
          </reference>
          <reference field="5" count="1" selected="0">
            <x v="343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218">
      <pivotArea dataOnly="0" labelOnly="1" outline="0" fieldPosition="0">
        <references count="9">
          <reference field="0" count="1" selected="0">
            <x v="14"/>
          </reference>
          <reference field="3" count="1">
            <x v="7526"/>
          </reference>
          <reference field="5" count="1" selected="0">
            <x v="73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217">
      <pivotArea dataOnly="0" labelOnly="1" outline="0" fieldPosition="0">
        <references count="9">
          <reference field="0" count="1" selected="0">
            <x v="14"/>
          </reference>
          <reference field="3" count="1">
            <x v="7522"/>
          </reference>
          <reference field="5" count="1" selected="0">
            <x v="377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2216">
      <pivotArea dataOnly="0" labelOnly="1" outline="0" fieldPosition="0">
        <references count="9">
          <reference field="0" count="1" selected="0">
            <x v="14"/>
          </reference>
          <reference field="3" count="1">
            <x v="7478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215">
      <pivotArea dataOnly="0" labelOnly="1" outline="0" fieldPosition="0">
        <references count="9">
          <reference field="0" count="1" selected="0">
            <x v="14"/>
          </reference>
          <reference field="3" count="1">
            <x v="7480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214">
      <pivotArea dataOnly="0" labelOnly="1" outline="0" fieldPosition="0">
        <references count="9">
          <reference field="0" count="1" selected="0">
            <x v="14"/>
          </reference>
          <reference field="3" count="1">
            <x v="7477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2213">
      <pivotArea dataOnly="0" labelOnly="1" outline="0" fieldPosition="0">
        <references count="9">
          <reference field="0" count="1" selected="0">
            <x v="14"/>
          </reference>
          <reference field="3" count="1">
            <x v="7585"/>
          </reference>
          <reference field="5" count="1" selected="0">
            <x v="235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221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211">
      <pivotArea dataOnly="0" labelOnly="1" outline="0" fieldPosition="0">
        <references count="9">
          <reference field="0" count="1" selected="0">
            <x v="15"/>
          </reference>
          <reference field="3" count="1">
            <x v="7500"/>
          </reference>
          <reference field="5" count="1" selected="0">
            <x v="75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10">
      <pivotArea dataOnly="0" labelOnly="1" outline="0" fieldPosition="0">
        <references count="9">
          <reference field="0" count="1" selected="0">
            <x v="15"/>
          </reference>
          <reference field="3" count="1">
            <x v="7521"/>
          </reference>
          <reference field="5" count="1" selected="0">
            <x v="38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12209">
      <pivotArea dataOnly="0" labelOnly="1" outline="0" fieldPosition="0">
        <references count="9">
          <reference field="0" count="1" selected="0">
            <x v="15"/>
          </reference>
          <reference field="3" count="1">
            <x v="7584"/>
          </reference>
          <reference field="5" count="1" selected="0">
            <x v="111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08">
      <pivotArea dataOnly="0" labelOnly="1" outline="0" fieldPosition="0">
        <references count="9">
          <reference field="0" count="1" selected="0">
            <x v="15"/>
          </reference>
          <reference field="3" count="1">
            <x v="7583"/>
          </reference>
          <reference field="5" count="1" selected="0">
            <x v="759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220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2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5"/>
          </reference>
          <reference field="5" count="1" selected="0">
            <x v="61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2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86"/>
          </reference>
          <reference field="5" count="1" selected="0">
            <x v="759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2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3"/>
          </reference>
          <reference field="5" count="1" selected="0">
            <x v="21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2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2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6"/>
          </reference>
          <reference field="5" count="1" selected="0">
            <x v="43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7"/>
          </reference>
          <reference field="5" count="1" selected="0">
            <x v="34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2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6"/>
          </reference>
          <reference field="5" count="1" selected="0">
            <x v="73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1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2"/>
          </reference>
          <reference field="5" count="1" selected="0">
            <x v="37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21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8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1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5"/>
          </reference>
          <reference field="5" count="1" selected="0">
            <x v="23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21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1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00"/>
          </reference>
          <reference field="5" count="1" selected="0">
            <x v="75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21"/>
          </reference>
          <reference field="5" count="1" selected="0">
            <x v="38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12193">
      <pivotArea dataOnly="0" labelOnly="1" outline="0" fieldPosition="0">
        <references count="11">
          <reference field="0" count="1" selected="0">
            <x v="14"/>
          </reference>
          <reference field="1" count="1">
            <x v="7356"/>
          </reference>
          <reference field="3" count="1" selected="0">
            <x v="2"/>
          </reference>
          <reference field="5" count="1" selected="0">
            <x v="75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192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78"/>
          </reference>
          <reference field="5" count="1" selected="0">
            <x v="59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191">
      <pivotArea dataOnly="0" labelOnly="1" outline="0" fieldPosition="0">
        <references count="11">
          <reference field="0" count="1" selected="0">
            <x v="14"/>
          </reference>
          <reference field="1" count="1">
            <x v="7357"/>
          </reference>
          <reference field="3" count="1" selected="0">
            <x v="7585"/>
          </reference>
          <reference field="5" count="1" selected="0">
            <x v="23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2190">
      <pivotArea outline="0" collapsedLevelsAreSubtotals="1" fieldPosition="0"/>
    </format>
    <format dxfId="12189">
      <pivotArea dataOnly="0" labelOnly="1" outline="0" axis="axisValues" fieldPosition="0"/>
    </format>
    <format dxfId="12188">
      <pivotArea dataOnly="0" outline="0" fieldPosition="0">
        <references count="1">
          <reference field="12" count="0" defaultSubtotal="1"/>
        </references>
      </pivotArea>
    </format>
    <format dxfId="12187">
      <pivotArea outline="0" collapsedLevelsAreSubtotals="1" fieldPosition="0"/>
    </format>
    <format dxfId="12186">
      <pivotArea dataOnly="0" labelOnly="1" outline="0" axis="axisValues" fieldPosition="0"/>
    </format>
    <format dxfId="12185">
      <pivotArea outline="0" collapsedLevelsAreSubtotals="1" fieldPosition="0"/>
    </format>
    <format dxfId="12184">
      <pivotArea dataOnly="0" labelOnly="1" outline="0" axis="axisValues" fieldPosition="0"/>
    </format>
    <format dxfId="12183">
      <pivotArea dataOnly="0" labelOnly="1" outline="0" axis="axisValues" fieldPosition="0"/>
    </format>
    <format dxfId="12182">
      <pivotArea outline="0" collapsedLevelsAreSubtotals="1" fieldPosition="0"/>
    </format>
    <format dxfId="12181">
      <pivotArea field="12" type="button" dataOnly="0" labelOnly="1" outline="0" axis="axisRow" fieldPosition="2"/>
    </format>
    <format dxfId="12180">
      <pivotArea field="10" type="button" dataOnly="0" labelOnly="1" outline="0" axis="axisRow" fieldPosition="3"/>
    </format>
    <format dxfId="12179">
      <pivotArea field="16" type="button" dataOnly="0" labelOnly="1" outline="0" axis="axisRow" fieldPosition="4"/>
    </format>
    <format dxfId="12178">
      <pivotArea field="18" type="button" dataOnly="0" labelOnly="1" outline="0" axis="axisRow" fieldPosition="5"/>
    </format>
    <format dxfId="12177">
      <pivotArea field="5" type="button" dataOnly="0" labelOnly="1" outline="0" axis="axisRow" fieldPosition="6"/>
    </format>
    <format dxfId="12176">
      <pivotArea field="9" type="button" dataOnly="0" labelOnly="1" outline="0" axis="axisRow" fieldPosition="7"/>
    </format>
    <format dxfId="12175">
      <pivotArea field="3" type="button" dataOnly="0" labelOnly="1" outline="0" axis="axisRow" fieldPosition="8"/>
    </format>
    <format dxfId="12174">
      <pivotArea field="7" type="button" dataOnly="0" labelOnly="1" outline="0" axis="axisRow" fieldPosition="9"/>
    </format>
    <format dxfId="12173">
      <pivotArea field="1" type="button" dataOnly="0" labelOnly="1" outline="0" axis="axisRow" fieldPosition="10"/>
    </format>
    <format dxfId="12172">
      <pivotArea dataOnly="0" labelOnly="1" outline="0" axis="axisValues" fieldPosition="0"/>
    </format>
    <format dxfId="12171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170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169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5"/>
          </reference>
          <reference field="13" count="1" selected="0">
            <x v="0"/>
          </reference>
        </references>
      </pivotArea>
    </format>
    <format dxfId="1216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5"/>
          </reference>
          <reference field="13" count="1" selected="0">
            <x v="0"/>
          </reference>
        </references>
      </pivotArea>
    </format>
    <format dxfId="12167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2166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216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16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16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16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161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12160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1215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15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157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1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21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121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1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152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1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1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1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1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1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1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1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1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214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42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4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4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139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1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13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1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1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1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1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1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1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21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212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12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212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2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1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21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/>
        </references>
      </pivotArea>
    </format>
    <format dxfId="121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1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1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1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1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1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1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21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21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21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1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211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11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1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1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1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1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1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1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21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21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1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21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21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20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20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20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209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095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12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20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20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9"/>
          </reference>
        </references>
      </pivotArea>
    </format>
    <format dxfId="120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0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20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0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6"/>
            <x v="109"/>
          </reference>
        </references>
      </pivotArea>
    </format>
    <format dxfId="120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0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35"/>
            <x v="109"/>
          </reference>
        </references>
      </pivotArea>
    </format>
    <format dxfId="120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0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5"/>
            <x v="109"/>
          </reference>
        </references>
      </pivotArea>
    </format>
    <format dxfId="120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9"/>
          </reference>
        </references>
      </pivotArea>
    </format>
    <format dxfId="120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2">
            <x v="109"/>
            <x v="111"/>
          </reference>
        </references>
      </pivotArea>
    </format>
    <format dxfId="1208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20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120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0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120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20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12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0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20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120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120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0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20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2"/>
            <x v="63"/>
          </reference>
        </references>
      </pivotArea>
    </format>
    <format dxfId="120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20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20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0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0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20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20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20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20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4"/>
            <x v="58"/>
          </reference>
        </references>
      </pivotArea>
    </format>
    <format dxfId="120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9"/>
            <x v="51"/>
            <x v="73"/>
          </reference>
        </references>
      </pivotArea>
    </format>
    <format dxfId="120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7"/>
          </reference>
        </references>
      </pivotArea>
    </format>
    <format dxfId="12057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056">
      <pivotArea dataOnly="0" labelOnly="1" outline="0" fieldPosition="0">
        <references count="7">
          <reference field="0" count="1" selected="0">
            <x v="14"/>
          </reference>
          <reference field="5" count="1">
            <x v="608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055">
      <pivotArea dataOnly="0" labelOnly="1" outline="0" fieldPosition="0">
        <references count="7">
          <reference field="0" count="1" selected="0">
            <x v="7"/>
          </reference>
          <reference field="5" count="1">
            <x v="185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054">
      <pivotArea dataOnly="0" labelOnly="1" outline="0" fieldPosition="0">
        <references count="7">
          <reference field="0" count="1" selected="0">
            <x v="7"/>
          </reference>
          <reference field="5" count="1">
            <x v="213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053">
      <pivotArea dataOnly="0" labelOnly="1" outline="0" fieldPosition="0">
        <references count="7">
          <reference field="0" count="1" selected="0">
            <x v="7"/>
          </reference>
          <reference field="5" count="1">
            <x v="453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052">
      <pivotArea dataOnly="0" labelOnly="1" outline="0" fieldPosition="0">
        <references count="7">
          <reference field="0" count="1" selected="0">
            <x v="7"/>
          </reference>
          <reference field="5" count="1">
            <x v="605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2051">
      <pivotArea dataOnly="0" labelOnly="1" outline="0" fieldPosition="0">
        <references count="7">
          <reference field="0" count="1" selected="0">
            <x v="7"/>
          </reference>
          <reference field="5" count="1">
            <x v="760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050">
      <pivotArea dataOnly="0" labelOnly="1" outline="0" fieldPosition="0">
        <references count="7">
          <reference field="0" count="1" selected="0">
            <x v="7"/>
          </reference>
          <reference field="5" count="1">
            <x v="759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049">
      <pivotArea dataOnly="0" labelOnly="1" outline="0" fieldPosition="0">
        <references count="7">
          <reference field="0" count="1" selected="0">
            <x v="7"/>
          </reference>
          <reference field="5" count="1">
            <x v="7603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048">
      <pivotArea dataOnly="0" labelOnly="1" outline="0" fieldPosition="0">
        <references count="7">
          <reference field="0" count="1" selected="0">
            <x v="7"/>
          </reference>
          <reference field="5" count="1">
            <x v="759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047">
      <pivotArea dataOnly="0" labelOnly="1" outline="0" fieldPosition="0">
        <references count="7">
          <reference field="0" count="1" selected="0">
            <x v="7"/>
          </reference>
          <reference field="5" count="1">
            <x v="453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046">
      <pivotArea dataOnly="0" labelOnly="1" outline="0" fieldPosition="0">
        <references count="7">
          <reference field="0" count="1" selected="0">
            <x v="7"/>
          </reference>
          <reference field="5" count="1">
            <x v="2702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045">
      <pivotArea dataOnly="0" labelOnly="1" outline="0" fieldPosition="0">
        <references count="7">
          <reference field="0" count="1" selected="0">
            <x v="7"/>
          </reference>
          <reference field="5" count="1">
            <x v="7602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044">
      <pivotArea dataOnly="0" labelOnly="1" outline="0" fieldPosition="0">
        <references count="7">
          <reference field="0" count="1" selected="0">
            <x v="7"/>
          </reference>
          <reference field="5" count="1">
            <x v="760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043">
      <pivotArea dataOnly="0" labelOnly="1" outline="0" fieldPosition="0">
        <references count="7">
          <reference field="0" count="1" selected="0">
            <x v="12"/>
          </reference>
          <reference field="5" count="1">
            <x v="84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042">
      <pivotArea dataOnly="0" labelOnly="1" outline="0" fieldPosition="0">
        <references count="7">
          <reference field="0" count="1" selected="0">
            <x v="13"/>
          </reference>
          <reference field="5" count="2">
            <x v="4637"/>
            <x v="75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041">
      <pivotArea dataOnly="0" labelOnly="1" outline="0" fieldPosition="0">
        <references count="7">
          <reference field="0" count="1" selected="0">
            <x v="13"/>
          </reference>
          <reference field="5" count="1">
            <x v="74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040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039">
      <pivotArea dataOnly="0" labelOnly="1" outline="0" fieldPosition="0">
        <references count="7">
          <reference field="0" count="1" selected="0">
            <x v="13"/>
          </reference>
          <reference field="5" count="2">
            <x v="2593"/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038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037">
      <pivotArea dataOnly="0" labelOnly="1" outline="0" fieldPosition="0">
        <references count="7">
          <reference field="0" count="1" selected="0">
            <x v="14"/>
          </reference>
          <reference field="5" count="1">
            <x v="7597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2036">
      <pivotArea dataOnly="0" labelOnly="1" outline="0" fieldPosition="0">
        <references count="7">
          <reference field="0" count="1" selected="0">
            <x v="14"/>
          </reference>
          <reference field="5" count="1">
            <x v="6103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2035">
      <pivotArea dataOnly="0" labelOnly="1" outline="0" fieldPosition="0">
        <references count="7">
          <reference field="0" count="1" selected="0">
            <x v="14"/>
          </reference>
          <reference field="5" count="1">
            <x v="755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034">
      <pivotArea dataOnly="0" labelOnly="1" outline="0" fieldPosition="0">
        <references count="7">
          <reference field="0" count="1" selected="0">
            <x v="14"/>
          </reference>
          <reference field="5" count="1">
            <x v="3855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033">
      <pivotArea dataOnly="0" labelOnly="1" outline="0" fieldPosition="0">
        <references count="7">
          <reference field="0" count="1" selected="0">
            <x v="14"/>
          </reference>
          <reference field="5" count="1">
            <x v="453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032">
      <pivotArea dataOnly="0" labelOnly="1" outline="0" fieldPosition="0">
        <references count="7">
          <reference field="0" count="1" selected="0">
            <x v="14"/>
          </reference>
          <reference field="5" count="1">
            <x v="398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031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030">
      <pivotArea dataOnly="0" labelOnly="1" outline="0" fieldPosition="0">
        <references count="7">
          <reference field="0" count="1" selected="0">
            <x v="14"/>
          </reference>
          <reference field="5" count="1">
            <x v="7337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029">
      <pivotArea dataOnly="0" labelOnly="1" outline="0" fieldPosition="0">
        <references count="7">
          <reference field="0" count="1" selected="0">
            <x v="14"/>
          </reference>
          <reference field="5" count="2">
            <x v="5943"/>
            <x v="656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028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027">
      <pivotArea dataOnly="0" labelOnly="1" outline="0" fieldPosition="0">
        <references count="7">
          <reference field="0" count="1" selected="0">
            <x v="15"/>
          </reference>
          <reference field="5" count="1">
            <x v="75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026">
      <pivotArea dataOnly="0" labelOnly="1" outline="0" fieldPosition="0">
        <references count="7">
          <reference field="0" count="1" selected="0">
            <x v="15"/>
          </reference>
          <reference field="5" count="1"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025">
      <pivotArea dataOnly="0" labelOnly="1" outline="0" fieldPosition="0">
        <references count="7">
          <reference field="0" count="1" selected="0">
            <x v="15"/>
          </reference>
          <reference field="5" count="1">
            <x v="755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12024">
      <pivotArea dataOnly="0" labelOnly="1" outline="0" fieldPosition="0">
        <references count="7">
          <reference field="0" count="1" selected="0">
            <x v="15"/>
          </reference>
          <reference field="5" count="1">
            <x v="759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1"/>
          </reference>
        </references>
      </pivotArea>
    </format>
    <format dxfId="12023">
      <pivotArea dataOnly="0" labelOnly="1" outline="0" fieldPosition="0">
        <references count="7">
          <reference field="0" count="1" selected="0">
            <x v="15"/>
          </reference>
          <reference field="5" count="1">
            <x v="759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3"/>
          </reference>
        </references>
      </pivotArea>
    </format>
    <format dxfId="120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0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0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5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0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0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20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0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0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01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4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01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0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0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7"/>
          </reference>
          <reference field="9" count="1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20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20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0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0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0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0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0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00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003">
      <pivotArea dataOnly="0" labelOnly="1" outline="0" fieldPosition="0">
        <references count="9">
          <reference field="0" count="1" selected="0">
            <x v="14"/>
          </reference>
          <reference field="3" count="1">
            <x v="7475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002">
      <pivotArea dataOnly="0" labelOnly="1" outline="0" fieldPosition="0">
        <references count="9">
          <reference field="0" count="1" selected="0">
            <x v="7"/>
          </reference>
          <reference field="3" count="1">
            <x v="7591"/>
          </reference>
          <reference field="5" count="1" selected="0">
            <x v="18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001">
      <pivotArea dataOnly="0" labelOnly="1" outline="0" fieldPosition="0">
        <references count="9">
          <reference field="0" count="1" selected="0">
            <x v="7"/>
          </reference>
          <reference field="3" count="1">
            <x v="7333"/>
          </reference>
          <reference field="5" count="1" selected="0">
            <x v="21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000">
      <pivotArea dataOnly="0" labelOnly="1" outline="0" fieldPosition="0">
        <references count="9">
          <reference field="0" count="1" selected="0">
            <x v="7"/>
          </reference>
          <reference field="3" count="1">
            <x v="7602"/>
          </reference>
          <reference field="5" count="1" selected="0">
            <x v="45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999">
      <pivotArea dataOnly="0" labelOnly="1" outline="0" fieldPosition="0">
        <references count="9">
          <reference field="0" count="1" selected="0">
            <x v="7"/>
          </reference>
          <reference field="3" count="1">
            <x v="7606"/>
          </reference>
          <reference field="5" count="1" selected="0">
            <x v="60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1998">
      <pivotArea dataOnly="0" labelOnly="1" outline="0" fieldPosition="0">
        <references count="9">
          <reference field="0" count="1" selected="0">
            <x v="7"/>
          </reference>
          <reference field="3" count="1">
            <x v="7599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997">
      <pivotArea dataOnly="0" labelOnly="1" outline="0" fieldPosition="0">
        <references count="9">
          <reference field="0" count="1" selected="0">
            <x v="7"/>
          </reference>
          <reference field="3" count="1">
            <x v="7592"/>
          </reference>
          <reference field="5" count="1" selected="0">
            <x v="75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996">
      <pivotArea dataOnly="0" labelOnly="1" outline="0" fieldPosition="0">
        <references count="9">
          <reference field="0" count="1" selected="0">
            <x v="7"/>
          </reference>
          <reference field="3" count="1">
            <x v="7605"/>
          </reference>
          <reference field="5" count="1" selected="0">
            <x v="76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995">
      <pivotArea dataOnly="0" labelOnly="1" outline="0" fieldPosition="0">
        <references count="9">
          <reference field="0" count="1" selected="0">
            <x v="7"/>
          </reference>
          <reference field="3" count="1">
            <x v="759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994">
      <pivotArea dataOnly="0" labelOnly="1" outline="0" fieldPosition="0">
        <references count="9">
          <reference field="0" count="1" selected="0">
            <x v="7"/>
          </reference>
          <reference field="3" count="1">
            <x v="7600"/>
          </reference>
          <reference field="5" count="1" selected="0">
            <x v="45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993">
      <pivotArea dataOnly="0" labelOnly="1" outline="0" fieldPosition="0">
        <references count="9">
          <reference field="0" count="1" selected="0">
            <x v="7"/>
          </reference>
          <reference field="3" count="1">
            <x v="7590"/>
          </reference>
          <reference field="5" count="1" selected="0">
            <x v="27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992">
      <pivotArea dataOnly="0" labelOnly="1" outline="0" fieldPosition="0">
        <references count="9">
          <reference field="0" count="1" selected="0">
            <x v="7"/>
          </reference>
          <reference field="3" count="1">
            <x v="7603"/>
          </reference>
          <reference field="5" count="1" selected="0">
            <x v="76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99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4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9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989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7597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988">
      <pivotArea dataOnly="0" labelOnly="1" outline="0" fieldPosition="0">
        <references count="9">
          <reference field="0" count="1" selected="0">
            <x v="14"/>
          </reference>
          <reference field="3" count="1">
            <x v="7226"/>
          </reference>
          <reference field="5" count="1" selected="0">
            <x v="61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9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986">
      <pivotArea dataOnly="0" labelOnly="1" outline="0" fieldPosition="0">
        <references count="9">
          <reference field="0" count="1" selected="0">
            <x v="14"/>
          </reference>
          <reference field="3" count="1">
            <x v="7529"/>
          </reference>
          <reference field="5" count="1" selected="0">
            <x v="3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985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453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984">
      <pivotArea dataOnly="0" labelOnly="1" outline="0" fieldPosition="0">
        <references count="9">
          <reference field="0" count="1" selected="0">
            <x v="14"/>
          </reference>
          <reference field="3" count="1">
            <x v="7540"/>
          </reference>
          <reference field="5" count="1" selected="0">
            <x v="398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98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9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982">
      <pivotArea dataOnly="0" labelOnly="1" outline="0" fieldPosition="0">
        <references count="9">
          <reference field="0" count="1" selected="0">
            <x v="14"/>
          </reference>
          <reference field="3" count="1">
            <x v="7478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981">
      <pivotArea dataOnly="0" labelOnly="1" outline="0" fieldPosition="0">
        <references count="9">
          <reference field="0" count="1" selected="0">
            <x v="14"/>
          </reference>
          <reference field="3" count="1">
            <x v="7480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980">
      <pivotArea dataOnly="0" labelOnly="1" outline="0" fieldPosition="0">
        <references count="9">
          <reference field="0" count="1" selected="0">
            <x v="14"/>
          </reference>
          <reference field="3" count="1">
            <x v="7477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197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9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5"/>
          </reference>
          <reference field="5" count="1" selected="0">
            <x v="61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9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3"/>
          </reference>
          <reference field="5" count="1" selected="0">
            <x v="21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9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2"/>
          </reference>
          <reference field="5" count="1" selected="0">
            <x v="4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9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6"/>
          </reference>
          <reference field="5" count="1" selected="0">
            <x v="60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19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9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9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2"/>
          </reference>
          <reference field="5" count="1" selected="0">
            <x v="75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9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3"/>
          </reference>
          <reference field="5" count="1" selected="0">
            <x v="76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97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9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9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7"/>
          </reference>
          <reference field="5" count="1" selected="0">
            <x v="75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9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6"/>
          </reference>
          <reference field="5" count="1" selected="0">
            <x v="61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9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9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9"/>
          </reference>
          <reference field="5" count="1" selected="0">
            <x v="38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9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0"/>
          </reference>
          <reference field="5" count="1" selected="0">
            <x v="39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9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9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9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8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9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961">
      <pivotArea dataOnly="0" labelOnly="1" outline="0" fieldPosition="0">
        <references count="11">
          <reference field="0" count="1" selected="0">
            <x v="7"/>
          </reference>
          <reference field="1" count="1">
            <x v="7370"/>
          </reference>
          <reference field="3" count="1" selected="0">
            <x v="7606"/>
          </reference>
          <reference field="5" count="1" selected="0">
            <x v="60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1960">
      <pivotArea dataOnly="0" labelOnly="1" outline="0" fieldPosition="0">
        <references count="11">
          <reference field="0" count="1" selected="0">
            <x v="7"/>
          </reference>
          <reference field="1" count="1">
            <x v="7369"/>
          </reference>
          <reference field="3" count="1" selected="0">
            <x v="7605"/>
          </reference>
          <reference field="5" count="1" selected="0">
            <x v="76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959">
      <pivotArea dataOnly="0" labelOnly="1" outline="0" fieldPosition="0">
        <references count="11">
          <reference field="0" count="1" selected="0">
            <x v="7"/>
          </reference>
          <reference field="1" count="1">
            <x v="7364"/>
          </reference>
          <reference field="3" count="1" selected="0">
            <x v="7598"/>
          </reference>
          <reference field="5" count="1" selected="0">
            <x v="75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958">
      <pivotArea dataOnly="0" labelOnly="1" outline="0" fieldPosition="0">
        <references count="11">
          <reference field="0" count="1" selected="0">
            <x v="7"/>
          </reference>
          <reference field="1" count="1">
            <x v="7366"/>
          </reference>
          <reference field="3" count="1" selected="0">
            <x v="7603"/>
          </reference>
          <reference field="5" count="1" selected="0">
            <x v="76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957">
      <pivotArea dataOnly="0" labelOnly="1" outline="0" fieldPosition="0">
        <references count="11">
          <reference field="0" count="1" selected="0">
            <x v="14"/>
          </reference>
          <reference field="1" count="1">
            <x v="7360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956">
      <pivotArea dataOnly="0" labelOnly="1" outline="0" fieldPosition="0">
        <references count="11">
          <reference field="0" count="1" selected="0">
            <x v="14"/>
          </reference>
          <reference field="1" count="1">
            <x v="7306"/>
          </reference>
          <reference field="3" count="1" selected="0">
            <x v="7529"/>
          </reference>
          <reference field="5" count="1" selected="0">
            <x v="385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955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78"/>
          </reference>
          <reference field="5" count="1" selected="0">
            <x v="59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954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75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11953">
      <pivotArea outline="0" collapsedLevelsAreSubtotals="1" fieldPosition="0"/>
    </format>
    <format dxfId="11952">
      <pivotArea dataOnly="0" labelOnly="1" outline="0" axis="axisValues" fieldPosition="0"/>
    </format>
    <format dxfId="11951">
      <pivotArea dataOnly="0" outline="0" fieldPosition="0">
        <references count="1">
          <reference field="12" count="0" defaultSubtotal="1"/>
        </references>
      </pivotArea>
    </format>
    <format dxfId="11950">
      <pivotArea outline="0" collapsedLevelsAreSubtotals="1" fieldPosition="0"/>
    </format>
    <format dxfId="11949">
      <pivotArea dataOnly="0" labelOnly="1" outline="0" axis="axisValues" fieldPosition="0"/>
    </format>
    <format dxfId="11948">
      <pivotArea outline="0" collapsedLevelsAreSubtotals="1" fieldPosition="0"/>
    </format>
    <format dxfId="11947">
      <pivotArea dataOnly="0" labelOnly="1" outline="0" axis="axisValues" fieldPosition="0"/>
    </format>
    <format dxfId="11946">
      <pivotArea dataOnly="0" labelOnly="1" outline="0" axis="axisValues" fieldPosition="0"/>
    </format>
    <format dxfId="11945">
      <pivotArea outline="0" collapsedLevelsAreSubtotals="1" fieldPosition="0"/>
    </format>
    <format dxfId="11944">
      <pivotArea field="12" type="button" dataOnly="0" labelOnly="1" outline="0" axis="axisRow" fieldPosition="2"/>
    </format>
    <format dxfId="11943">
      <pivotArea field="10" type="button" dataOnly="0" labelOnly="1" outline="0" axis="axisRow" fieldPosition="3"/>
    </format>
    <format dxfId="11942">
      <pivotArea field="16" type="button" dataOnly="0" labelOnly="1" outline="0" axis="axisRow" fieldPosition="4"/>
    </format>
    <format dxfId="11941">
      <pivotArea field="18" type="button" dataOnly="0" labelOnly="1" outline="0" axis="axisRow" fieldPosition="5"/>
    </format>
    <format dxfId="11940">
      <pivotArea field="5" type="button" dataOnly="0" labelOnly="1" outline="0" axis="axisRow" fieldPosition="6"/>
    </format>
    <format dxfId="11939">
      <pivotArea field="9" type="button" dataOnly="0" labelOnly="1" outline="0" axis="axisRow" fieldPosition="7"/>
    </format>
    <format dxfId="11938">
      <pivotArea field="3" type="button" dataOnly="0" labelOnly="1" outline="0" axis="axisRow" fieldPosition="8"/>
    </format>
    <format dxfId="11937">
      <pivotArea field="7" type="button" dataOnly="0" labelOnly="1" outline="0" axis="axisRow" fieldPosition="9"/>
    </format>
    <format dxfId="11936">
      <pivotArea field="1" type="button" dataOnly="0" labelOnly="1" outline="0" axis="axisRow" fieldPosition="10"/>
    </format>
    <format dxfId="11935">
      <pivotArea dataOnly="0" labelOnly="1" outline="0" axis="axisValues" fieldPosition="0"/>
    </format>
    <format dxfId="11934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11933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1193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93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930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1929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192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92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92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92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924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1923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192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92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9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9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19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191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91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91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91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91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91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11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1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0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90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9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9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90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19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90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90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190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18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1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118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89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189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189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89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89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89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8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8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8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8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18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18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18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18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18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188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1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1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18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187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187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187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42"/>
            <x v="85"/>
          </reference>
        </references>
      </pivotArea>
    </format>
    <format dxfId="1187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59"/>
            <x v="63"/>
          </reference>
        </references>
      </pivotArea>
    </format>
    <format dxfId="1187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18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118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18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8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18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11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8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8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18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8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55"/>
          </reference>
        </references>
      </pivotArea>
    </format>
    <format dxfId="11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1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1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8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1"/>
            <x v="58"/>
          </reference>
        </references>
      </pivotArea>
    </format>
    <format dxfId="118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41"/>
            <x v="43"/>
          </reference>
        </references>
      </pivotArea>
    </format>
    <format dxfId="11854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853">
      <pivotArea dataOnly="0" labelOnly="1" outline="0" fieldPosition="0">
        <references count="7">
          <reference field="0" count="1" selected="0">
            <x v="7"/>
          </reference>
          <reference field="5" count="1">
            <x v="213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852">
      <pivotArea dataOnly="0" labelOnly="1" outline="0" fieldPosition="0">
        <references count="7">
          <reference field="0" count="1" selected="0">
            <x v="11"/>
          </reference>
          <reference field="5" count="1">
            <x v="734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851">
      <pivotArea dataOnly="0" labelOnly="1" outline="0" fieldPosition="0">
        <references count="7">
          <reference field="0" count="1" selected="0">
            <x v="11"/>
          </reference>
          <reference field="5" count="2">
            <x v="4956"/>
            <x v="709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850">
      <pivotArea dataOnly="0" labelOnly="1" outline="0" fieldPosition="0">
        <references count="7">
          <reference field="0" count="1" selected="0">
            <x v="11"/>
          </reference>
          <reference field="5" count="1">
            <x v="619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1849">
      <pivotArea dataOnly="0" labelOnly="1" outline="0" fieldPosition="0">
        <references count="7">
          <reference field="0" count="1" selected="0">
            <x v="11"/>
          </reference>
          <reference field="5" count="1">
            <x v="718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848">
      <pivotArea dataOnly="0" labelOnly="1" outline="0" fieldPosition="0">
        <references count="7">
          <reference field="0" count="1" selected="0">
            <x v="11"/>
          </reference>
          <reference field="5" count="1">
            <x v="528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847">
      <pivotArea dataOnly="0" labelOnly="1" outline="0" fieldPosition="0">
        <references count="7">
          <reference field="0" count="1" selected="0">
            <x v="12"/>
          </reference>
          <reference field="5" count="1">
            <x v="760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846">
      <pivotArea dataOnly="0" labelOnly="1" outline="0" fieldPosition="0">
        <references count="7">
          <reference field="0" count="1" selected="0">
            <x v="13"/>
          </reference>
          <reference field="5" count="1">
            <x v="71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845">
      <pivotArea dataOnly="0" labelOnly="1" outline="0" fieldPosition="0">
        <references count="7">
          <reference field="0" count="1" selected="0">
            <x v="13"/>
          </reference>
          <reference field="5" count="2">
            <x v="4637"/>
            <x v="75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844">
      <pivotArea dataOnly="0" labelOnly="1" outline="0" fieldPosition="0">
        <references count="7">
          <reference field="0" count="1" selected="0">
            <x v="13"/>
          </reference>
          <reference field="5" count="1">
            <x v="74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843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842">
      <pivotArea dataOnly="0" labelOnly="1" outline="0" fieldPosition="0">
        <references count="7">
          <reference field="0" count="1" selected="0">
            <x v="13"/>
          </reference>
          <reference field="5" count="2">
            <x v="2593"/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841">
      <pivotArea dataOnly="0" labelOnly="1" outline="0" fieldPosition="0">
        <references count="7">
          <reference field="0" count="1" selected="0">
            <x v="14"/>
          </reference>
          <reference field="5" count="1">
            <x v="760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840">
      <pivotArea dataOnly="0" labelOnly="1" outline="0" fieldPosition="0">
        <references count="7">
          <reference field="0" count="1" selected="0">
            <x v="14"/>
          </reference>
          <reference field="5" count="1">
            <x v="4409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839">
      <pivotArea dataOnly="0" labelOnly="1" outline="0" fieldPosition="0">
        <references count="7">
          <reference field="0" count="1" selected="0">
            <x v="14"/>
          </reference>
          <reference field="5" count="2">
            <x v="5943"/>
            <x v="656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838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1837">
      <pivotArea dataOnly="0" labelOnly="1" outline="0" fieldPosition="0">
        <references count="7">
          <reference field="0" count="1" selected="0">
            <x v="14"/>
          </reference>
          <reference field="5" count="1">
            <x v="7553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836">
      <pivotArea dataOnly="0" labelOnly="1" outline="0" fieldPosition="0">
        <references count="7">
          <reference field="0" count="1" selected="0">
            <x v="15"/>
          </reference>
          <reference field="5" count="1"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835">
      <pivotArea dataOnly="0" labelOnly="1" outline="0" fieldPosition="0">
        <references count="7">
          <reference field="0" count="1" selected="0">
            <x v="15"/>
          </reference>
          <reference field="5" count="1">
            <x v="262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1834">
      <pivotArea dataOnly="0" labelOnly="1" outline="0" fieldPosition="0">
        <references count="7">
          <reference field="0" count="1" selected="0">
            <x v="15"/>
          </reference>
          <reference field="5" count="1">
            <x v="76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8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8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83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3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83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0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8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8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8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8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0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8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8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8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822">
      <pivotArea dataOnly="0" labelOnly="1" outline="0" fieldPosition="0">
        <references count="9">
          <reference field="0" count="1" selected="0">
            <x v="14"/>
          </reference>
          <reference field="3" count="1">
            <x v="7475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821">
      <pivotArea dataOnly="0" labelOnly="1" outline="0" fieldPosition="0">
        <references count="9">
          <reference field="0" count="1" selected="0">
            <x v="7"/>
          </reference>
          <reference field="3" count="1">
            <x v="7333"/>
          </reference>
          <reference field="5" count="1" selected="0">
            <x v="21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820">
      <pivotArea dataOnly="0" labelOnly="1" outline="0" fieldPosition="0">
        <references count="9">
          <reference field="0" count="1" selected="0">
            <x v="11"/>
          </reference>
          <reference field="3" count="1">
            <x v="7539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819">
      <pivotArea dataOnly="0" labelOnly="1" outline="0" fieldPosition="0">
        <references count="9">
          <reference field="0" count="1" selected="0">
            <x v="11"/>
          </reference>
          <reference field="3" count="1">
            <x v="7318"/>
          </reference>
          <reference field="5" count="1" selected="0">
            <x v="49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818">
      <pivotArea dataOnly="0" labelOnly="1" outline="0" fieldPosition="0">
        <references count="9">
          <reference field="0" count="1" selected="0">
            <x v="11"/>
          </reference>
          <reference field="3" count="1">
            <x v="7409"/>
          </reference>
          <reference field="5" count="1" selected="0">
            <x v="70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817">
      <pivotArea dataOnly="0" labelOnly="1" outline="0" fieldPosition="0">
        <references count="9">
          <reference field="0" count="1" selected="0">
            <x v="11"/>
          </reference>
          <reference field="3" count="1">
            <x v="7537"/>
          </reference>
          <reference field="5" count="1" selected="0">
            <x v="61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1816">
      <pivotArea dataOnly="0" labelOnly="1" outline="0" fieldPosition="0">
        <references count="9">
          <reference field="0" count="1" selected="0">
            <x v="11"/>
          </reference>
          <reference field="3" count="1">
            <x v="7536"/>
          </reference>
          <reference field="5" count="1" selected="0">
            <x v="71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815">
      <pivotArea dataOnly="0" labelOnly="1" outline="0" fieldPosition="0">
        <references count="9">
          <reference field="0" count="1" selected="0">
            <x v="11"/>
          </reference>
          <reference field="3" count="1">
            <x v="7535"/>
          </reference>
          <reference field="5" count="1" selected="0">
            <x v="52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81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0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81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81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7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8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810">
      <pivotArea dataOnly="0" labelOnly="1" outline="0" fieldPosition="0">
        <references count="9">
          <reference field="0" count="1" selected="0">
            <x v="14"/>
          </reference>
          <reference field="3" count="1">
            <x v="7532"/>
          </reference>
          <reference field="5" count="1" selected="0">
            <x v="440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809">
      <pivotArea dataOnly="0" labelOnly="1" outline="0" fieldPosition="0">
        <references count="9">
          <reference field="0" count="1" selected="0">
            <x v="14"/>
          </reference>
          <reference field="3" count="1">
            <x v="7478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808">
      <pivotArea dataOnly="0" labelOnly="1" outline="0" fieldPosition="0">
        <references count="9">
          <reference field="0" count="1" selected="0">
            <x v="14"/>
          </reference>
          <reference field="3" count="1">
            <x v="7480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807">
      <pivotArea dataOnly="0" labelOnly="1" outline="0" fieldPosition="0">
        <references count="9">
          <reference field="0" count="1" selected="0">
            <x v="14"/>
          </reference>
          <reference field="3" count="1">
            <x v="7477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18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805">
      <pivotArea dataOnly="0" labelOnly="1" outline="0" fieldPosition="0">
        <references count="9">
          <reference field="0" count="1" selected="0">
            <x v="15"/>
          </reference>
          <reference field="3" count="1">
            <x v="7607"/>
          </reference>
          <reference field="5" count="1" selected="0">
            <x v="760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8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5"/>
          </reference>
          <reference field="5" count="1" selected="0">
            <x v="61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8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3"/>
          </reference>
          <reference field="5" count="1" selected="0">
            <x v="21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80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39"/>
          </reference>
          <reference field="5" count="1" selected="0">
            <x v="73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80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80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79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7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7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2"/>
          </reference>
          <reference field="5" count="1" selected="0">
            <x v="44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7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8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7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7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07"/>
          </reference>
          <reference field="5" count="1" selected="0">
            <x v="76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793">
      <pivotArea dataOnly="0" labelOnly="1" outline="0" fieldPosition="0">
        <references count="11">
          <reference field="0" count="1" selected="0">
            <x v="11"/>
          </reference>
          <reference field="1" count="1">
            <x v="7320"/>
          </reference>
          <reference field="3" count="1" selected="0">
            <x v="7537"/>
          </reference>
          <reference field="5" count="1" selected="0">
            <x v="61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1792">
      <pivotArea dataOnly="0" labelOnly="1" outline="0" fieldPosition="0">
        <references count="11">
          <reference field="0" count="1" selected="0">
            <x v="11"/>
          </reference>
          <reference field="1" count="1">
            <x v="7319"/>
          </reference>
          <reference field="3" count="1" selected="0">
            <x v="7535"/>
          </reference>
          <reference field="5" count="1" selected="0">
            <x v="52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791">
      <pivotArea dataOnly="0" labelOnly="1" outline="0" fieldPosition="0">
        <references count="11">
          <reference field="0" count="1" selected="0">
            <x v="14"/>
          </reference>
          <reference field="1" count="1">
            <x v="7379"/>
          </reference>
          <reference field="3" count="1" selected="0">
            <x v="7532"/>
          </reference>
          <reference field="5" count="1" selected="0">
            <x v="44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790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78"/>
          </reference>
          <reference field="5" count="1" selected="0">
            <x v="59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789">
      <pivotArea outline="0" collapsedLevelsAreSubtotals="1" fieldPosition="0"/>
    </format>
    <format dxfId="11788">
      <pivotArea dataOnly="0" labelOnly="1" outline="0" axis="axisValues" fieldPosition="0"/>
    </format>
    <format dxfId="11787">
      <pivotArea dataOnly="0" outline="0" fieldPosition="0">
        <references count="1">
          <reference field="12" count="0" defaultSubtotal="1"/>
        </references>
      </pivotArea>
    </format>
    <format dxfId="11786">
      <pivotArea outline="0" collapsedLevelsAreSubtotals="1" fieldPosition="0"/>
    </format>
    <format dxfId="11785">
      <pivotArea dataOnly="0" labelOnly="1" outline="0" axis="axisValues" fieldPosition="0"/>
    </format>
    <format dxfId="11784">
      <pivotArea outline="0" collapsedLevelsAreSubtotals="1" fieldPosition="0"/>
    </format>
    <format dxfId="11783">
      <pivotArea dataOnly="0" labelOnly="1" outline="0" axis="axisValues" fieldPosition="0"/>
    </format>
    <format dxfId="11782">
      <pivotArea dataOnly="0" labelOnly="1" outline="0" axis="axisValues" fieldPosition="0"/>
    </format>
    <format dxfId="11781">
      <pivotArea outline="0" collapsedLevelsAreSubtotals="1" fieldPosition="0"/>
    </format>
    <format dxfId="11780">
      <pivotArea field="12" type="button" dataOnly="0" labelOnly="1" outline="0" axis="axisRow" fieldPosition="2"/>
    </format>
    <format dxfId="11779">
      <pivotArea field="10" type="button" dataOnly="0" labelOnly="1" outline="0" axis="axisRow" fieldPosition="3"/>
    </format>
    <format dxfId="11778">
      <pivotArea field="16" type="button" dataOnly="0" labelOnly="1" outline="0" axis="axisRow" fieldPosition="4"/>
    </format>
    <format dxfId="11777">
      <pivotArea field="18" type="button" dataOnly="0" labelOnly="1" outline="0" axis="axisRow" fieldPosition="5"/>
    </format>
    <format dxfId="11776">
      <pivotArea field="5" type="button" dataOnly="0" labelOnly="1" outline="0" axis="axisRow" fieldPosition="6"/>
    </format>
    <format dxfId="11775">
      <pivotArea field="9" type="button" dataOnly="0" labelOnly="1" outline="0" axis="axisRow" fieldPosition="7"/>
    </format>
    <format dxfId="11774">
      <pivotArea field="3" type="button" dataOnly="0" labelOnly="1" outline="0" axis="axisRow" fieldPosition="8"/>
    </format>
    <format dxfId="11773">
      <pivotArea field="7" type="button" dataOnly="0" labelOnly="1" outline="0" axis="axisRow" fieldPosition="9"/>
    </format>
    <format dxfId="11772">
      <pivotArea field="1" type="button" dataOnly="0" labelOnly="1" outline="0" axis="axisRow" fieldPosition="10"/>
    </format>
    <format dxfId="11771">
      <pivotArea dataOnly="0" labelOnly="1" outline="0" axis="axisValues" fieldPosition="0"/>
    </format>
    <format dxfId="11770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11769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1176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76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76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76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76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76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762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1761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176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75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758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7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17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175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75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53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5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5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7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74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7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74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7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7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7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174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174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174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74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173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17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173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7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173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7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7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7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3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2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7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17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17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7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17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17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17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171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7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7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17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70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17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117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7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7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7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1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1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09"/>
          </reference>
        </references>
      </pivotArea>
    </format>
    <format dxfId="116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4"/>
          </reference>
        </references>
      </pivotArea>
    </format>
    <format dxfId="116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3"/>
          </reference>
        </references>
      </pivotArea>
    </format>
    <format dxfId="116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6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09"/>
          </reference>
        </references>
      </pivotArea>
    </format>
    <format dxfId="116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16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6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6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5"/>
          </reference>
        </references>
      </pivotArea>
    </format>
    <format dxfId="116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6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39"/>
          </reference>
        </references>
      </pivotArea>
    </format>
    <format dxfId="116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6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16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3"/>
          </reference>
        </references>
      </pivotArea>
    </format>
    <format dxfId="116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16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1"/>
            <x v="73"/>
          </reference>
        </references>
      </pivotArea>
    </format>
    <format dxfId="116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16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1"/>
          </reference>
        </references>
      </pivotArea>
    </format>
    <format dxfId="11677">
      <pivotArea dataOnly="0" labelOnly="1" outline="0" fieldPosition="0">
        <references count="7">
          <reference field="0" count="1" selected="0">
            <x v="14"/>
          </reference>
          <reference field="5" count="1">
            <x v="7452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676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75">
      <pivotArea dataOnly="0" labelOnly="1" outline="0" fieldPosition="0">
        <references count="7">
          <reference field="0" count="1" selected="0">
            <x v="14"/>
          </reference>
          <reference field="5" count="1">
            <x v="1350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674">
      <pivotArea dataOnly="0" labelOnly="1" outline="0" fieldPosition="0">
        <references count="7">
          <reference field="0" count="1" selected="0">
            <x v="7"/>
          </reference>
          <reference field="5" count="1">
            <x v="213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673">
      <pivotArea dataOnly="0" labelOnly="1" outline="0" fieldPosition="0">
        <references count="7">
          <reference field="0" count="1" selected="0">
            <x v="12"/>
          </reference>
          <reference field="5" count="1">
            <x v="760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672">
      <pivotArea dataOnly="0" labelOnly="1" outline="0" fieldPosition="0">
        <references count="7">
          <reference field="0" count="1" selected="0">
            <x v="13"/>
          </reference>
          <reference field="5" count="1">
            <x v="71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671">
      <pivotArea dataOnly="0" labelOnly="1" outline="0" fieldPosition="0">
        <references count="7">
          <reference field="0" count="1" selected="0">
            <x v="13"/>
          </reference>
          <reference field="5" count="2">
            <x v="4637"/>
            <x v="75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670">
      <pivotArea dataOnly="0" labelOnly="1" outline="0" fieldPosition="0">
        <references count="7">
          <reference field="0" count="1" selected="0">
            <x v="13"/>
          </reference>
          <reference field="5" count="1">
            <x v="74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669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668">
      <pivotArea dataOnly="0" labelOnly="1" outline="0" fieldPosition="0">
        <references count="7">
          <reference field="0" count="1" selected="0">
            <x v="13"/>
          </reference>
          <reference field="5" count="2">
            <x v="2593"/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667">
      <pivotArea dataOnly="0" labelOnly="1" outline="0" fieldPosition="0">
        <references count="7">
          <reference field="0" count="1" selected="0">
            <x v="14"/>
          </reference>
          <reference field="5" count="1">
            <x v="3855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666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1665">
      <pivotArea dataOnly="0" labelOnly="1" outline="0" fieldPosition="0">
        <references count="7">
          <reference field="0" count="1" selected="0">
            <x v="14"/>
          </reference>
          <reference field="5" count="1">
            <x v="7553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664">
      <pivotArea dataOnly="0" labelOnly="1" outline="0" fieldPosition="0">
        <references count="7">
          <reference field="0" count="1" selected="0">
            <x v="14"/>
          </reference>
          <reference field="5" count="1">
            <x v="3988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11663">
      <pivotArea dataOnly="0" labelOnly="1" outline="0" fieldPosition="0">
        <references count="7">
          <reference field="0" count="1" selected="0">
            <x v="14"/>
          </reference>
          <reference field="5" count="1">
            <x v="7432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62">
      <pivotArea dataOnly="0" labelOnly="1" outline="0" fieldPosition="0">
        <references count="7">
          <reference field="0" count="1" selected="0">
            <x v="14"/>
          </reference>
          <reference field="5" count="1">
            <x v="479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61">
      <pivotArea dataOnly="0" labelOnly="1" outline="0" fieldPosition="0">
        <references count="7">
          <reference field="0" count="1" selected="0">
            <x v="14"/>
          </reference>
          <reference field="5" count="1">
            <x v="4409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60">
      <pivotArea dataOnly="0" labelOnly="1" outline="0" fieldPosition="0">
        <references count="7">
          <reference field="0" count="1" selected="0">
            <x v="14"/>
          </reference>
          <reference field="5" count="2">
            <x v="5943"/>
            <x v="656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659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658">
      <pivotArea dataOnly="0" labelOnly="1" outline="0" fieldPosition="0">
        <references count="7">
          <reference field="0" count="1" selected="0">
            <x v="14"/>
          </reference>
          <reference field="5" count="1">
            <x v="7399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11657">
      <pivotArea dataOnly="0" labelOnly="1" outline="0" fieldPosition="0">
        <references count="7">
          <reference field="0" count="1" selected="0">
            <x v="15"/>
          </reference>
          <reference field="5" count="1"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656">
      <pivotArea dataOnly="0" labelOnly="1" outline="0" fieldPosition="0">
        <references count="7">
          <reference field="0" count="1" selected="0">
            <x v="15"/>
          </reference>
          <reference field="5" count="1">
            <x v="759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1"/>
          </reference>
        </references>
      </pivotArea>
    </format>
    <format dxfId="11655">
      <pivotArea dataOnly="0" labelOnly="1" outline="0" fieldPosition="0">
        <references count="7">
          <reference field="0" count="1" selected="0">
            <x v="15"/>
          </reference>
          <reference field="5" count="1">
            <x v="759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11654">
      <pivotArea dataOnly="0" labelOnly="1" outline="0" fieldPosition="0">
        <references count="7">
          <reference field="0" count="1" selected="0">
            <x v="15"/>
          </reference>
          <reference field="5" count="1">
            <x v="262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16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2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6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35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6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64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0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6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6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6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6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16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116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9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0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6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116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637">
      <pivotArea dataOnly="0" labelOnly="1" outline="0" fieldPosition="0">
        <references count="9">
          <reference field="0" count="1" selected="0">
            <x v="14"/>
          </reference>
          <reference field="3" count="1">
            <x v="7613"/>
          </reference>
          <reference field="5" count="1" selected="0">
            <x v="745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636">
      <pivotArea dataOnly="0" labelOnly="1" outline="0" fieldPosition="0">
        <references count="9">
          <reference field="0" count="1" selected="0">
            <x v="14"/>
          </reference>
          <reference field="3" count="1">
            <x v="7475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35">
      <pivotArea dataOnly="0" labelOnly="1" outline="0" fieldPosition="0">
        <references count="9">
          <reference field="0" count="1" selected="0">
            <x v="7"/>
          </reference>
          <reference field="3" count="1">
            <x v="7333"/>
          </reference>
          <reference field="5" count="1" selected="0">
            <x v="21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634">
      <pivotArea dataOnly="0" labelOnly="1" outline="0" fieldPosition="0">
        <references count="9">
          <reference field="0" count="1" selected="0">
            <x v="12"/>
          </reference>
          <reference field="3" count="1">
            <x v="7614"/>
          </reference>
          <reference field="5" count="1" selected="0">
            <x v="760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6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6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7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631">
      <pivotArea dataOnly="0" labelOnly="1" outline="0" fieldPosition="0">
        <references count="9">
          <reference field="0" count="1" selected="0">
            <x v="14"/>
          </reference>
          <reference field="3" count="1">
            <x v="7529"/>
          </reference>
          <reference field="5" count="1" selected="0">
            <x v="3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6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16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628">
      <pivotArea dataOnly="0" labelOnly="1" outline="0" fieldPosition="0">
        <references count="9">
          <reference field="0" count="1" selected="0">
            <x v="14"/>
          </reference>
          <reference field="3" count="1">
            <x v="7540"/>
          </reference>
          <reference field="5" count="1" selected="0">
            <x v="398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1162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26">
      <pivotArea dataOnly="0" labelOnly="1" outline="0" fieldPosition="0">
        <references count="9">
          <reference field="0" count="1" selected="0">
            <x v="14"/>
          </reference>
          <reference field="3" count="1">
            <x v="7611"/>
          </reference>
          <reference field="5" count="1" selected="0">
            <x v="479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25">
      <pivotArea dataOnly="0" labelOnly="1" outline="0" fieldPosition="0">
        <references count="9">
          <reference field="0" count="1" selected="0">
            <x v="14"/>
          </reference>
          <reference field="3" count="1">
            <x v="7532"/>
          </reference>
          <reference field="5" count="1" selected="0">
            <x v="440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24">
      <pivotArea dataOnly="0" labelOnly="1" outline="0" fieldPosition="0">
        <references count="9">
          <reference field="0" count="1" selected="0">
            <x v="14"/>
          </reference>
          <reference field="3" count="1">
            <x v="7478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623">
      <pivotArea dataOnly="0" labelOnly="1" outline="0" fieldPosition="0">
        <references count="9">
          <reference field="0" count="1" selected="0">
            <x v="14"/>
          </reference>
          <reference field="3" count="1">
            <x v="7480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622">
      <pivotArea dataOnly="0" labelOnly="1" outline="0" fieldPosition="0">
        <references count="9">
          <reference field="0" count="1" selected="0">
            <x v="14"/>
          </reference>
          <reference field="3" count="1">
            <x v="7477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621">
      <pivotArea dataOnly="0" labelOnly="1" outline="0" fieldPosition="0">
        <references count="9">
          <reference field="0" count="1" selected="0">
            <x v="14"/>
          </reference>
          <reference field="3" count="1">
            <x v="7526"/>
          </reference>
          <reference field="5" count="1" selected="0">
            <x v="73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116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3"/>
          </reference>
          <reference field="5" count="1" selected="0">
            <x v="74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6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5"/>
          </reference>
          <reference field="5" count="1" selected="0">
            <x v="61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3"/>
          </reference>
          <reference field="5" count="1" selected="0">
            <x v="21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61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14"/>
          </reference>
          <reference field="5" count="1" selected="0">
            <x v="76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6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6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6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9"/>
          </reference>
          <reference field="5" count="1" selected="0">
            <x v="38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6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16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0"/>
          </reference>
          <reference field="5" count="1" selected="0">
            <x v="39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116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1"/>
          </reference>
          <reference field="5" count="1" selected="0">
            <x v="47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2"/>
          </reference>
          <reference field="5" count="1" selected="0">
            <x v="44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8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6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6"/>
          </reference>
          <reference field="5" count="1" selected="0">
            <x v="73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11606">
      <pivotArea dataOnly="0" labelOnly="1" outline="0" fieldPosition="0">
        <references count="11">
          <reference field="0" count="1" selected="0">
            <x v="14"/>
          </reference>
          <reference field="1" count="1">
            <x v="7306"/>
          </reference>
          <reference field="3" count="1" selected="0">
            <x v="7529"/>
          </reference>
          <reference field="5" count="1" selected="0">
            <x v="385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605">
      <pivotArea dataOnly="0" labelOnly="1" outline="0" fieldPosition="0">
        <references count="11">
          <reference field="0" count="1" selected="0">
            <x v="14"/>
          </reference>
          <reference field="1" count="1">
            <x v="7390"/>
          </reference>
          <reference field="3" count="1" selected="0">
            <x v="2"/>
          </reference>
          <reference field="5" count="1" selected="0">
            <x v="75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604">
      <pivotArea dataOnly="0" labelOnly="1" outline="0" fieldPosition="0">
        <references count="11">
          <reference field="0" count="1" selected="0">
            <x v="14"/>
          </reference>
          <reference field="1" count="1">
            <x v="7388"/>
          </reference>
          <reference field="3" count="1" selected="0">
            <x v="0"/>
          </reference>
          <reference field="5" count="1" selected="0">
            <x v="743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03">
      <pivotArea dataOnly="0" labelOnly="1" outline="0" fieldPosition="0">
        <references count="11">
          <reference field="0" count="1" selected="0">
            <x v="14"/>
          </reference>
          <reference field="1" count="1">
            <x v="7389"/>
          </reference>
          <reference field="3" count="1" selected="0">
            <x v="7611"/>
          </reference>
          <reference field="5" count="1" selected="0">
            <x v="47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02">
      <pivotArea dataOnly="0" labelOnly="1" outline="0" fieldPosition="0">
        <references count="11">
          <reference field="0" count="1" selected="0">
            <x v="14"/>
          </reference>
          <reference field="1" count="1">
            <x v="7379"/>
          </reference>
          <reference field="3" count="1" selected="0">
            <x v="7532"/>
          </reference>
          <reference field="5" count="1" selected="0">
            <x v="44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01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78"/>
          </reference>
          <reference field="5" count="1" selected="0">
            <x v="59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600">
      <pivotArea outline="0" collapsedLevelsAreSubtotals="1" fieldPosition="0"/>
    </format>
    <format dxfId="11599">
      <pivotArea dataOnly="0" labelOnly="1" outline="0" axis="axisValues" fieldPosition="0"/>
    </format>
    <format dxfId="11598">
      <pivotArea dataOnly="0" outline="0" fieldPosition="0">
        <references count="1">
          <reference field="12" count="0" defaultSubtotal="1"/>
        </references>
      </pivotArea>
    </format>
    <format dxfId="11597">
      <pivotArea outline="0" collapsedLevelsAreSubtotals="1" fieldPosition="0"/>
    </format>
    <format dxfId="11596">
      <pivotArea dataOnly="0" labelOnly="1" outline="0" axis="axisValues" fieldPosition="0"/>
    </format>
    <format dxfId="11595">
      <pivotArea outline="0" collapsedLevelsAreSubtotals="1" fieldPosition="0"/>
    </format>
    <format dxfId="11594">
      <pivotArea dataOnly="0" labelOnly="1" outline="0" axis="axisValues" fieldPosition="0"/>
    </format>
    <format dxfId="11593">
      <pivotArea dataOnly="0" labelOnly="1" outline="0" axis="axisValues" fieldPosition="0"/>
    </format>
    <format dxfId="11592">
      <pivotArea outline="0" collapsedLevelsAreSubtotals="1" fieldPosition="0"/>
    </format>
    <format dxfId="11591">
      <pivotArea field="12" type="button" dataOnly="0" labelOnly="1" outline="0" axis="axisRow" fieldPosition="2"/>
    </format>
    <format dxfId="11590">
      <pivotArea field="10" type="button" dataOnly="0" labelOnly="1" outline="0" axis="axisRow" fieldPosition="3"/>
    </format>
    <format dxfId="11589">
      <pivotArea field="16" type="button" dataOnly="0" labelOnly="1" outline="0" axis="axisRow" fieldPosition="4"/>
    </format>
    <format dxfId="11588">
      <pivotArea field="18" type="button" dataOnly="0" labelOnly="1" outline="0" axis="axisRow" fieldPosition="5"/>
    </format>
    <format dxfId="11587">
      <pivotArea field="5" type="button" dataOnly="0" labelOnly="1" outline="0" axis="axisRow" fieldPosition="6"/>
    </format>
    <format dxfId="11586">
      <pivotArea field="9" type="button" dataOnly="0" labelOnly="1" outline="0" axis="axisRow" fieldPosition="7"/>
    </format>
    <format dxfId="11585">
      <pivotArea field="3" type="button" dataOnly="0" labelOnly="1" outline="0" axis="axisRow" fieldPosition="8"/>
    </format>
    <format dxfId="11584">
      <pivotArea field="7" type="button" dataOnly="0" labelOnly="1" outline="0" axis="axisRow" fieldPosition="9"/>
    </format>
    <format dxfId="11583">
      <pivotArea field="1" type="button" dataOnly="0" labelOnly="1" outline="0" axis="axisRow" fieldPosition="10"/>
    </format>
    <format dxfId="11582">
      <pivotArea dataOnly="0" labelOnly="1" outline="0" axis="axisValues" fieldPosition="0"/>
    </format>
    <format dxfId="11581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158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1579">
      <pivotArea dataOnly="0" labelOnly="1" outline="0" fieldPosition="0">
        <references count="3">
          <reference field="0" count="1" selected="0">
            <x v="14"/>
          </reference>
          <reference field="12" count="1">
            <x v="9"/>
          </reference>
          <reference field="13" count="1" selected="0">
            <x v="1"/>
          </reference>
        </references>
      </pivotArea>
    </format>
    <format dxfId="1157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9"/>
          </reference>
          <reference field="13" count="1" selected="0">
            <x v="1"/>
          </reference>
        </references>
      </pivotArea>
    </format>
    <format dxfId="11577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1576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1575">
      <pivotArea dataOnly="0" labelOnly="1" outline="0" fieldPosition="0">
        <references count="3">
          <reference field="0" count="1" selected="0">
            <x v="10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574">
      <pivotArea dataOnly="0" labelOnly="1" outline="0" fieldPosition="0">
        <references count="3">
          <reference field="0" count="1" selected="0">
            <x v="10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57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57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57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57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56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1156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1156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56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5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15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1"/>
          </reference>
        </references>
      </pivotArea>
    </format>
    <format dxfId="1156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56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56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56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55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55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55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55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55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55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55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55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5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55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54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5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5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5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15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5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154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154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15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54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53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53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5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15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/>
        </references>
      </pivotArea>
    </format>
    <format dxfId="115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5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53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153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53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53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152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152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52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52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5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5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5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15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5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15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15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15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15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15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15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15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1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1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1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151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1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>
            <x v="123"/>
          </reference>
        </references>
      </pivotArea>
    </format>
    <format dxfId="115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15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150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6"/>
          </reference>
        </references>
      </pivotArea>
    </format>
    <format dxfId="1150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59"/>
            <x v="63"/>
          </reference>
        </references>
      </pivotArea>
    </format>
    <format dxfId="1150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150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63"/>
            <x v="109"/>
          </reference>
        </references>
      </pivotArea>
    </format>
    <format dxfId="1150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50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"/>
            <x v="88"/>
          </reference>
        </references>
      </pivotArea>
    </format>
    <format dxfId="1149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66"/>
            <x v="114"/>
          </reference>
        </references>
      </pivotArea>
    </format>
    <format dxfId="114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114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14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4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14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114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1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1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11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1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11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14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3"/>
            <x v="110"/>
          </reference>
        </references>
      </pivotArea>
    </format>
    <format dxfId="11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1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1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1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114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14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14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14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4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3"/>
            <x v="36"/>
            <x v="41"/>
            <x v="58"/>
          </reference>
        </references>
      </pivotArea>
    </format>
    <format dxfId="114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1"/>
            <x v="44"/>
            <x v="70"/>
          </reference>
        </references>
      </pivotArea>
    </format>
    <format dxfId="114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4"/>
          </reference>
        </references>
      </pivotArea>
    </format>
    <format dxfId="114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1"/>
          </reference>
        </references>
      </pivotArea>
    </format>
    <format dxfId="11471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470">
      <pivotArea dataOnly="0" labelOnly="1" outline="0" fieldPosition="0">
        <references count="7">
          <reference field="0" count="1" selected="0">
            <x v="14"/>
          </reference>
          <reference field="5" count="1">
            <x v="235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11469">
      <pivotArea dataOnly="0" labelOnly="1" outline="0" fieldPosition="0">
        <references count="7">
          <reference field="0" count="1" selected="0">
            <x v="7"/>
          </reference>
          <reference field="5" count="1">
            <x v="6674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468">
      <pivotArea dataOnly="0" labelOnly="1" outline="0" fieldPosition="0">
        <references count="7">
          <reference field="0" count="1" selected="0">
            <x v="7"/>
          </reference>
          <reference field="5" count="1">
            <x v="213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467">
      <pivotArea dataOnly="0" labelOnly="1" outline="0" fieldPosition="0">
        <references count="7">
          <reference field="0" count="1" selected="0">
            <x v="10"/>
          </reference>
          <reference field="5" count="1">
            <x v="195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466">
      <pivotArea dataOnly="0" labelOnly="1" outline="0" fieldPosition="0">
        <references count="7">
          <reference field="0" count="1" selected="0">
            <x v="10"/>
          </reference>
          <reference field="5" count="1">
            <x v="453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465">
      <pivotArea dataOnly="0" labelOnly="1" outline="0" fieldPosition="0">
        <references count="7">
          <reference field="0" count="1" selected="0">
            <x v="10"/>
          </reference>
          <reference field="5" count="1">
            <x v="464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464">
      <pivotArea dataOnly="0" labelOnly="1" outline="0" fieldPosition="0">
        <references count="7">
          <reference field="0" count="1" selected="0">
            <x v="10"/>
          </reference>
          <reference field="5" count="1">
            <x v="737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463">
      <pivotArea dataOnly="0" labelOnly="1" outline="0" fieldPosition="0">
        <references count="7">
          <reference field="0" count="1" selected="0">
            <x v="10"/>
          </reference>
          <reference field="5" count="1">
            <x v="499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462">
      <pivotArea dataOnly="0" labelOnly="1" outline="0" fieldPosition="0">
        <references count="7">
          <reference field="0" count="1" selected="0">
            <x v="10"/>
          </reference>
          <reference field="5" count="1">
            <x v="674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461">
      <pivotArea dataOnly="0" labelOnly="1" outline="0" fieldPosition="0">
        <references count="7">
          <reference field="0" count="1" selected="0">
            <x v="10"/>
          </reference>
          <reference field="5" count="1">
            <x v="571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11460">
      <pivotArea dataOnly="0" labelOnly="1" outline="0" fieldPosition="0">
        <references count="7">
          <reference field="0" count="1" selected="0">
            <x v="12"/>
          </reference>
          <reference field="5" count="1">
            <x v="76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459">
      <pivotArea dataOnly="0" labelOnly="1" outline="0" fieldPosition="0">
        <references count="7">
          <reference field="0" count="1" selected="0">
            <x v="12"/>
          </reference>
          <reference field="5" count="1">
            <x v="761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1458">
      <pivotArea dataOnly="0" labelOnly="1" outline="0" fieldPosition="0">
        <references count="7">
          <reference field="0" count="1" selected="0">
            <x v="12"/>
          </reference>
          <reference field="5" count="1">
            <x v="761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457">
      <pivotArea dataOnly="0" labelOnly="1" outline="0" fieldPosition="0">
        <references count="7">
          <reference field="0" count="1" selected="0">
            <x v="13"/>
          </reference>
          <reference field="5" count="1">
            <x v="71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456">
      <pivotArea dataOnly="0" labelOnly="1" outline="0" fieldPosition="0">
        <references count="7">
          <reference field="0" count="1" selected="0">
            <x v="13"/>
          </reference>
          <reference field="5" count="2">
            <x v="4637"/>
            <x v="75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455">
      <pivotArea dataOnly="0" labelOnly="1" outline="0" fieldPosition="0">
        <references count="7">
          <reference field="0" count="1" selected="0">
            <x v="13"/>
          </reference>
          <reference field="5" count="1">
            <x v="74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454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453">
      <pivotArea dataOnly="0" labelOnly="1" outline="0" fieldPosition="0">
        <references count="7">
          <reference field="0" count="1" selected="0">
            <x v="13"/>
          </reference>
          <reference field="5" count="2">
            <x v="2593"/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452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451">
      <pivotArea dataOnly="0" labelOnly="1" outline="0" fieldPosition="0">
        <references count="7">
          <reference field="0" count="1" selected="0">
            <x v="14"/>
          </reference>
          <reference field="5" count="1">
            <x v="741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1450">
      <pivotArea dataOnly="0" labelOnly="1" outline="0" fieldPosition="0">
        <references count="7">
          <reference field="0" count="1" selected="0">
            <x v="14"/>
          </reference>
          <reference field="5" count="1">
            <x v="761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449">
      <pivotArea dataOnly="0" labelOnly="1" outline="0" fieldPosition="0">
        <references count="7">
          <reference field="0" count="1" selected="0">
            <x v="14"/>
          </reference>
          <reference field="5" count="1">
            <x v="3475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448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447">
      <pivotArea dataOnly="0" labelOnly="1" outline="0" fieldPosition="0">
        <references count="7">
          <reference field="0" count="1" selected="0">
            <x v="14"/>
          </reference>
          <reference field="5" count="1">
            <x v="761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446">
      <pivotArea dataOnly="0" labelOnly="1" outline="0" fieldPosition="0">
        <references count="7">
          <reference field="0" count="1" selected="0">
            <x v="14"/>
          </reference>
          <reference field="5" count="1">
            <x v="760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1445">
      <pivotArea dataOnly="0" labelOnly="1" outline="0" fieldPosition="0">
        <references count="7">
          <reference field="0" count="1" selected="0">
            <x v="14"/>
          </reference>
          <reference field="5" count="1">
            <x v="7610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444">
      <pivotArea dataOnly="0" labelOnly="1" outline="0" fieldPosition="0">
        <references count="7">
          <reference field="0" count="1" selected="0">
            <x v="14"/>
          </reference>
          <reference field="5" count="1">
            <x v="4792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443">
      <pivotArea dataOnly="0" labelOnly="1" outline="0" fieldPosition="0">
        <references count="7">
          <reference field="0" count="1" selected="0">
            <x v="14"/>
          </reference>
          <reference field="5" count="1">
            <x v="7563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1442">
      <pivotArea dataOnly="0" labelOnly="1" outline="0" fieldPosition="0">
        <references count="7">
          <reference field="0" count="1" selected="0">
            <x v="14"/>
          </reference>
          <reference field="5" count="2">
            <x v="5943"/>
            <x v="656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441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1440">
      <pivotArea dataOnly="0" labelOnly="1" outline="0" fieldPosition="0">
        <references count="7">
          <reference field="0" count="1" selected="0">
            <x v="15"/>
          </reference>
          <reference field="5" count="1">
            <x v="19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439">
      <pivotArea dataOnly="0" labelOnly="1" outline="0" fieldPosition="0">
        <references count="7">
          <reference field="0" count="1" selected="0">
            <x v="15"/>
          </reference>
          <reference field="5" count="1"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438">
      <pivotArea dataOnly="0" labelOnly="1" outline="0" fieldPosition="0">
        <references count="7">
          <reference field="0" count="1" selected="0">
            <x v="15"/>
          </reference>
          <reference field="5" count="2">
            <x v="3133"/>
            <x v="760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1437">
      <pivotArea dataOnly="0" labelOnly="1" outline="0" fieldPosition="0">
        <references count="7">
          <reference field="0" count="1" selected="0">
            <x v="15"/>
          </reference>
          <reference field="5" count="1">
            <x v="262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14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4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114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67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4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43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43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43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3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42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9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42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7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42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4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4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4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14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4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4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4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4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14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4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9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4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14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4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4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412">
      <pivotArea dataOnly="0" labelOnly="1" outline="0" fieldPosition="0">
        <references count="9">
          <reference field="0" count="1" selected="0">
            <x v="14"/>
          </reference>
          <reference field="3" count="1">
            <x v="7475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411">
      <pivotArea dataOnly="0" labelOnly="1" outline="0" fieldPosition="0">
        <references count="9">
          <reference field="0" count="1" selected="0">
            <x v="14"/>
          </reference>
          <reference field="3" count="1">
            <x v="7621"/>
          </reference>
          <reference field="5" count="1" selected="0">
            <x v="235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11410">
      <pivotArea dataOnly="0" labelOnly="1" outline="0" fieldPosition="0">
        <references count="9">
          <reference field="0" count="1" selected="0">
            <x v="7"/>
          </reference>
          <reference field="3" count="1">
            <x v="7549"/>
          </reference>
          <reference field="5" count="1" selected="0">
            <x v="667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409">
      <pivotArea dataOnly="0" labelOnly="1" outline="0" fieldPosition="0">
        <references count="9">
          <reference field="0" count="1" selected="0">
            <x v="7"/>
          </reference>
          <reference field="3" count="1">
            <x v="7333"/>
          </reference>
          <reference field="5" count="1" selected="0">
            <x v="21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408">
      <pivotArea dataOnly="0" labelOnly="1" outline="0" fieldPosition="0">
        <references count="9">
          <reference field="0" count="1" selected="0">
            <x v="10"/>
          </reference>
          <reference field="3" count="1">
            <x v="7491"/>
          </reference>
          <reference field="5" count="1" selected="0">
            <x v="19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407">
      <pivotArea dataOnly="0" labelOnly="1" outline="0" fieldPosition="0">
        <references count="9">
          <reference field="0" count="1" selected="0">
            <x v="10"/>
          </reference>
          <reference field="3" count="1">
            <x v="7489"/>
          </reference>
          <reference field="5" count="1" selected="0">
            <x v="45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406">
      <pivotArea dataOnly="0" labelOnly="1" outline="0" fieldPosition="0">
        <references count="9">
          <reference field="0" count="1" selected="0">
            <x v="10"/>
          </reference>
          <reference field="3" count="1">
            <x v="7352"/>
          </reference>
          <reference field="5" count="1" selected="0">
            <x v="46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405">
      <pivotArea dataOnly="0" labelOnly="1" outline="0" fieldPosition="0">
        <references count="9">
          <reference field="0" count="1" selected="0">
            <x v="10"/>
          </reference>
          <reference field="3" count="1">
            <x v="7495"/>
          </reference>
          <reference field="5" count="1" selected="0">
            <x v="73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404">
      <pivotArea dataOnly="0" labelOnly="1" outline="0" fieldPosition="0">
        <references count="9">
          <reference field="0" count="1" selected="0">
            <x v="10"/>
          </reference>
          <reference field="3" count="1">
            <x v="7490"/>
          </reference>
          <reference field="5" count="1" selected="0">
            <x v="49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403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7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402">
      <pivotArea dataOnly="0" labelOnly="1" outline="0" fieldPosition="0">
        <references count="9">
          <reference field="0" count="1" selected="0">
            <x v="10"/>
          </reference>
          <reference field="3" count="1">
            <x v="7351"/>
          </reference>
          <reference field="5" count="1" selected="0">
            <x v="57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1140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400">
      <pivotArea dataOnly="0" labelOnly="1" outline="0" fieldPosition="0">
        <references count="9">
          <reference field="0" count="1" selected="0">
            <x v="12"/>
          </reference>
          <reference field="3" count="1">
            <x v="7622"/>
          </reference>
          <reference field="5" count="1" selected="0">
            <x v="761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39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39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7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39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13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395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34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3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393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76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392">
      <pivotArea dataOnly="0" labelOnly="1" outline="0" fieldPosition="0">
        <references count="9">
          <reference field="0" count="1" selected="0">
            <x v="14"/>
          </reference>
          <reference field="3" count="1">
            <x v="7618"/>
          </reference>
          <reference field="5" count="1" selected="0">
            <x v="76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1391">
      <pivotArea dataOnly="0" labelOnly="1" outline="0" fieldPosition="0">
        <references count="9">
          <reference field="0" count="1" selected="0">
            <x v="14"/>
          </reference>
          <reference field="3" count="1">
            <x v="7619"/>
          </reference>
          <reference field="5" count="1" selected="0">
            <x v="761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390">
      <pivotArea dataOnly="0" labelOnly="1" outline="0" fieldPosition="0">
        <references count="9">
          <reference field="0" count="1" selected="0">
            <x v="14"/>
          </reference>
          <reference field="3" count="1">
            <x v="7611"/>
          </reference>
          <reference field="5" count="1" selected="0">
            <x v="479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389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756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1388">
      <pivotArea dataOnly="0" labelOnly="1" outline="0" fieldPosition="0">
        <references count="9">
          <reference field="0" count="1" selected="0">
            <x v="14"/>
          </reference>
          <reference field="3" count="1">
            <x v="7478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387">
      <pivotArea dataOnly="0" labelOnly="1" outline="0" fieldPosition="0">
        <references count="9">
          <reference field="0" count="1" selected="0">
            <x v="14"/>
          </reference>
          <reference field="3" count="1">
            <x v="7480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386">
      <pivotArea dataOnly="0" labelOnly="1" outline="0" fieldPosition="0">
        <references count="9">
          <reference field="0" count="1" selected="0">
            <x v="14"/>
          </reference>
          <reference field="3" count="1">
            <x v="7477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1385">
      <pivotArea dataOnly="0" labelOnly="1" outline="0" fieldPosition="0">
        <references count="9">
          <reference field="0" count="1" selected="0">
            <x v="15"/>
          </reference>
          <reference field="3" count="1">
            <x v="7616"/>
          </reference>
          <reference field="5" count="1" selected="0">
            <x v="19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3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5"/>
          </reference>
          <reference field="5" count="1" selected="0">
            <x v="61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3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1"/>
          </reference>
          <reference field="5" count="1" selected="0">
            <x v="23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113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9"/>
          </reference>
          <reference field="5" count="1" selected="0">
            <x v="66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3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3"/>
          </reference>
          <reference field="5" count="1" selected="0">
            <x v="21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38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91"/>
          </reference>
          <reference field="5" count="1" selected="0">
            <x v="19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37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52"/>
          </reference>
          <reference field="5" count="1" selected="0">
            <x v="46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37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95"/>
          </reference>
          <reference field="5" count="1" selected="0">
            <x v="73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37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90"/>
          </reference>
          <reference field="5" count="1" selected="0">
            <x v="49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37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74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37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37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22"/>
          </reference>
          <reference field="5" count="1" selected="0">
            <x v="76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3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3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3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13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3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3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3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3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76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3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8"/>
          </reference>
          <reference field="5" count="1" selected="0">
            <x v="76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13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9"/>
          </reference>
          <reference field="5" count="1" selected="0">
            <x v="76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3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1"/>
          </reference>
          <reference field="5" count="1" selected="0">
            <x v="47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3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7"/>
          </reference>
          <reference field="5" count="1" selected="0">
            <x v="75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13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8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3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6"/>
          </reference>
          <reference field="5" count="1" selected="0">
            <x v="19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360">
      <pivotArea dataOnly="0" labelOnly="1" outline="0" fieldPosition="0">
        <references count="11">
          <reference field="0" count="1" selected="0">
            <x v="14"/>
          </reference>
          <reference field="1" count="1">
            <x v="7397"/>
          </reference>
          <reference field="3" count="1" selected="0">
            <x v="7621"/>
          </reference>
          <reference field="5" count="1" selected="0">
            <x v="23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11359">
      <pivotArea dataOnly="0" labelOnly="1" outline="0" fieldPosition="0">
        <references count="11">
          <reference field="0" count="1" selected="0">
            <x v="10"/>
          </reference>
          <reference field="1" count="1">
            <x v="7399"/>
          </reference>
          <reference field="3" count="1" selected="0">
            <x v="7491"/>
          </reference>
          <reference field="5" count="1" selected="0">
            <x v="19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358">
      <pivotArea dataOnly="0" labelOnly="1" outline="0" fieldPosition="0">
        <references count="11">
          <reference field="0" count="1" selected="0">
            <x v="10"/>
          </reference>
          <reference field="1" count="1">
            <x v="7095"/>
          </reference>
          <reference field="3" count="1" selected="0">
            <x v="7352"/>
          </reference>
          <reference field="5" count="1" selected="0">
            <x v="46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357">
      <pivotArea dataOnly="0" labelOnly="1" outline="0" fieldPosition="0">
        <references count="11">
          <reference field="0" count="1" selected="0">
            <x v="12"/>
          </reference>
          <reference field="1" count="1">
            <x v="7398"/>
          </reference>
          <reference field="3" count="1" selected="0">
            <x v="0"/>
          </reference>
          <reference field="5" count="1" selected="0">
            <x v="761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356">
      <pivotArea dataOnly="0" labelOnly="1" outline="0" fieldPosition="0">
        <references count="11">
          <reference field="0" count="1" selected="0">
            <x v="14"/>
          </reference>
          <reference field="1" count="1">
            <x v="7395"/>
          </reference>
          <reference field="3" count="1" selected="0">
            <x v="0"/>
          </reference>
          <reference field="5" count="1" selected="0">
            <x v="74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1355">
      <pivotArea dataOnly="0" labelOnly="1" outline="0" fieldPosition="0">
        <references count="11">
          <reference field="0" count="1" selected="0">
            <x v="14"/>
          </reference>
          <reference field="1" count="1">
            <x v="7396"/>
          </reference>
          <reference field="3" count="1" selected="0">
            <x v="2"/>
          </reference>
          <reference field="5" count="1" selected="0">
            <x v="76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354">
      <pivotArea dataOnly="0" labelOnly="1" outline="0" fieldPosition="0">
        <references count="11">
          <reference field="0" count="1" selected="0">
            <x v="14"/>
          </reference>
          <reference field="1" count="1">
            <x v="7394"/>
          </reference>
          <reference field="3" count="1" selected="0">
            <x v="7618"/>
          </reference>
          <reference field="5" count="1" selected="0">
            <x v="760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1353">
      <pivotArea dataOnly="0" labelOnly="1" outline="0" fieldPosition="0">
        <references count="11">
          <reference field="0" count="1" selected="0">
            <x v="14"/>
          </reference>
          <reference field="1" count="1">
            <x v="7389"/>
          </reference>
          <reference field="3" count="1" selected="0">
            <x v="7611"/>
          </reference>
          <reference field="5" count="1" selected="0">
            <x v="47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352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78"/>
          </reference>
          <reference field="5" count="1" selected="0">
            <x v="59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351">
      <pivotArea outline="0" collapsedLevelsAreSubtotals="1" fieldPosition="0"/>
    </format>
    <format dxfId="11350">
      <pivotArea dataOnly="0" labelOnly="1" outline="0" axis="axisValues" fieldPosition="0"/>
    </format>
    <format dxfId="11349">
      <pivotArea dataOnly="0" outline="0" fieldPosition="0">
        <references count="1">
          <reference field="12" count="0" defaultSubtotal="1"/>
        </references>
      </pivotArea>
    </format>
    <format dxfId="11348">
      <pivotArea outline="0" collapsedLevelsAreSubtotals="1" fieldPosition="0"/>
    </format>
    <format dxfId="11347">
      <pivotArea dataOnly="0" labelOnly="1" outline="0" axis="axisValues" fieldPosition="0"/>
    </format>
    <format dxfId="11346">
      <pivotArea outline="0" collapsedLevelsAreSubtotals="1" fieldPosition="0"/>
    </format>
    <format dxfId="11345">
      <pivotArea dataOnly="0" labelOnly="1" outline="0" axis="axisValues" fieldPosition="0"/>
    </format>
    <format dxfId="11344">
      <pivotArea dataOnly="0" labelOnly="1" outline="0" axis="axisValues" fieldPosition="0"/>
    </format>
    <format dxfId="11343">
      <pivotArea outline="0" collapsedLevelsAreSubtotals="1" fieldPosition="0"/>
    </format>
    <format dxfId="11342">
      <pivotArea field="12" type="button" dataOnly="0" labelOnly="1" outline="0" axis="axisRow" fieldPosition="2"/>
    </format>
    <format dxfId="11341">
      <pivotArea field="10" type="button" dataOnly="0" labelOnly="1" outline="0" axis="axisRow" fieldPosition="3"/>
    </format>
    <format dxfId="11340">
      <pivotArea field="16" type="button" dataOnly="0" labelOnly="1" outline="0" axis="axisRow" fieldPosition="4"/>
    </format>
    <format dxfId="11339">
      <pivotArea field="18" type="button" dataOnly="0" labelOnly="1" outline="0" axis="axisRow" fieldPosition="5"/>
    </format>
    <format dxfId="11338">
      <pivotArea field="5" type="button" dataOnly="0" labelOnly="1" outline="0" axis="axisRow" fieldPosition="6"/>
    </format>
    <format dxfId="11337">
      <pivotArea field="9" type="button" dataOnly="0" labelOnly="1" outline="0" axis="axisRow" fieldPosition="7"/>
    </format>
    <format dxfId="11336">
      <pivotArea field="3" type="button" dataOnly="0" labelOnly="1" outline="0" axis="axisRow" fieldPosition="8"/>
    </format>
    <format dxfId="11335">
      <pivotArea field="7" type="button" dataOnly="0" labelOnly="1" outline="0" axis="axisRow" fieldPosition="9"/>
    </format>
    <format dxfId="11334">
      <pivotArea field="1" type="button" dataOnly="0" labelOnly="1" outline="0" axis="axisRow" fieldPosition="10"/>
    </format>
    <format dxfId="11333">
      <pivotArea dataOnly="0" labelOnly="1" outline="0" axis="axisValues" fieldPosition="0"/>
    </format>
    <format dxfId="11332">
      <pivotArea dataOnly="0" labelOnly="1" outline="0" fieldPosition="0">
        <references count="3">
          <reference field="0" count="1" selected="0">
            <x v="14"/>
          </reference>
          <reference field="12" count="1">
            <x v="23"/>
          </reference>
          <reference field="13" count="1" selected="0">
            <x v="0"/>
          </reference>
        </references>
      </pivotArea>
    </format>
    <format dxfId="1133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3"/>
          </reference>
          <reference field="13" count="1" selected="0">
            <x v="0"/>
          </reference>
        </references>
      </pivotArea>
    </format>
    <format dxfId="11330">
      <pivotArea dataOnly="0" labelOnly="1" outline="0" fieldPosition="0">
        <references count="3">
          <reference field="0" count="1" selected="0">
            <x v="2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1329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132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32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32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32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3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3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322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1321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132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31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3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131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31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31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31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31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31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31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31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30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0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0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0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3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3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30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3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30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3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299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12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2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2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12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12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2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129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12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12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2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128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28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28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2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28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8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8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8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8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7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7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7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7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2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5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25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1124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124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1124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24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24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24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2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24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5"/>
            <x v="39"/>
            <x v="66"/>
          </reference>
        </references>
      </pivotArea>
    </format>
    <format dxfId="112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112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2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2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2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2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11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7"/>
          </reference>
        </references>
      </pivotArea>
    </format>
    <format dxfId="11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12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12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1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1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1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12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12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2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2"/>
          </reference>
        </references>
      </pivotArea>
    </format>
    <format dxfId="11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1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112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2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1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2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12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1"/>
            <x v="44"/>
            <x v="49"/>
            <x v="51"/>
            <x v="70"/>
            <x v="73"/>
          </reference>
        </references>
      </pivotArea>
    </format>
    <format dxfId="112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3"/>
          </reference>
        </references>
      </pivotArea>
    </format>
    <format dxfId="11209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208">
      <pivotArea dataOnly="0" labelOnly="1" outline="0" fieldPosition="0">
        <references count="7">
          <reference field="0" count="1" selected="0">
            <x v="2"/>
          </reference>
          <reference field="5" count="1">
            <x v="43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1207">
      <pivotArea dataOnly="0" labelOnly="1" outline="0" fieldPosition="0">
        <references count="7">
          <reference field="0" count="1" selected="0">
            <x v="2"/>
          </reference>
          <reference field="5" count="1">
            <x v="196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1206">
      <pivotArea dataOnly="0" labelOnly="1" outline="0" fieldPosition="0">
        <references count="7">
          <reference field="0" count="1" selected="0">
            <x v="2"/>
          </reference>
          <reference field="5" count="1">
            <x v="600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05">
      <pivotArea dataOnly="0" labelOnly="1" outline="0" fieldPosition="0">
        <references count="7">
          <reference field="0" count="1" selected="0">
            <x v="2"/>
          </reference>
          <reference field="5" count="1">
            <x v="762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204">
      <pivotArea dataOnly="0" labelOnly="1" outline="0" fieldPosition="0">
        <references count="7">
          <reference field="0" count="1" selected="0">
            <x v="2"/>
          </reference>
          <reference field="5" count="1">
            <x v="743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203">
      <pivotArea dataOnly="0" labelOnly="1" outline="0" fieldPosition="0">
        <references count="7">
          <reference field="0" count="1" selected="0">
            <x v="2"/>
          </reference>
          <reference field="5" count="1">
            <x v="7624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202">
      <pivotArea dataOnly="0" labelOnly="1" outline="0" fieldPosition="0">
        <references count="7">
          <reference field="0" count="1" selected="0">
            <x v="7"/>
          </reference>
          <reference field="5" count="1">
            <x v="213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201">
      <pivotArea dataOnly="0" labelOnly="1" outline="0" fieldPosition="0">
        <references count="7">
          <reference field="0" count="1" selected="0">
            <x v="12"/>
          </reference>
          <reference field="5" count="2">
            <x v="7622"/>
            <x v="762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200">
      <pivotArea dataOnly="0" labelOnly="1" outline="0" fieldPosition="0">
        <references count="7">
          <reference field="0" count="1" selected="0">
            <x v="13"/>
          </reference>
          <reference field="5" count="1">
            <x v="71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199">
      <pivotArea dataOnly="0" labelOnly="1" outline="0" fieldPosition="0">
        <references count="7">
          <reference field="0" count="1" selected="0">
            <x v="13"/>
          </reference>
          <reference field="5" count="2">
            <x v="4637"/>
            <x v="75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98">
      <pivotArea dataOnly="0" labelOnly="1" outline="0" fieldPosition="0">
        <references count="7">
          <reference field="0" count="1" selected="0">
            <x v="13"/>
          </reference>
          <reference field="5" count="1">
            <x v="74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197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96">
      <pivotArea dataOnly="0" labelOnly="1" outline="0" fieldPosition="0">
        <references count="7">
          <reference field="0" count="1" selected="0">
            <x v="13"/>
          </reference>
          <reference field="5" count="1"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195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194">
      <pivotArea dataOnly="0" labelOnly="1" outline="0" fieldPosition="0">
        <references count="7">
          <reference field="0" count="1" selected="0">
            <x v="14"/>
          </reference>
          <reference field="5" count="1">
            <x v="762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1193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192">
      <pivotArea dataOnly="0" labelOnly="1" outline="0" fieldPosition="0">
        <references count="7">
          <reference field="0" count="1" selected="0">
            <x v="14"/>
          </reference>
          <reference field="5" count="1">
            <x v="7553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91">
      <pivotArea dataOnly="0" labelOnly="1" outline="0" fieldPosition="0">
        <references count="7">
          <reference field="0" count="1" selected="0">
            <x v="14"/>
          </reference>
          <reference field="5" count="1">
            <x v="762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190">
      <pivotArea dataOnly="0" labelOnly="1" outline="0" fieldPosition="0">
        <references count="7">
          <reference field="0" count="1" selected="0">
            <x v="14"/>
          </reference>
          <reference field="5" count="1">
            <x v="743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89">
      <pivotArea dataOnly="0" labelOnly="1" outline="0" fieldPosition="0">
        <references count="7">
          <reference field="0" count="1" selected="0">
            <x v="14"/>
          </reference>
          <reference field="5" count="1">
            <x v="716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188">
      <pivotArea dataOnly="0" labelOnly="1" outline="0" fieldPosition="0">
        <references count="7">
          <reference field="0" count="1" selected="0">
            <x v="14"/>
          </reference>
          <reference field="5" count="1">
            <x v="7612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187">
      <pivotArea dataOnly="0" labelOnly="1" outline="0" fieldPosition="0">
        <references count="7">
          <reference field="0" count="1" selected="0">
            <x v="14"/>
          </reference>
          <reference field="5" count="1">
            <x v="3988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186">
      <pivotArea dataOnly="0" labelOnly="1" outline="0" fieldPosition="0">
        <references count="7">
          <reference field="0" count="1" selected="0">
            <x v="14"/>
          </reference>
          <reference field="5" count="1">
            <x v="760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185">
      <pivotArea dataOnly="0" labelOnly="1" outline="0" fieldPosition="0">
        <references count="7">
          <reference field="0" count="1" selected="0">
            <x v="14"/>
          </reference>
          <reference field="5" count="1">
            <x v="4792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84">
      <pivotArea dataOnly="0" labelOnly="1" outline="0" fieldPosition="0">
        <references count="7">
          <reference field="0" count="1" selected="0">
            <x v="14"/>
          </reference>
          <reference field="5" count="1">
            <x v="7563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183">
      <pivotArea dataOnly="0" labelOnly="1" outline="0" fieldPosition="0">
        <references count="7">
          <reference field="0" count="1" selected="0">
            <x v="14"/>
          </reference>
          <reference field="5" count="1">
            <x v="3475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182">
      <pivotArea dataOnly="0" labelOnly="1" outline="0" fieldPosition="0">
        <references count="7">
          <reference field="0" count="1" selected="0">
            <x v="14"/>
          </reference>
          <reference field="5" count="2">
            <x v="5943"/>
            <x v="656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181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180">
      <pivotArea dataOnly="0" labelOnly="1" outline="0" fieldPosition="0">
        <references count="7">
          <reference field="0" count="1" selected="0">
            <x v="14"/>
          </reference>
          <reference field="5" count="1">
            <x v="235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179">
      <pivotArea dataOnly="0" labelOnly="1" outline="0" fieldPosition="0">
        <references count="7">
          <reference field="0" count="1" selected="0">
            <x v="15"/>
          </reference>
          <reference field="5" count="1"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178">
      <pivotArea dataOnly="0" labelOnly="1" outline="0" fieldPosition="0">
        <references count="7">
          <reference field="0" count="1" selected="0">
            <x v="15"/>
          </reference>
          <reference field="5" count="3">
            <x v="3133"/>
            <x v="7608"/>
            <x v="761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1177">
      <pivotArea dataOnly="0" labelOnly="1" outline="0" fieldPosition="0">
        <references count="7">
          <reference field="0" count="1" selected="0">
            <x v="15"/>
          </reference>
          <reference field="5" count="2">
            <x v="4673"/>
            <x v="761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1176">
      <pivotArea dataOnly="0" labelOnly="1" outline="0" fieldPosition="0">
        <references count="7">
          <reference field="0" count="1" selected="0">
            <x v="15"/>
          </reference>
          <reference field="5" count="1">
            <x v="759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1"/>
          </reference>
        </references>
      </pivotArea>
    </format>
    <format dxfId="11175">
      <pivotArea dataOnly="0" labelOnly="1" outline="0" fieldPosition="0">
        <references count="7">
          <reference field="0" count="1" selected="0">
            <x v="15"/>
          </reference>
          <reference field="5" count="1">
            <x v="759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11174">
      <pivotArea dataOnly="0" labelOnly="1" outline="0" fieldPosition="0">
        <references count="7">
          <reference field="0" count="1" selected="0">
            <x v="15"/>
          </reference>
          <reference field="5" count="1">
            <x v="76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173">
      <pivotArea dataOnly="0" labelOnly="1" outline="0" fieldPosition="0">
        <references count="7">
          <reference field="0" count="1" selected="0">
            <x v="15"/>
          </reference>
          <reference field="5" count="1">
            <x v="4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1172">
      <pivotArea dataOnly="0" labelOnly="1" outline="0" fieldPosition="0">
        <references count="7">
          <reference field="0" count="1" selected="0">
            <x v="15"/>
          </reference>
          <reference field="5" count="1">
            <x v="741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1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7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116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9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116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0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16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6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6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4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6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6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1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16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2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1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1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1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11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1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0"/>
          </reference>
          <reference field="9" count="1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1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1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1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1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1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9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1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1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5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1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147">
      <pivotArea dataOnly="0" labelOnly="1" outline="0" fieldPosition="0">
        <references count="9">
          <reference field="0" count="1" selected="0">
            <x v="14"/>
          </reference>
          <reference field="3" count="1">
            <x v="7475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46">
      <pivotArea dataOnly="0" labelOnly="1" outline="0" fieldPosition="0">
        <references count="9">
          <reference field="0" count="1" selected="0">
            <x v="2"/>
          </reference>
          <reference field="3" count="1">
            <x v="7509"/>
          </reference>
          <reference field="5" count="1" selected="0">
            <x v="43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114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1144">
      <pivotArea dataOnly="0" labelOnly="1" outline="0" fieldPosition="0">
        <references count="9">
          <reference field="0" count="1" selected="0">
            <x v="2"/>
          </reference>
          <reference field="3" count="1">
            <x v="7508"/>
          </reference>
          <reference field="5" count="1" selected="0">
            <x v="60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14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4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4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41">
      <pivotArea dataOnly="0" labelOnly="1" outline="0" fieldPosition="0">
        <references count="9">
          <reference field="0" count="1" selected="0">
            <x v="2"/>
          </reference>
          <reference field="3" count="1">
            <x v="7425"/>
          </reference>
          <reference field="5" count="1" selected="0">
            <x v="76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140">
      <pivotArea dataOnly="0" labelOnly="1" outline="0" fieldPosition="0">
        <references count="9">
          <reference field="0" count="1" selected="0">
            <x v="7"/>
          </reference>
          <reference field="3" count="1">
            <x v="7333"/>
          </reference>
          <reference field="5" count="1" selected="0">
            <x v="21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139">
      <pivotArea dataOnly="0" labelOnly="1" outline="0" fieldPosition="0">
        <references count="9">
          <reference field="0" count="1" selected="0">
            <x v="12"/>
          </reference>
          <reference field="3" count="1">
            <x v="7632"/>
          </reference>
          <reference field="5" count="1" selected="0">
            <x v="762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13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13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7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1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3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3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2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133">
      <pivotArea dataOnly="0" labelOnly="1" outline="0" fieldPosition="0">
        <references count="9">
          <reference field="0" count="1" selected="0">
            <x v="14"/>
          </reference>
          <reference field="3" count="1">
            <x v="7628"/>
          </reference>
          <reference field="5" count="1" selected="0">
            <x v="74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32">
      <pivotArea dataOnly="0" labelOnly="1" outline="0" fieldPosition="0">
        <references count="9">
          <reference field="0" count="1" selected="0">
            <x v="14"/>
          </reference>
          <reference field="3" count="1">
            <x v="7627"/>
          </reference>
          <reference field="5" count="1" selected="0">
            <x v="71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131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76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130">
      <pivotArea dataOnly="0" labelOnly="1" outline="0" fieldPosition="0">
        <references count="9">
          <reference field="0" count="1" selected="0">
            <x v="14"/>
          </reference>
          <reference field="3" count="1">
            <x v="7540"/>
          </reference>
          <reference field="5" count="1" selected="0">
            <x v="398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129">
      <pivotArea dataOnly="0" labelOnly="1" outline="0" fieldPosition="0">
        <references count="9">
          <reference field="0" count="1" selected="0">
            <x v="14"/>
          </reference>
          <reference field="3" count="1">
            <x v="7618"/>
          </reference>
          <reference field="5" count="1" selected="0">
            <x v="76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128">
      <pivotArea dataOnly="0" labelOnly="1" outline="0" fieldPosition="0">
        <references count="9">
          <reference field="0" count="1" selected="0">
            <x v="14"/>
          </reference>
          <reference field="3" count="1">
            <x v="7611"/>
          </reference>
          <reference field="5" count="1" selected="0">
            <x v="479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27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756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126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34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125">
      <pivotArea dataOnly="0" labelOnly="1" outline="0" fieldPosition="0">
        <references count="9">
          <reference field="0" count="1" selected="0">
            <x v="14"/>
          </reference>
          <reference field="3" count="1">
            <x v="7478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124">
      <pivotArea dataOnly="0" labelOnly="1" outline="0" fieldPosition="0">
        <references count="9">
          <reference field="0" count="1" selected="0">
            <x v="14"/>
          </reference>
          <reference field="3" count="1">
            <x v="7480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123">
      <pivotArea dataOnly="0" labelOnly="1" outline="0" fieldPosition="0">
        <references count="9">
          <reference field="0" count="1" selected="0">
            <x v="14"/>
          </reference>
          <reference field="3" count="1">
            <x v="7477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122">
      <pivotArea dataOnly="0" labelOnly="1" outline="0" fieldPosition="0">
        <references count="9">
          <reference field="0" count="1" selected="0">
            <x v="14"/>
          </reference>
          <reference field="3" count="1">
            <x v="7631"/>
          </reference>
          <reference field="5" count="1" selected="0">
            <x v="235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121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618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112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67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11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5"/>
          </reference>
          <reference field="5" count="1" selected="0">
            <x v="61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1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09"/>
          </reference>
          <reference field="5" count="1" selected="0">
            <x v="43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111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6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111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08"/>
          </reference>
          <reference field="5" count="1" selected="0">
            <x v="60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11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2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1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4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1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25"/>
          </reference>
          <reference field="5" count="1" selected="0">
            <x v="76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1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3"/>
          </reference>
          <reference field="5" count="1" selected="0">
            <x v="21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11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32"/>
          </reference>
          <reference field="5" count="1" selected="0">
            <x v="76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11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1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1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1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8"/>
          </reference>
          <reference field="5" count="1" selected="0">
            <x v="74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7"/>
          </reference>
          <reference field="5" count="1" selected="0">
            <x v="71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1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76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1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0"/>
          </reference>
          <reference field="5" count="1" selected="0">
            <x v="39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1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8"/>
          </reference>
          <reference field="5" count="1" selected="0">
            <x v="76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1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1"/>
          </reference>
          <reference field="5" count="1" selected="0">
            <x v="47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7"/>
          </reference>
          <reference field="5" count="1" selected="0">
            <x v="75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0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3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0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8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0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1"/>
          </reference>
          <reference field="5" count="1" selected="0">
            <x v="23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0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6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10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6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1094">
      <pivotArea dataOnly="0" labelOnly="1" outline="0" fieldPosition="0">
        <references count="11">
          <reference field="0" count="1" selected="0">
            <x v="2"/>
          </reference>
          <reference field="1" count="1">
            <x v="7282"/>
          </reference>
          <reference field="3" count="1" selected="0">
            <x v="7509"/>
          </reference>
          <reference field="5" count="1" selected="0">
            <x v="43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1093">
      <pivotArea dataOnly="0" labelOnly="1" outline="0" fieldPosition="0">
        <references count="11">
          <reference field="0" count="1" selected="0">
            <x v="2"/>
          </reference>
          <reference field="1" count="1">
            <x v="7280"/>
          </reference>
          <reference field="3" count="1" selected="0">
            <x v="0"/>
          </reference>
          <reference field="5" count="1" selected="0">
            <x v="196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1092">
      <pivotArea dataOnly="0" labelOnly="1" outline="0" fieldPosition="0">
        <references count="11">
          <reference field="0" count="1" selected="0">
            <x v="14"/>
          </reference>
          <reference field="1" count="1">
            <x v="7394"/>
          </reference>
          <reference field="3" count="1" selected="0">
            <x v="7618"/>
          </reference>
          <reference field="5" count="1" selected="0">
            <x v="760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091">
      <pivotArea dataOnly="0" labelOnly="1" outline="0" fieldPosition="0">
        <references count="11">
          <reference field="0" count="1" selected="0">
            <x v="14"/>
          </reference>
          <reference field="1" count="1">
            <x v="7389"/>
          </reference>
          <reference field="3" count="1" selected="0">
            <x v="7611"/>
          </reference>
          <reference field="5" count="1" selected="0">
            <x v="47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90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78"/>
          </reference>
          <reference field="5" count="1" selected="0">
            <x v="59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089">
      <pivotArea dataOnly="0" labelOnly="1" outline="0" fieldPosition="0">
        <references count="11">
          <reference field="0" count="1" selected="0">
            <x v="15"/>
          </reference>
          <reference field="1" count="1">
            <x v="7403"/>
          </reference>
          <reference field="3" count="1" selected="0">
            <x v="0"/>
          </reference>
          <reference field="5" count="1" selected="0">
            <x v="76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088">
      <pivotArea outline="0" collapsedLevelsAreSubtotals="1" fieldPosition="0"/>
    </format>
    <format dxfId="11087">
      <pivotArea dataOnly="0" labelOnly="1" outline="0" axis="axisValues" fieldPosition="0"/>
    </format>
    <format dxfId="11086">
      <pivotArea dataOnly="0" outline="0" fieldPosition="0">
        <references count="1">
          <reference field="12" count="0" defaultSubtotal="1"/>
        </references>
      </pivotArea>
    </format>
    <format dxfId="11085">
      <pivotArea outline="0" collapsedLevelsAreSubtotals="1" fieldPosition="0"/>
    </format>
    <format dxfId="11084">
      <pivotArea dataOnly="0" labelOnly="1" outline="0" axis="axisValues" fieldPosition="0"/>
    </format>
    <format dxfId="11083">
      <pivotArea outline="0" collapsedLevelsAreSubtotals="1" fieldPosition="0"/>
    </format>
    <format dxfId="11082">
      <pivotArea dataOnly="0" labelOnly="1" outline="0" axis="axisValues" fieldPosition="0"/>
    </format>
    <format dxfId="11081">
      <pivotArea dataOnly="0" labelOnly="1" outline="0" axis="axisValues" fieldPosition="0"/>
    </format>
    <format dxfId="11080">
      <pivotArea outline="0" collapsedLevelsAreSubtotals="1" fieldPosition="0"/>
    </format>
    <format dxfId="11079">
      <pivotArea field="12" type="button" dataOnly="0" labelOnly="1" outline="0" axis="axisRow" fieldPosition="2"/>
    </format>
    <format dxfId="11078">
      <pivotArea field="10" type="button" dataOnly="0" labelOnly="1" outline="0" axis="axisRow" fieldPosition="3"/>
    </format>
    <format dxfId="11077">
      <pivotArea field="16" type="button" dataOnly="0" labelOnly="1" outline="0" axis="axisRow" fieldPosition="4"/>
    </format>
    <format dxfId="11076">
      <pivotArea field="18" type="button" dataOnly="0" labelOnly="1" outline="0" axis="axisRow" fieldPosition="5"/>
    </format>
    <format dxfId="11075">
      <pivotArea field="5" type="button" dataOnly="0" labelOnly="1" outline="0" axis="axisRow" fieldPosition="6"/>
    </format>
    <format dxfId="11074">
      <pivotArea field="9" type="button" dataOnly="0" labelOnly="1" outline="0" axis="axisRow" fieldPosition="7"/>
    </format>
    <format dxfId="11073">
      <pivotArea field="3" type="button" dataOnly="0" labelOnly="1" outline="0" axis="axisRow" fieldPosition="8"/>
    </format>
    <format dxfId="11072">
      <pivotArea field="7" type="button" dataOnly="0" labelOnly="1" outline="0" axis="axisRow" fieldPosition="9"/>
    </format>
    <format dxfId="11071">
      <pivotArea field="1" type="button" dataOnly="0" labelOnly="1" outline="0" axis="axisRow" fieldPosition="10"/>
    </format>
    <format dxfId="11070">
      <pivotArea dataOnly="0" labelOnly="1" outline="0" axis="axisValues" fieldPosition="0"/>
    </format>
    <format dxfId="11069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106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1067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1066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106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06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06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06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06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06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059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1058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105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05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0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105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05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05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05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05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04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04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0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04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0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0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0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0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04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104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03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03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103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103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103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0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03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03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0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10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0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10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10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10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10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10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10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101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101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101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2"/>
          </reference>
        </references>
      </pivotArea>
    </format>
    <format dxfId="110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101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9"/>
            <x v="63"/>
            <x v="66"/>
          </reference>
        </references>
      </pivotArea>
    </format>
    <format dxfId="110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110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10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0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10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110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1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1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1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1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0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0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09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0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9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3"/>
            <x v="36"/>
            <x v="39"/>
            <x v="41"/>
            <x v="58"/>
          </reference>
        </references>
      </pivotArea>
    </format>
    <format dxfId="109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1"/>
            <x v="44"/>
            <x v="70"/>
          </reference>
        </references>
      </pivotArea>
    </format>
    <format dxfId="109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3"/>
          </reference>
        </references>
      </pivotArea>
    </format>
    <format dxfId="10990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989">
      <pivotArea dataOnly="0" labelOnly="1" outline="0" fieldPosition="0">
        <references count="7">
          <reference field="0" count="1" selected="0">
            <x v="0"/>
          </reference>
          <reference field="5" count="1">
            <x v="201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988">
      <pivotArea dataOnly="0" labelOnly="1" outline="0" fieldPosition="0">
        <references count="7">
          <reference field="0" count="1" selected="0">
            <x v="0"/>
          </reference>
          <reference field="5" count="1">
            <x v="200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987">
      <pivotArea dataOnly="0" labelOnly="1" outline="0" fieldPosition="0">
        <references count="7">
          <reference field="0" count="1" selected="0">
            <x v="0"/>
          </reference>
          <reference field="5" count="1">
            <x v="566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986">
      <pivotArea dataOnly="0" labelOnly="1" outline="0" fieldPosition="0">
        <references count="7">
          <reference field="0" count="1" selected="0">
            <x v="0"/>
          </reference>
          <reference field="5" count="1">
            <x v="596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985">
      <pivotArea dataOnly="0" labelOnly="1" outline="0" fieldPosition="0">
        <references count="7">
          <reference field="0" count="1" selected="0">
            <x v="7"/>
          </reference>
          <reference field="5" count="1">
            <x v="213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984">
      <pivotArea dataOnly="0" labelOnly="1" outline="0" fieldPosition="0">
        <references count="7">
          <reference field="0" count="1" selected="0">
            <x v="12"/>
          </reference>
          <reference field="5" count="2">
            <x v="7629"/>
            <x v="76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983">
      <pivotArea dataOnly="0" labelOnly="1" outline="0" fieldPosition="0">
        <references count="7">
          <reference field="0" count="1" selected="0">
            <x v="12"/>
          </reference>
          <reference field="5" count="1">
            <x v="7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982">
      <pivotArea dataOnly="0" labelOnly="1" outline="0" fieldPosition="0">
        <references count="7">
          <reference field="0" count="1" selected="0">
            <x v="12"/>
          </reference>
          <reference field="5" count="1">
            <x v="7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981">
      <pivotArea dataOnly="0" labelOnly="1" outline="0" fieldPosition="0">
        <references count="7">
          <reference field="0" count="1" selected="0">
            <x v="12"/>
          </reference>
          <reference field="5" count="1">
            <x v="763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0980">
      <pivotArea dataOnly="0" labelOnly="1" outline="0" fieldPosition="0">
        <references count="7">
          <reference field="0" count="1" selected="0">
            <x v="13"/>
          </reference>
          <reference field="5" count="1">
            <x v="71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979">
      <pivotArea dataOnly="0" labelOnly="1" outline="0" fieldPosition="0">
        <references count="7">
          <reference field="0" count="1" selected="0">
            <x v="13"/>
          </reference>
          <reference field="5" count="2">
            <x v="4637"/>
            <x v="75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978">
      <pivotArea dataOnly="0" labelOnly="1" outline="0" fieldPosition="0">
        <references count="7">
          <reference field="0" count="1" selected="0">
            <x v="13"/>
          </reference>
          <reference field="5" count="1">
            <x v="74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977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976">
      <pivotArea dataOnly="0" labelOnly="1" outline="0" fieldPosition="0">
        <references count="7">
          <reference field="0" count="1" selected="0">
            <x v="13"/>
          </reference>
          <reference field="5" count="1"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975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974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973">
      <pivotArea dataOnly="0" labelOnly="1" outline="0" fieldPosition="0">
        <references count="7">
          <reference field="0" count="1" selected="0">
            <x v="14"/>
          </reference>
          <reference field="5" count="1">
            <x v="433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972">
      <pivotArea dataOnly="0" labelOnly="1" outline="0" fieldPosition="0">
        <references count="7">
          <reference field="0" count="1" selected="0">
            <x v="14"/>
          </reference>
          <reference field="5" count="1">
            <x v="7432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971">
      <pivotArea dataOnly="0" labelOnly="1" outline="0" fieldPosition="0">
        <references count="7">
          <reference field="0" count="1" selected="0">
            <x v="14"/>
          </reference>
          <reference field="5" count="1">
            <x v="479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970">
      <pivotArea dataOnly="0" labelOnly="1" outline="0" fieldPosition="0">
        <references count="7">
          <reference field="0" count="1" selected="0">
            <x v="14"/>
          </reference>
          <reference field="5" count="2">
            <x v="5943"/>
            <x v="656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969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0968">
      <pivotArea dataOnly="0" labelOnly="1" outline="0" fieldPosition="0">
        <references count="7">
          <reference field="0" count="1" selected="0">
            <x v="15"/>
          </reference>
          <reference field="5" count="1">
            <x v="19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967">
      <pivotArea dataOnly="0" labelOnly="1" outline="0" fieldPosition="0">
        <references count="7">
          <reference field="0" count="1" selected="0">
            <x v="15"/>
          </reference>
          <reference field="5" count="1">
            <x v="76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966">
      <pivotArea dataOnly="0" labelOnly="1" outline="0" fieldPosition="0">
        <references count="7">
          <reference field="0" count="1" selected="0">
            <x v="15"/>
          </reference>
          <reference field="5" count="1"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965">
      <pivotArea dataOnly="0" labelOnly="1" outline="0" fieldPosition="0">
        <references count="7">
          <reference field="0" count="1" selected="0">
            <x v="15"/>
          </reference>
          <reference field="5" count="1">
            <x v="761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0964">
      <pivotArea dataOnly="0" labelOnly="1" outline="0" fieldPosition="0">
        <references count="7">
          <reference field="0" count="1" selected="0">
            <x v="15"/>
          </reference>
          <reference field="5" count="2">
            <x v="2623"/>
            <x v="762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963">
      <pivotArea dataOnly="0" labelOnly="1" outline="0" fieldPosition="0">
        <references count="7">
          <reference field="0" count="1" selected="0">
            <x v="15"/>
          </reference>
          <reference field="5" count="1">
            <x v="741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09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961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9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95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2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95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3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9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9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9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9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3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9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9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9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9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9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9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948">
      <pivotArea dataOnly="0" labelOnly="1" outline="0" fieldPosition="0">
        <references count="9">
          <reference field="0" count="1" selected="0">
            <x v="14"/>
          </reference>
          <reference field="3" count="1">
            <x v="7475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947">
      <pivotArea dataOnly="0" labelOnly="1" outline="0" fieldPosition="0">
        <references count="9">
          <reference field="0" count="1" selected="0">
            <x v="0"/>
          </reference>
          <reference field="3" count="1">
            <x v="7224"/>
          </reference>
          <reference field="5" count="1" selected="0">
            <x v="20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946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945">
      <pivotArea dataOnly="0" labelOnly="1" outline="0" fieldPosition="0">
        <references count="9">
          <reference field="0" count="1" selected="0">
            <x v="0"/>
          </reference>
          <reference field="3" count="1">
            <x v="7225"/>
          </reference>
          <reference field="5" count="1" selected="0">
            <x v="56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944">
      <pivotArea dataOnly="0" labelOnly="1" outline="0" fieldPosition="0">
        <references count="9">
          <reference field="0" count="1" selected="0">
            <x v="0"/>
          </reference>
          <reference field="3" count="1">
            <x v="7581"/>
          </reference>
          <reference field="5" count="1" selected="0">
            <x v="59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943">
      <pivotArea dataOnly="0" labelOnly="1" outline="0" fieldPosition="0">
        <references count="9">
          <reference field="0" count="1" selected="0">
            <x v="7"/>
          </reference>
          <reference field="3" count="1">
            <x v="7333"/>
          </reference>
          <reference field="5" count="1" selected="0">
            <x v="21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94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94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7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9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939">
      <pivotArea dataOnly="0" labelOnly="1" outline="0" fieldPosition="0">
        <references count="9">
          <reference field="0" count="1" selected="0">
            <x v="14"/>
          </reference>
          <reference field="3" count="1">
            <x v="7366"/>
          </reference>
          <reference field="5" count="1" selected="0">
            <x v="433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93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937">
      <pivotArea dataOnly="0" labelOnly="1" outline="0" fieldPosition="0">
        <references count="9">
          <reference field="0" count="1" selected="0">
            <x v="14"/>
          </reference>
          <reference field="3" count="1">
            <x v="7611"/>
          </reference>
          <reference field="5" count="1" selected="0">
            <x v="479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936">
      <pivotArea dataOnly="0" labelOnly="1" outline="0" fieldPosition="0">
        <references count="9">
          <reference field="0" count="1" selected="0">
            <x v="14"/>
          </reference>
          <reference field="3" count="1">
            <x v="7478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935">
      <pivotArea dataOnly="0" labelOnly="1" outline="0" fieldPosition="0">
        <references count="9">
          <reference field="0" count="1" selected="0">
            <x v="14"/>
          </reference>
          <reference field="3" count="1">
            <x v="7480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934">
      <pivotArea dataOnly="0" labelOnly="1" outline="0" fieldPosition="0">
        <references count="9">
          <reference field="0" count="1" selected="0">
            <x v="14"/>
          </reference>
          <reference field="3" count="1">
            <x v="7477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0933">
      <pivotArea dataOnly="0" labelOnly="1" outline="0" fieldPosition="0">
        <references count="9">
          <reference field="0" count="1" selected="0">
            <x v="15"/>
          </reference>
          <reference field="3" count="1">
            <x v="7616"/>
          </reference>
          <reference field="5" count="1" selected="0">
            <x v="19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932">
      <pivotArea dataOnly="0" labelOnly="1" outline="0" fieldPosition="0">
        <references count="9">
          <reference field="0" count="1" selected="0">
            <x v="15"/>
          </reference>
          <reference field="3" count="1">
            <x v="7634"/>
          </reference>
          <reference field="5" count="1" selected="0">
            <x v="76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931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618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09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5"/>
          </reference>
          <reference field="5" count="1" selected="0">
            <x v="61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92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224"/>
          </reference>
          <reference field="5" count="1" selected="0">
            <x v="20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92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9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3"/>
          </reference>
          <reference field="5" count="1" selected="0">
            <x v="21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9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92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9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9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6"/>
          </reference>
          <reference field="5" count="1" selected="0">
            <x v="43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9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9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1"/>
          </reference>
          <reference field="5" count="1" selected="0">
            <x v="47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9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8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9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6"/>
          </reference>
          <reference field="5" count="1" selected="0">
            <x v="19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9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4"/>
          </reference>
          <reference field="5" count="1" selected="0">
            <x v="76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9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6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0916">
      <pivotArea dataOnly="0" labelOnly="1" outline="0" fieldPosition="0">
        <references count="11">
          <reference field="0" count="1" selected="0">
            <x v="0"/>
          </reference>
          <reference field="1" count="1">
            <x v="6258"/>
          </reference>
          <reference field="3" count="1" selected="0">
            <x v="0"/>
          </reference>
          <reference field="5" count="1" selected="0">
            <x v="200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915">
      <pivotArea dataOnly="0" labelOnly="1" outline="0" fieldPosition="0">
        <references count="11">
          <reference field="0" count="1" selected="0">
            <x v="12"/>
          </reference>
          <reference field="1" count="1">
            <x v="7409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914">
      <pivotArea dataOnly="0" labelOnly="1" outline="0" fieldPosition="0">
        <references count="11">
          <reference field="0" count="1" selected="0">
            <x v="14"/>
          </reference>
          <reference field="1" count="1">
            <x v="7408"/>
          </reference>
          <reference field="3" count="1" selected="0">
            <x v="0"/>
          </reference>
          <reference field="5" count="1" selected="0">
            <x v="743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913">
      <pivotArea dataOnly="0" labelOnly="1" outline="0" fieldPosition="0">
        <references count="11">
          <reference field="0" count="1" selected="0">
            <x v="14"/>
          </reference>
          <reference field="1" count="1">
            <x v="7389"/>
          </reference>
          <reference field="3" count="1" selected="0">
            <x v="7611"/>
          </reference>
          <reference field="5" count="1" selected="0">
            <x v="47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912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78"/>
          </reference>
          <reference field="5" count="1" selected="0">
            <x v="59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911">
      <pivotArea dataOnly="0" labelOnly="1" outline="0" fieldPosition="0">
        <references count="11">
          <reference field="0" count="1" selected="0">
            <x v="15"/>
          </reference>
          <reference field="1" count="1">
            <x v="7407"/>
          </reference>
          <reference field="3" count="1" selected="0">
            <x v="7634"/>
          </reference>
          <reference field="5" count="1" selected="0">
            <x v="762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910">
      <pivotArea dataOnly="0" labelOnly="1" outline="0" fieldPosition="0">
        <references count="11">
          <reference field="0" count="1" selected="0">
            <x v="15"/>
          </reference>
          <reference field="1" count="1">
            <x v="7406"/>
          </reference>
          <reference field="3" count="1" selected="0">
            <x v="0"/>
          </reference>
          <reference field="5" count="1" selected="0">
            <x v="2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909">
      <pivotArea outline="0" collapsedLevelsAreSubtotals="1" fieldPosition="0"/>
    </format>
    <format dxfId="10908">
      <pivotArea dataOnly="0" labelOnly="1" outline="0" axis="axisValues" fieldPosition="0"/>
    </format>
    <format dxfId="10907">
      <pivotArea dataOnly="0" outline="0" fieldPosition="0">
        <references count="1">
          <reference field="12" count="0" defaultSubtotal="1"/>
        </references>
      </pivotArea>
    </format>
    <format dxfId="10906">
      <pivotArea outline="0" collapsedLevelsAreSubtotals="1" fieldPosition="0"/>
    </format>
    <format dxfId="10905">
      <pivotArea dataOnly="0" labelOnly="1" outline="0" axis="axisValues" fieldPosition="0"/>
    </format>
    <format dxfId="10904">
      <pivotArea outline="0" collapsedLevelsAreSubtotals="1" fieldPosition="0"/>
    </format>
    <format dxfId="10903">
      <pivotArea dataOnly="0" labelOnly="1" outline="0" axis="axisValues" fieldPosition="0"/>
    </format>
    <format dxfId="10902">
      <pivotArea dataOnly="0" labelOnly="1" outline="0" axis="axisValues" fieldPosition="0"/>
    </format>
    <format dxfId="10901">
      <pivotArea outline="0" collapsedLevelsAreSubtotals="1" fieldPosition="0"/>
    </format>
    <format dxfId="10900">
      <pivotArea field="12" type="button" dataOnly="0" labelOnly="1" outline="0" axis="axisRow" fieldPosition="2"/>
    </format>
    <format dxfId="10899">
      <pivotArea field="10" type="button" dataOnly="0" labelOnly="1" outline="0" axis="axisRow" fieldPosition="3"/>
    </format>
    <format dxfId="10898">
      <pivotArea field="16" type="button" dataOnly="0" labelOnly="1" outline="0" axis="axisRow" fieldPosition="4"/>
    </format>
    <format dxfId="10897">
      <pivotArea field="18" type="button" dataOnly="0" labelOnly="1" outline="0" axis="axisRow" fieldPosition="5"/>
    </format>
    <format dxfId="10896">
      <pivotArea field="5" type="button" dataOnly="0" labelOnly="1" outline="0" axis="axisRow" fieldPosition="6"/>
    </format>
    <format dxfId="10895">
      <pivotArea field="9" type="button" dataOnly="0" labelOnly="1" outline="0" axis="axisRow" fieldPosition="7"/>
    </format>
    <format dxfId="10894">
      <pivotArea field="3" type="button" dataOnly="0" labelOnly="1" outline="0" axis="axisRow" fieldPosition="8"/>
    </format>
    <format dxfId="10893">
      <pivotArea field="7" type="button" dataOnly="0" labelOnly="1" outline="0" axis="axisRow" fieldPosition="9"/>
    </format>
    <format dxfId="10892">
      <pivotArea field="1" type="button" dataOnly="0" labelOnly="1" outline="0" axis="axisRow" fieldPosition="10"/>
    </format>
    <format dxfId="10891">
      <pivotArea dataOnly="0" labelOnly="1" outline="0" axis="axisValues" fieldPosition="0"/>
    </format>
    <format dxfId="10890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088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0888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1088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1088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88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88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88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882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0881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088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87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8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087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87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7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7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7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8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87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8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8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8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8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86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8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86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8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086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86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86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8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5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5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84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8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083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08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08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8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8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8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8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8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8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8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8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8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108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10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10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0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08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39"/>
            <x v="41"/>
            <x v="58"/>
            <x v="130"/>
          </reference>
        </references>
      </pivotArea>
    </format>
    <format dxfId="108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44"/>
            <x v="80"/>
          </reference>
        </references>
      </pivotArea>
    </format>
    <format dxfId="108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0814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813">
      <pivotArea dataOnly="0" labelOnly="1" outline="0" fieldPosition="0">
        <references count="7">
          <reference field="0" count="1" selected="0">
            <x v="7"/>
          </reference>
          <reference field="5" count="1">
            <x v="7593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812">
      <pivotArea dataOnly="0" labelOnly="1" outline="0" fieldPosition="0">
        <references count="7">
          <reference field="0" count="1" selected="0">
            <x v="12"/>
          </reference>
          <reference field="5" count="1">
            <x v="79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811">
      <pivotArea dataOnly="0" labelOnly="1" outline="0" fieldPosition="0">
        <references count="7">
          <reference field="0" count="1" selected="0">
            <x v="12"/>
          </reference>
          <reference field="5" count="1">
            <x v="7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810">
      <pivotArea dataOnly="0" labelOnly="1" outline="0" fieldPosition="0">
        <references count="7">
          <reference field="0" count="1" selected="0">
            <x v="13"/>
          </reference>
          <reference field="5" count="1">
            <x v="71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809">
      <pivotArea dataOnly="0" labelOnly="1" outline="0" fieldPosition="0">
        <references count="7">
          <reference field="0" count="1" selected="0">
            <x v="13"/>
          </reference>
          <reference field="5" count="2">
            <x v="4637"/>
            <x v="75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808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807">
      <pivotArea dataOnly="0" labelOnly="1" outline="0" fieldPosition="0">
        <references count="7">
          <reference field="0" count="1" selected="0">
            <x v="13"/>
          </reference>
          <reference field="5" count="1"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806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805">
      <pivotArea dataOnly="0" labelOnly="1" outline="0" fieldPosition="0">
        <references count="7">
          <reference field="0" count="1" selected="0">
            <x v="14"/>
          </reference>
          <reference field="5" count="1">
            <x v="433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804">
      <pivotArea dataOnly="0" labelOnly="1" outline="0" fieldPosition="0">
        <references count="7">
          <reference field="0" count="1" selected="0">
            <x v="14"/>
          </reference>
          <reference field="5" count="1">
            <x v="755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803">
      <pivotArea dataOnly="0" labelOnly="1" outline="0" fieldPosition="0">
        <references count="7">
          <reference field="0" count="1" selected="0">
            <x v="14"/>
          </reference>
          <reference field="5" count="1">
            <x v="3775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0802">
      <pivotArea dataOnly="0" labelOnly="1" outline="0" fieldPosition="0">
        <references count="7">
          <reference field="0" count="1" selected="0">
            <x v="14"/>
          </reference>
          <reference field="5" count="1">
            <x v="7636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801">
      <pivotArea dataOnly="0" labelOnly="1" outline="0" fieldPosition="0">
        <references count="7">
          <reference field="0" count="1" selected="0">
            <x v="14"/>
          </reference>
          <reference field="5" count="2">
            <x v="5943"/>
            <x v="656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800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799">
      <pivotArea dataOnly="0" labelOnly="1" outline="0" fieldPosition="0">
        <references count="7">
          <reference field="0" count="1" selected="0">
            <x v="14"/>
          </reference>
          <reference field="5" count="1">
            <x v="235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0798">
      <pivotArea dataOnly="0" labelOnly="1" outline="0" fieldPosition="0">
        <references count="7">
          <reference field="0" count="1" selected="0">
            <x v="15"/>
          </reference>
          <reference field="5" count="1">
            <x v="76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797">
      <pivotArea dataOnly="0" labelOnly="1" outline="0" fieldPosition="0">
        <references count="7">
          <reference field="0" count="1" selected="0">
            <x v="15"/>
          </reference>
          <reference field="5" count="1"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796">
      <pivotArea dataOnly="0" labelOnly="1" outline="0" fieldPosition="0">
        <references count="7">
          <reference field="0" count="1" selected="0">
            <x v="15"/>
          </reference>
          <reference field="5" count="1">
            <x v="38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10795">
      <pivotArea dataOnly="0" labelOnly="1" outline="0" fieldPosition="0">
        <references count="7">
          <reference field="0" count="1" selected="0">
            <x v="15"/>
          </reference>
          <reference field="5" count="1">
            <x v="761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794">
      <pivotArea dataOnly="0" labelOnly="1" outline="0" fieldPosition="0">
        <references count="7">
          <reference field="0" count="1" selected="0">
            <x v="15"/>
          </reference>
          <reference field="5" count="1">
            <x v="111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0"/>
          </reference>
        </references>
      </pivotArea>
    </format>
    <format dxfId="10793">
      <pivotArea dataOnly="0" labelOnly="1" outline="0" fieldPosition="0">
        <references count="7">
          <reference field="0" count="1" selected="0">
            <x v="15"/>
          </reference>
          <reference field="5" count="2">
            <x v="7634"/>
            <x v="763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7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9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79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7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7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3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07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7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7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5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07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780">
      <pivotArea dataOnly="0" labelOnly="1" outline="0" fieldPosition="0">
        <references count="9">
          <reference field="0" count="1" selected="0">
            <x v="14"/>
          </reference>
          <reference field="3" count="1">
            <x v="7475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79">
      <pivotArea dataOnly="0" labelOnly="1" outline="0" fieldPosition="0">
        <references count="9">
          <reference field="0" count="1" selected="0">
            <x v="7"/>
          </reference>
          <reference field="3" count="1">
            <x v="7586"/>
          </reference>
          <reference field="5" count="1" selected="0">
            <x v="759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77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77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77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7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75">
      <pivotArea dataOnly="0" labelOnly="1" outline="0" fieldPosition="0">
        <references count="9">
          <reference field="0" count="1" selected="0">
            <x v="14"/>
          </reference>
          <reference field="3" count="1">
            <x v="7366"/>
          </reference>
          <reference field="5" count="1" selected="0">
            <x v="433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73">
      <pivotArea dataOnly="0" labelOnly="1" outline="0" fieldPosition="0">
        <references count="9">
          <reference field="0" count="1" selected="0">
            <x v="14"/>
          </reference>
          <reference field="3" count="1">
            <x v="7522"/>
          </reference>
          <reference field="5" count="1" selected="0">
            <x v="377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0772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763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771">
      <pivotArea dataOnly="0" labelOnly="1" outline="0" fieldPosition="0">
        <references count="9">
          <reference field="0" count="1" selected="0">
            <x v="14"/>
          </reference>
          <reference field="3" count="1">
            <x v="7478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770">
      <pivotArea dataOnly="0" labelOnly="1" outline="0" fieldPosition="0">
        <references count="9">
          <reference field="0" count="1" selected="0">
            <x v="14"/>
          </reference>
          <reference field="3" count="1">
            <x v="7480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769">
      <pivotArea dataOnly="0" labelOnly="1" outline="0" fieldPosition="0">
        <references count="9">
          <reference field="0" count="1" selected="0">
            <x v="14"/>
          </reference>
          <reference field="3" count="1">
            <x v="7477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768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235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0767">
      <pivotArea dataOnly="0" labelOnly="1" outline="0" fieldPosition="0">
        <references count="9">
          <reference field="0" count="1" selected="0">
            <x v="15"/>
          </reference>
          <reference field="3" count="1">
            <x v="7634"/>
          </reference>
          <reference field="5" count="1" selected="0">
            <x v="76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766">
      <pivotArea dataOnly="0" labelOnly="1" outline="0" fieldPosition="0">
        <references count="9">
          <reference field="0" count="1" selected="0">
            <x v="15"/>
          </reference>
          <reference field="3" count="1">
            <x v="7521"/>
          </reference>
          <reference field="5" count="1" selected="0">
            <x v="38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10765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618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764">
      <pivotArea dataOnly="0" labelOnly="1" outline="0" fieldPosition="0">
        <references count="9">
          <reference field="0" count="1" selected="0">
            <x v="15"/>
          </reference>
          <reference field="3" count="1">
            <x v="7635"/>
          </reference>
          <reference field="5" count="1" selected="0">
            <x v="111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0"/>
          </reference>
        </references>
      </pivotArea>
    </format>
    <format dxfId="10763">
      <pivotArea dataOnly="0" labelOnly="1" outline="0" fieldPosition="0">
        <references count="9">
          <reference field="0" count="1" selected="0">
            <x v="15"/>
          </reference>
          <reference field="3" count="1">
            <x v="7484"/>
          </reference>
          <reference field="5" count="1" selected="0">
            <x v="763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76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3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7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5"/>
          </reference>
          <reference field="5" count="1" selected="0">
            <x v="61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86"/>
          </reference>
          <reference field="5" count="1" selected="0">
            <x v="759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75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75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75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6"/>
          </reference>
          <reference field="5" count="1" selected="0">
            <x v="43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2"/>
          </reference>
          <reference field="5" count="1" selected="0">
            <x v="37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07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6"/>
          </reference>
          <reference field="5" count="1" selected="0">
            <x v="76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7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8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7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9"/>
          </reference>
          <reference field="5" count="1" selected="0">
            <x v="23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07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4"/>
          </reference>
          <reference field="5" count="1" selected="0">
            <x v="76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7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21"/>
          </reference>
          <reference field="5" count="1" selected="0">
            <x v="38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107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6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7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746">
      <pivotArea dataOnly="0" labelOnly="1" outline="0" fieldPosition="0">
        <references count="11">
          <reference field="0" count="1" selected="0">
            <x v="12"/>
          </reference>
          <reference field="1" count="1">
            <x v="7418"/>
          </reference>
          <reference field="3" count="1" selected="0">
            <x v="0"/>
          </reference>
          <reference field="5" count="1" selected="0">
            <x v="76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745">
      <pivotArea dataOnly="0" labelOnly="1" outline="0" fieldPosition="0">
        <references count="11">
          <reference field="0" count="1" selected="0">
            <x v="14"/>
          </reference>
          <reference field="1" count="1">
            <x v="7415"/>
          </reference>
          <reference field="3" count="1" selected="0">
            <x v="2"/>
          </reference>
          <reference field="5" count="1" selected="0">
            <x v="75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44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78"/>
          </reference>
          <reference field="5" count="1" selected="0">
            <x v="59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743">
      <pivotArea dataOnly="0" labelOnly="1" outline="0" fieldPosition="0">
        <references count="11">
          <reference field="0" count="1" selected="0">
            <x v="15"/>
          </reference>
          <reference field="1" count="1">
            <x v="7407"/>
          </reference>
          <reference field="3" count="1" selected="0">
            <x v="7634"/>
          </reference>
          <reference field="5" count="1" selected="0">
            <x v="762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742">
      <pivotArea dataOnly="0" labelOnly="1" outline="0" fieldPosition="0">
        <references count="11">
          <reference field="0" count="1" selected="0">
            <x v="15"/>
          </reference>
          <reference field="1" count="1">
            <x v="7413"/>
          </reference>
          <reference field="3" count="1" selected="0">
            <x v="7635"/>
          </reference>
          <reference field="5" count="1" selected="0">
            <x v="111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0"/>
          </reference>
        </references>
      </pivotArea>
    </format>
    <format dxfId="10741">
      <pivotArea dataOnly="0" labelOnly="1" outline="0" fieldPosition="0">
        <references count="11">
          <reference field="0" count="1" selected="0">
            <x v="15"/>
          </reference>
          <reference field="1" count="1">
            <x v="7414"/>
          </reference>
          <reference field="3" count="1" selected="0">
            <x v="7484"/>
          </reference>
          <reference field="5" count="1" selected="0">
            <x v="763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740">
      <pivotArea outline="0" collapsedLevelsAreSubtotals="1" fieldPosition="0"/>
    </format>
    <format dxfId="10739">
      <pivotArea dataOnly="0" labelOnly="1" outline="0" axis="axisValues" fieldPosition="0"/>
    </format>
    <format dxfId="10738">
      <pivotArea dataOnly="0" outline="0" fieldPosition="0">
        <references count="1">
          <reference field="12" count="0" defaultSubtotal="1"/>
        </references>
      </pivotArea>
    </format>
    <format dxfId="10737">
      <pivotArea outline="0" collapsedLevelsAreSubtotals="1" fieldPosition="0"/>
    </format>
    <format dxfId="10736">
      <pivotArea dataOnly="0" labelOnly="1" outline="0" axis="axisValues" fieldPosition="0"/>
    </format>
    <format dxfId="10735">
      <pivotArea outline="0" collapsedLevelsAreSubtotals="1" fieldPosition="0"/>
    </format>
    <format dxfId="10734">
      <pivotArea dataOnly="0" labelOnly="1" outline="0" axis="axisValues" fieldPosition="0"/>
    </format>
    <format dxfId="10733">
      <pivotArea dataOnly="0" labelOnly="1" outline="0" axis="axisValues" fieldPosition="0"/>
    </format>
    <format dxfId="10732">
      <pivotArea outline="0" collapsedLevelsAreSubtotals="1" fieldPosition="0"/>
    </format>
    <format dxfId="10731">
      <pivotArea field="12" type="button" dataOnly="0" labelOnly="1" outline="0" axis="axisRow" fieldPosition="2"/>
    </format>
    <format dxfId="10730">
      <pivotArea field="10" type="button" dataOnly="0" labelOnly="1" outline="0" axis="axisRow" fieldPosition="3"/>
    </format>
    <format dxfId="10729">
      <pivotArea field="16" type="button" dataOnly="0" labelOnly="1" outline="0" axis="axisRow" fieldPosition="4"/>
    </format>
    <format dxfId="10728">
      <pivotArea field="18" type="button" dataOnly="0" labelOnly="1" outline="0" axis="axisRow" fieldPosition="5"/>
    </format>
    <format dxfId="10727">
      <pivotArea field="5" type="button" dataOnly="0" labelOnly="1" outline="0" axis="axisRow" fieldPosition="6"/>
    </format>
    <format dxfId="10726">
      <pivotArea field="9" type="button" dataOnly="0" labelOnly="1" outline="0" axis="axisRow" fieldPosition="7"/>
    </format>
    <format dxfId="10725">
      <pivotArea field="3" type="button" dataOnly="0" labelOnly="1" outline="0" axis="axisRow" fieldPosition="8"/>
    </format>
    <format dxfId="10724">
      <pivotArea field="7" type="button" dataOnly="0" labelOnly="1" outline="0" axis="axisRow" fieldPosition="9"/>
    </format>
    <format dxfId="10723">
      <pivotArea field="1" type="button" dataOnly="0" labelOnly="1" outline="0" axis="axisRow" fieldPosition="10"/>
    </format>
    <format dxfId="10722">
      <pivotArea dataOnly="0" labelOnly="1" outline="0" axis="axisValues" fieldPosition="0"/>
    </format>
    <format dxfId="10721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720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719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1071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1071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71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71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71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713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10712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1071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71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709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70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07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070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05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0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0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7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7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70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6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698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6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6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6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6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69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6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06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69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68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88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06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06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068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68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6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6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6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6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06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6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06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06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06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06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06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0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06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106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06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066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667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106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06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066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06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106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6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106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6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6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06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106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06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10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6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0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10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0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0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6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06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06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0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06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3"/>
            <x v="36"/>
            <x v="39"/>
            <x v="41"/>
            <x v="58"/>
          </reference>
        </references>
      </pivotArea>
    </format>
    <format dxfId="106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1"/>
          </reference>
        </references>
      </pivotArea>
    </format>
    <format dxfId="106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0641">
      <pivotArea dataOnly="0" labelOnly="1" outline="0" fieldPosition="0">
        <references count="7">
          <reference field="0" count="1" selected="0">
            <x v="14"/>
          </reference>
          <reference field="5" count="1">
            <x v="3475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640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639">
      <pivotArea dataOnly="0" labelOnly="1" outline="0" fieldPosition="0">
        <references count="7">
          <reference field="0" count="1" selected="0">
            <x v="13"/>
          </reference>
          <reference field="5" count="1">
            <x v="71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638">
      <pivotArea dataOnly="0" labelOnly="1" outline="0" fieldPosition="0">
        <references count="7">
          <reference field="0" count="1" selected="0">
            <x v="13"/>
          </reference>
          <reference field="5" count="2">
            <x v="4637"/>
            <x v="75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637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636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635">
      <pivotArea dataOnly="0" labelOnly="1" outline="0" fieldPosition="0">
        <references count="7">
          <reference field="0" count="1" selected="0">
            <x v="14"/>
          </reference>
          <reference field="5" count="1">
            <x v="433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634">
      <pivotArea dataOnly="0" labelOnly="1" outline="0" fieldPosition="0">
        <references count="7">
          <reference field="0" count="1" selected="0">
            <x v="14"/>
          </reference>
          <reference field="5" count="1">
            <x v="7638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633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632">
      <pivotArea dataOnly="0" labelOnly="1" outline="0" fieldPosition="0">
        <references count="7">
          <reference field="0" count="1" selected="0">
            <x v="14"/>
          </reference>
          <reference field="5" count="1">
            <x v="610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631">
      <pivotArea dataOnly="0" labelOnly="1" outline="0" fieldPosition="0">
        <references count="7">
          <reference field="0" count="1" selected="0">
            <x v="14"/>
          </reference>
          <reference field="5" count="1">
            <x v="7553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630">
      <pivotArea dataOnly="0" labelOnly="1" outline="0" fieldPosition="0">
        <references count="7">
          <reference field="0" count="1" selected="0">
            <x v="14"/>
          </reference>
          <reference field="5" count="1">
            <x v="453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629">
      <pivotArea dataOnly="0" labelOnly="1" outline="0" fieldPosition="0">
        <references count="7">
          <reference field="0" count="1" selected="0">
            <x v="14"/>
          </reference>
          <reference field="5" count="1">
            <x v="7612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628">
      <pivotArea dataOnly="0" labelOnly="1" outline="0" fieldPosition="0">
        <references count="7">
          <reference field="0" count="1" selected="0">
            <x v="14"/>
          </reference>
          <reference field="5" count="1">
            <x v="3988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627">
      <pivotArea dataOnly="0" labelOnly="1" outline="0" fieldPosition="0">
        <references count="7">
          <reference field="0" count="1" selected="0">
            <x v="14"/>
          </reference>
          <reference field="5" count="1">
            <x v="4792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626">
      <pivotArea dataOnly="0" labelOnly="1" outline="0" fieldPosition="0">
        <references count="7">
          <reference field="0" count="1" selected="0">
            <x v="14"/>
          </reference>
          <reference field="5" count="1">
            <x v="3855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625">
      <pivotArea dataOnly="0" labelOnly="1" outline="0" fieldPosition="0">
        <references count="7">
          <reference field="0" count="1" selected="0">
            <x v="14"/>
          </reference>
          <reference field="5" count="1">
            <x v="7337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624">
      <pivotArea dataOnly="0" labelOnly="1" outline="0" fieldPosition="0">
        <references count="7">
          <reference field="0" count="1" selected="0">
            <x v="14"/>
          </reference>
          <reference field="5" count="2">
            <x v="5943"/>
            <x v="656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623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0622">
      <pivotArea dataOnly="0" labelOnly="1" outline="0" fieldPosition="0">
        <references count="7">
          <reference field="0" count="1" selected="0">
            <x v="15"/>
          </reference>
          <reference field="5" count="1">
            <x v="19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621">
      <pivotArea dataOnly="0" labelOnly="1" outline="0" fieldPosition="0">
        <references count="7">
          <reference field="0" count="1" selected="0">
            <x v="15"/>
          </reference>
          <reference field="5" count="1">
            <x v="76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620">
      <pivotArea dataOnly="0" labelOnly="1" outline="0" fieldPosition="0">
        <references count="7">
          <reference field="0" count="1" selected="0">
            <x v="15"/>
          </reference>
          <reference field="5" count="1"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619">
      <pivotArea dataOnly="0" labelOnly="1" outline="0" fieldPosition="0">
        <references count="7">
          <reference field="0" count="1" selected="0">
            <x v="15"/>
          </reference>
          <reference field="5" count="1">
            <x v="763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6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6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6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6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3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6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6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6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6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3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6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3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6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6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6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9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6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6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6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6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6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601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34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600">
      <pivotArea dataOnly="0" labelOnly="1" outline="0" fieldPosition="0">
        <references count="9">
          <reference field="0" count="1" selected="0">
            <x v="14"/>
          </reference>
          <reference field="3" count="1">
            <x v="7475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59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59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7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597">
      <pivotArea dataOnly="0" labelOnly="1" outline="0" fieldPosition="0">
        <references count="9">
          <reference field="0" count="1" selected="0">
            <x v="14"/>
          </reference>
          <reference field="3" count="1">
            <x v="7366"/>
          </reference>
          <reference field="5" count="1" selected="0">
            <x v="433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596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763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5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594">
      <pivotArea dataOnly="0" labelOnly="1" outline="0" fieldPosition="0">
        <references count="9">
          <reference field="0" count="1" selected="0">
            <x v="14"/>
          </reference>
          <reference field="3" count="1">
            <x v="7226"/>
          </reference>
          <reference field="5" count="1" selected="0">
            <x v="61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5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3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592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453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591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76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590">
      <pivotArea dataOnly="0" labelOnly="1" outline="0" fieldPosition="0">
        <references count="9">
          <reference field="0" count="1" selected="0">
            <x v="14"/>
          </reference>
          <reference field="3" count="1">
            <x v="7540"/>
          </reference>
          <reference field="5" count="1" selected="0">
            <x v="398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589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479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588">
      <pivotArea dataOnly="0" labelOnly="1" outline="0" fieldPosition="0">
        <references count="9">
          <reference field="0" count="1" selected="0">
            <x v="14"/>
          </reference>
          <reference field="3" count="1">
            <x v="7529"/>
          </reference>
          <reference field="5" count="1" selected="0">
            <x v="3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587">
      <pivotArea dataOnly="0" labelOnly="1" outline="0" fieldPosition="0">
        <references count="9">
          <reference field="0" count="1" selected="0">
            <x v="14"/>
          </reference>
          <reference field="3" count="1">
            <x v="7478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586">
      <pivotArea dataOnly="0" labelOnly="1" outline="0" fieldPosition="0">
        <references count="9">
          <reference field="0" count="1" selected="0">
            <x v="14"/>
          </reference>
          <reference field="3" count="1">
            <x v="7480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585">
      <pivotArea dataOnly="0" labelOnly="1" outline="0" fieldPosition="0">
        <references count="9">
          <reference field="0" count="1" selected="0">
            <x v="14"/>
          </reference>
          <reference field="3" count="1">
            <x v="7477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0584">
      <pivotArea dataOnly="0" labelOnly="1" outline="0" fieldPosition="0">
        <references count="9">
          <reference field="0" count="1" selected="0">
            <x v="15"/>
          </reference>
          <reference field="3" count="1">
            <x v="7616"/>
          </reference>
          <reference field="5" count="1" selected="0">
            <x v="19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583">
      <pivotArea dataOnly="0" labelOnly="1" outline="0" fieldPosition="0">
        <references count="9">
          <reference field="0" count="1" selected="0">
            <x v="15"/>
          </reference>
          <reference field="3" count="1">
            <x v="7634"/>
          </reference>
          <reference field="5" count="1" selected="0">
            <x v="76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582">
      <pivotArea dataOnly="0" labelOnly="1" outline="0" fieldPosition="0">
        <references count="9">
          <reference field="0" count="1" selected="0">
            <x v="15"/>
          </reference>
          <reference field="3" count="1">
            <x v="7484"/>
          </reference>
          <reference field="5" count="1" selected="0">
            <x v="763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5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3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5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5"/>
          </reference>
          <reference field="5" count="1" selected="0">
            <x v="61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5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57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5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6"/>
          </reference>
          <reference field="5" count="1" selected="0">
            <x v="43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5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76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5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5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6"/>
          </reference>
          <reference field="5" count="1" selected="0">
            <x v="61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5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5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45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5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76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5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0"/>
          </reference>
          <reference field="5" count="1" selected="0">
            <x v="39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5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47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5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9"/>
          </reference>
          <reference field="5" count="1" selected="0">
            <x v="38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5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8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5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6"/>
          </reference>
          <reference field="5" count="1" selected="0">
            <x v="19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5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4"/>
          </reference>
          <reference field="5" count="1" selected="0">
            <x v="76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5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4"/>
          </reference>
          <reference field="5" count="1" selected="0">
            <x v="76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563">
      <pivotArea dataOnly="0" labelOnly="1" outline="0" fieldPosition="0">
        <references count="11">
          <reference field="0" count="1" selected="0">
            <x v="14"/>
          </reference>
          <reference field="1" count="1">
            <x v="7306"/>
          </reference>
          <reference field="3" count="1" selected="0">
            <x v="7529"/>
          </reference>
          <reference field="5" count="1" selected="0">
            <x v="385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562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78"/>
          </reference>
          <reference field="5" count="1" selected="0">
            <x v="59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561">
      <pivotArea dataOnly="0" labelOnly="1" outline="0" fieldPosition="0">
        <references count="11">
          <reference field="0" count="1" selected="0">
            <x v="15"/>
          </reference>
          <reference field="1" count="1">
            <x v="7407"/>
          </reference>
          <reference field="3" count="1" selected="0">
            <x v="7634"/>
          </reference>
          <reference field="5" count="1" selected="0">
            <x v="762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560">
      <pivotArea dataOnly="0" labelOnly="1" outline="0" fieldPosition="0">
        <references count="11">
          <reference field="0" count="1" selected="0">
            <x v="15"/>
          </reference>
          <reference field="1" count="1">
            <x v="7414"/>
          </reference>
          <reference field="3" count="1" selected="0">
            <x v="7484"/>
          </reference>
          <reference field="5" count="1" selected="0">
            <x v="763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559">
      <pivotArea outline="0" collapsedLevelsAreSubtotals="1" fieldPosition="0"/>
    </format>
    <format dxfId="10558">
      <pivotArea dataOnly="0" labelOnly="1" outline="0" axis="axisValues" fieldPosition="0"/>
    </format>
    <format dxfId="10557">
      <pivotArea dataOnly="0" outline="0" fieldPosition="0">
        <references count="1">
          <reference field="12" count="0" defaultSubtotal="1"/>
        </references>
      </pivotArea>
    </format>
    <format dxfId="10556">
      <pivotArea outline="0" collapsedLevelsAreSubtotals="1" fieldPosition="0"/>
    </format>
    <format dxfId="10555">
      <pivotArea dataOnly="0" labelOnly="1" outline="0" axis="axisValues" fieldPosition="0"/>
    </format>
    <format dxfId="10554">
      <pivotArea outline="0" collapsedLevelsAreSubtotals="1" fieldPosition="0"/>
    </format>
    <format dxfId="10553">
      <pivotArea dataOnly="0" labelOnly="1" outline="0" axis="axisValues" fieldPosition="0"/>
    </format>
    <format dxfId="10552">
      <pivotArea dataOnly="0" labelOnly="1" outline="0" axis="axisValues" fieldPosition="0"/>
    </format>
    <format dxfId="10551">
      <pivotArea outline="0" collapsedLevelsAreSubtotals="1" fieldPosition="0"/>
    </format>
    <format dxfId="10550">
      <pivotArea field="12" type="button" dataOnly="0" labelOnly="1" outline="0" axis="axisRow" fieldPosition="2"/>
    </format>
    <format dxfId="10549">
      <pivotArea field="10" type="button" dataOnly="0" labelOnly="1" outline="0" axis="axisRow" fieldPosition="3"/>
    </format>
    <format dxfId="10548">
      <pivotArea field="16" type="button" dataOnly="0" labelOnly="1" outline="0" axis="axisRow" fieldPosition="4"/>
    </format>
    <format dxfId="10547">
      <pivotArea field="18" type="button" dataOnly="0" labelOnly="1" outline="0" axis="axisRow" fieldPosition="5"/>
    </format>
    <format dxfId="10546">
      <pivotArea field="5" type="button" dataOnly="0" labelOnly="1" outline="0" axis="axisRow" fieldPosition="6"/>
    </format>
    <format dxfId="10545">
      <pivotArea field="9" type="button" dataOnly="0" labelOnly="1" outline="0" axis="axisRow" fieldPosition="7"/>
    </format>
    <format dxfId="10544">
      <pivotArea field="3" type="button" dataOnly="0" labelOnly="1" outline="0" axis="axisRow" fieldPosition="8"/>
    </format>
    <format dxfId="10543">
      <pivotArea field="7" type="button" dataOnly="0" labelOnly="1" outline="0" axis="axisRow" fieldPosition="9"/>
    </format>
    <format dxfId="10542">
      <pivotArea field="1" type="button" dataOnly="0" labelOnly="1" outline="0" axis="axisRow" fieldPosition="10"/>
    </format>
    <format dxfId="10541">
      <pivotArea dataOnly="0" labelOnly="1" outline="0" axis="axisValues" fieldPosition="0"/>
    </format>
    <format dxfId="10540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1053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10538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0537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053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53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53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53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532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10531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1053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52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5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052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052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2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52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52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52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52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20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1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1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51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51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51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514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5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5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051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51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50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05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050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50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050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050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50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50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50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4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4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4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4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04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4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04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04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04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0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048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0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048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048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048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59"/>
            <x v="85"/>
          </reference>
        </references>
      </pivotArea>
    </format>
    <format dxfId="1048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048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5"/>
            <x v="42"/>
            <x v="63"/>
          </reference>
        </references>
      </pivotArea>
    </format>
    <format dxfId="1048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04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104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4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104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4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04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04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04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4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4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04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104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4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04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04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39"/>
            <x v="41"/>
            <x v="58"/>
          </reference>
        </references>
      </pivotArea>
    </format>
    <format dxfId="104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0464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463">
      <pivotArea dataOnly="0" labelOnly="1" outline="0" fieldPosition="0">
        <references count="7">
          <reference field="0" count="1" selected="0">
            <x v="14"/>
          </reference>
          <reference field="5" count="1">
            <x v="3475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462">
      <pivotArea dataOnly="0" labelOnly="1" outline="0" fieldPosition="0">
        <references count="7">
          <reference field="0" count="1" selected="0">
            <x v="11"/>
          </reference>
          <reference field="5" count="1">
            <x v="509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461">
      <pivotArea dataOnly="0" labelOnly="1" outline="0" fieldPosition="0">
        <references count="7">
          <reference field="0" count="1" selected="0">
            <x v="11"/>
          </reference>
          <reference field="5" count="1">
            <x v="734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460">
      <pivotArea dataOnly="0" labelOnly="1" outline="0" fieldPosition="0">
        <references count="7">
          <reference field="0" count="1" selected="0">
            <x v="11"/>
          </reference>
          <reference field="5" count="1">
            <x v="718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459">
      <pivotArea dataOnly="0" labelOnly="1" outline="0" fieldPosition="0">
        <references count="7">
          <reference field="0" count="1" selected="0">
            <x v="11"/>
          </reference>
          <reference field="5" count="1">
            <x v="619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0458">
      <pivotArea dataOnly="0" labelOnly="1" outline="0" fieldPosition="0">
        <references count="7">
          <reference field="0" count="1" selected="0">
            <x v="11"/>
          </reference>
          <reference field="5" count="1">
            <x v="709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457">
      <pivotArea dataOnly="0" labelOnly="1" outline="0" fieldPosition="0">
        <references count="7">
          <reference field="0" count="1" selected="0">
            <x v="11"/>
          </reference>
          <reference field="5" count="2">
            <x v="4956"/>
            <x v="528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456">
      <pivotArea dataOnly="0" labelOnly="1" outline="0" fieldPosition="0">
        <references count="7">
          <reference field="0" count="1" selected="0">
            <x v="12"/>
          </reference>
          <reference field="5" count="1">
            <x v="76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455">
      <pivotArea dataOnly="0" labelOnly="1" outline="0" fieldPosition="0">
        <references count="7">
          <reference field="0" count="1" selected="0">
            <x v="13"/>
          </reference>
          <reference field="5" count="1">
            <x v="71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454">
      <pivotArea dataOnly="0" labelOnly="1" outline="0" fieldPosition="0">
        <references count="7">
          <reference field="0" count="1" selected="0">
            <x v="13"/>
          </reference>
          <reference field="5" count="2">
            <x v="4637"/>
            <x v="75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453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452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451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450">
      <pivotArea dataOnly="0" labelOnly="1" outline="0" fieldPosition="0">
        <references count="7">
          <reference field="0" count="1" selected="0">
            <x v="14"/>
          </reference>
          <reference field="5" count="1">
            <x v="433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449">
      <pivotArea dataOnly="0" labelOnly="1" outline="0" fieldPosition="0">
        <references count="7">
          <reference field="0" count="1" selected="0">
            <x v="14"/>
          </reference>
          <reference field="5" count="1">
            <x v="7553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448">
      <pivotArea dataOnly="0" labelOnly="1" outline="0" fieldPosition="0">
        <references count="7">
          <reference field="0" count="1" selected="0">
            <x v="14"/>
          </reference>
          <reference field="5" count="1">
            <x v="7612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447">
      <pivotArea dataOnly="0" labelOnly="1" outline="0" fieldPosition="0">
        <references count="7">
          <reference field="0" count="1" selected="0">
            <x v="14"/>
          </reference>
          <reference field="5" count="1">
            <x v="7639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446">
      <pivotArea dataOnly="0" labelOnly="1" outline="0" fieldPosition="0">
        <references count="7">
          <reference field="0" count="1" selected="0">
            <x v="14"/>
          </reference>
          <reference field="5" count="2">
            <x v="5943"/>
            <x v="656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445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0444">
      <pivotArea dataOnly="0" labelOnly="1" outline="0" fieldPosition="0">
        <references count="7">
          <reference field="0" count="1" selected="0">
            <x v="15"/>
          </reference>
          <reference field="5" count="1">
            <x v="76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443">
      <pivotArea dataOnly="0" labelOnly="1" outline="0" fieldPosition="0">
        <references count="7">
          <reference field="0" count="1" selected="0">
            <x v="15"/>
          </reference>
          <reference field="5" count="1"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442">
      <pivotArea dataOnly="0" labelOnly="1" outline="0" fieldPosition="0">
        <references count="7">
          <reference field="0" count="1" selected="0">
            <x v="15"/>
          </reference>
          <reference field="5" count="1">
            <x v="763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4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4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43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43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3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43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4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4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4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3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4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3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4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4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4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42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428">
      <pivotArea dataOnly="0" labelOnly="1" outline="0" fieldPosition="0">
        <references count="9">
          <reference field="0" count="1" selected="0">
            <x v="14"/>
          </reference>
          <reference field="3" count="1">
            <x v="7475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427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34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426">
      <pivotArea dataOnly="0" labelOnly="1" outline="0" fieldPosition="0">
        <references count="9">
          <reference field="0" count="1" selected="0">
            <x v="11"/>
          </reference>
          <reference field="3" count="1">
            <x v="7641"/>
          </reference>
          <reference field="5" count="1" selected="0">
            <x v="50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425">
      <pivotArea dataOnly="0" labelOnly="1" outline="0" fieldPosition="0">
        <references count="9">
          <reference field="0" count="1" selected="0">
            <x v="11"/>
          </reference>
          <reference field="3" count="1">
            <x v="7539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424">
      <pivotArea dataOnly="0" labelOnly="1" outline="0" fieldPosition="0">
        <references count="9">
          <reference field="0" count="1" selected="0">
            <x v="11"/>
          </reference>
          <reference field="3" count="1">
            <x v="7536"/>
          </reference>
          <reference field="5" count="1" selected="0">
            <x v="71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423">
      <pivotArea dataOnly="0" labelOnly="1" outline="0" fieldPosition="0">
        <references count="9">
          <reference field="0" count="1" selected="0">
            <x v="11"/>
          </reference>
          <reference field="3" count="1">
            <x v="7537"/>
          </reference>
          <reference field="5" count="1" selected="0">
            <x v="61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0422">
      <pivotArea dataOnly="0" labelOnly="1" outline="0" fieldPosition="0">
        <references count="9">
          <reference field="0" count="1" selected="0">
            <x v="11"/>
          </reference>
          <reference field="3" count="1">
            <x v="7409"/>
          </reference>
          <reference field="5" count="1" selected="0">
            <x v="70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421">
      <pivotArea dataOnly="0" labelOnly="1" outline="0" fieldPosition="0">
        <references count="9">
          <reference field="0" count="1" selected="0">
            <x v="11"/>
          </reference>
          <reference field="3" count="1">
            <x v="7318"/>
          </reference>
          <reference field="5" count="1" selected="0">
            <x v="49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420">
      <pivotArea dataOnly="0" labelOnly="1" outline="0" fieldPosition="0">
        <references count="9">
          <reference field="0" count="1" selected="0">
            <x v="11"/>
          </reference>
          <reference field="3" count="1">
            <x v="7535"/>
          </reference>
          <reference field="5" count="1" selected="0">
            <x v="52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419">
      <pivotArea dataOnly="0" labelOnly="1" outline="0" fieldPosition="0">
        <references count="9">
          <reference field="0" count="1" selected="0">
            <x v="12"/>
          </reference>
          <reference field="3" count="1">
            <x v="7640"/>
          </reference>
          <reference field="5" count="1" selected="0">
            <x v="76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41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41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7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4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415">
      <pivotArea dataOnly="0" labelOnly="1" outline="0" fieldPosition="0">
        <references count="9">
          <reference field="0" count="1" selected="0">
            <x v="14"/>
          </reference>
          <reference field="3" count="1">
            <x v="7366"/>
          </reference>
          <reference field="5" count="1" selected="0">
            <x v="433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4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3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413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76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412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763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411">
      <pivotArea dataOnly="0" labelOnly="1" outline="0" fieldPosition="0">
        <references count="9">
          <reference field="0" count="1" selected="0">
            <x v="14"/>
          </reference>
          <reference field="3" count="1">
            <x v="7478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410">
      <pivotArea dataOnly="0" labelOnly="1" outline="0" fieldPosition="0">
        <references count="9">
          <reference field="0" count="1" selected="0">
            <x v="14"/>
          </reference>
          <reference field="3" count="1">
            <x v="7480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409">
      <pivotArea dataOnly="0" labelOnly="1" outline="0" fieldPosition="0">
        <references count="9">
          <reference field="0" count="1" selected="0">
            <x v="14"/>
          </reference>
          <reference field="3" count="1">
            <x v="7477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0408">
      <pivotArea dataOnly="0" labelOnly="1" outline="0" fieldPosition="0">
        <references count="9">
          <reference field="0" count="1" selected="0">
            <x v="15"/>
          </reference>
          <reference field="3" count="1">
            <x v="7634"/>
          </reference>
          <reference field="5" count="1" selected="0">
            <x v="76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407">
      <pivotArea dataOnly="0" labelOnly="1" outline="0" fieldPosition="0">
        <references count="9">
          <reference field="0" count="1" selected="0">
            <x v="15"/>
          </reference>
          <reference field="3" count="1">
            <x v="7484"/>
          </reference>
          <reference field="5" count="1" selected="0">
            <x v="763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4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5"/>
          </reference>
          <reference field="5" count="1" selected="0">
            <x v="61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4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3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40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41"/>
          </reference>
          <reference field="5" count="1" selected="0">
            <x v="50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40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39"/>
          </reference>
          <reference field="5" count="1" selected="0">
            <x v="73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40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40"/>
          </reference>
          <reference field="5" count="1" selected="0">
            <x v="76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40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40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3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3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6"/>
          </reference>
          <reference field="5" count="1" selected="0">
            <x v="43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3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3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76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3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763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3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8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3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4"/>
          </reference>
          <reference field="5" count="1" selected="0">
            <x v="76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3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4"/>
          </reference>
          <reference field="5" count="1" selected="0">
            <x v="76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391">
      <pivotArea dataOnly="0" labelOnly="1" outline="0" fieldPosition="0">
        <references count="11">
          <reference field="0" count="1" selected="0">
            <x v="11"/>
          </reference>
          <reference field="1" count="1">
            <x v="7425"/>
          </reference>
          <reference field="3" count="1" selected="0">
            <x v="7641"/>
          </reference>
          <reference field="5" count="1" selected="0">
            <x v="50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390">
      <pivotArea dataOnly="0" labelOnly="1" outline="0" fieldPosition="0">
        <references count="11">
          <reference field="0" count="1" selected="0">
            <x v="11"/>
          </reference>
          <reference field="1" count="1">
            <x v="7320"/>
          </reference>
          <reference field="3" count="1" selected="0">
            <x v="7537"/>
          </reference>
          <reference field="5" count="1" selected="0">
            <x v="61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0389">
      <pivotArea dataOnly="0" labelOnly="1" outline="0" fieldPosition="0">
        <references count="11">
          <reference field="0" count="1" selected="0">
            <x v="11"/>
          </reference>
          <reference field="1" count="1">
            <x v="7319"/>
          </reference>
          <reference field="3" count="1" selected="0">
            <x v="7535"/>
          </reference>
          <reference field="5" count="1" selected="0">
            <x v="52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388">
      <pivotArea dataOnly="0" labelOnly="1" outline="0" fieldPosition="0">
        <references count="11">
          <reference field="0" count="1" selected="0">
            <x v="14"/>
          </reference>
          <reference field="1" count="1">
            <x v="7424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387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78"/>
          </reference>
          <reference field="5" count="1" selected="0">
            <x v="59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386">
      <pivotArea dataOnly="0" labelOnly="1" outline="0" fieldPosition="0">
        <references count="11">
          <reference field="0" count="1" selected="0">
            <x v="15"/>
          </reference>
          <reference field="1" count="1">
            <x v="7407"/>
          </reference>
          <reference field="3" count="1" selected="0">
            <x v="7634"/>
          </reference>
          <reference field="5" count="1" selected="0">
            <x v="762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385">
      <pivotArea dataOnly="0" labelOnly="1" outline="0" fieldPosition="0">
        <references count="11">
          <reference field="0" count="1" selected="0">
            <x v="15"/>
          </reference>
          <reference field="1" count="1">
            <x v="7414"/>
          </reference>
          <reference field="3" count="1" selected="0">
            <x v="7484"/>
          </reference>
          <reference field="5" count="1" selected="0">
            <x v="763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384">
      <pivotArea outline="0" collapsedLevelsAreSubtotals="1" fieldPosition="0"/>
    </format>
    <format dxfId="10383">
      <pivotArea dataOnly="0" labelOnly="1" outline="0" axis="axisValues" fieldPosition="0"/>
    </format>
    <format dxfId="10382">
      <pivotArea dataOnly="0" outline="0" fieldPosition="0">
        <references count="1">
          <reference field="12" count="0" defaultSubtotal="1"/>
        </references>
      </pivotArea>
    </format>
    <format dxfId="10381">
      <pivotArea outline="0" collapsedLevelsAreSubtotals="1" fieldPosition="0"/>
    </format>
    <format dxfId="10380">
      <pivotArea dataOnly="0" labelOnly="1" outline="0" axis="axisValues" fieldPosition="0"/>
    </format>
    <format dxfId="10379">
      <pivotArea outline="0" collapsedLevelsAreSubtotals="1" fieldPosition="0"/>
    </format>
    <format dxfId="10378">
      <pivotArea dataOnly="0" labelOnly="1" outline="0" axis="axisValues" fieldPosition="0"/>
    </format>
    <format dxfId="10377">
      <pivotArea dataOnly="0" labelOnly="1" outline="0" axis="axisValues" fieldPosition="0"/>
    </format>
    <format dxfId="10376">
      <pivotArea outline="0" collapsedLevelsAreSubtotals="1" fieldPosition="0"/>
    </format>
    <format dxfId="10375">
      <pivotArea field="12" type="button" dataOnly="0" labelOnly="1" outline="0" axis="axisRow" fieldPosition="2"/>
    </format>
    <format dxfId="10374">
      <pivotArea field="10" type="button" dataOnly="0" labelOnly="1" outline="0" axis="axisRow" fieldPosition="3"/>
    </format>
    <format dxfId="10373">
      <pivotArea field="16" type="button" dataOnly="0" labelOnly="1" outline="0" axis="axisRow" fieldPosition="4"/>
    </format>
    <format dxfId="10372">
      <pivotArea field="18" type="button" dataOnly="0" labelOnly="1" outline="0" axis="axisRow" fieldPosition="5"/>
    </format>
    <format dxfId="10371">
      <pivotArea field="5" type="button" dataOnly="0" labelOnly="1" outline="0" axis="axisRow" fieldPosition="6"/>
    </format>
    <format dxfId="10370">
      <pivotArea field="9" type="button" dataOnly="0" labelOnly="1" outline="0" axis="axisRow" fieldPosition="7"/>
    </format>
    <format dxfId="10369">
      <pivotArea field="3" type="button" dataOnly="0" labelOnly="1" outline="0" axis="axisRow" fieldPosition="8"/>
    </format>
    <format dxfId="10368">
      <pivotArea field="7" type="button" dataOnly="0" labelOnly="1" outline="0" axis="axisRow" fieldPosition="9"/>
    </format>
    <format dxfId="10367">
      <pivotArea field="1" type="button" dataOnly="0" labelOnly="1" outline="0" axis="axisRow" fieldPosition="10"/>
    </format>
    <format dxfId="10366">
      <pivotArea dataOnly="0" labelOnly="1" outline="0" axis="axisValues" fieldPosition="0"/>
    </format>
    <format dxfId="10365">
      <pivotArea dataOnly="0" labelOnly="1" outline="0" fieldPosition="0">
        <references count="3">
          <reference field="0" count="1" selected="0">
            <x v="14"/>
          </reference>
          <reference field="12" count="3">
            <x v="6"/>
            <x v="9"/>
            <x v="27"/>
          </reference>
          <reference field="13" count="1" selected="0">
            <x v="0"/>
          </reference>
        </references>
      </pivotArea>
    </format>
    <format dxfId="10364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6"/>
            <x v="9"/>
            <x v="27"/>
          </reference>
          <reference field="13" count="1" selected="0">
            <x v="0"/>
          </reference>
        </references>
      </pivotArea>
    </format>
    <format dxfId="1036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6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6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6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59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0358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035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5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5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103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103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035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51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5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4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34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3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3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3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3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3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3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3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34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33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033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33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33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3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3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33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3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3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31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31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03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03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3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03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3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3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3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3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03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3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3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03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02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02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2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2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02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2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02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02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9"/>
            <x v="41"/>
            <x v="45"/>
            <x v="58"/>
          </reference>
        </references>
      </pivotArea>
    </format>
    <format dxfId="102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44"/>
            <x v="49"/>
          </reference>
        </references>
      </pivotArea>
    </format>
    <format dxfId="10290">
      <pivotArea dataOnly="0" labelOnly="1" outline="0" fieldPosition="0">
        <references count="7">
          <reference field="0" count="1" selected="0">
            <x v="14"/>
          </reference>
          <reference field="5" count="1">
            <x v="3475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89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88">
      <pivotArea dataOnly="0" labelOnly="1" outline="0" fieldPosition="0">
        <references count="7">
          <reference field="0" count="1" selected="0">
            <x v="12"/>
          </reference>
          <reference field="5" count="1">
            <x v="764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287">
      <pivotArea dataOnly="0" labelOnly="1" outline="0" fieldPosition="0">
        <references count="7">
          <reference field="0" count="1" selected="0">
            <x v="13"/>
          </reference>
          <reference field="5" count="1">
            <x v="71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286">
      <pivotArea dataOnly="0" labelOnly="1" outline="0" fieldPosition="0">
        <references count="7">
          <reference field="0" count="1" selected="0">
            <x v="13"/>
          </reference>
          <reference field="5" count="2">
            <x v="4637"/>
            <x v="75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85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84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283">
      <pivotArea dataOnly="0" labelOnly="1" outline="0" fieldPosition="0">
        <references count="7">
          <reference field="0" count="1" selected="0">
            <x v="14"/>
          </reference>
          <reference field="5" count="1">
            <x v="743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82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81">
      <pivotArea dataOnly="0" labelOnly="1" outline="0" fieldPosition="0">
        <references count="7">
          <reference field="0" count="1" selected="0">
            <x v="14"/>
          </reference>
          <reference field="5" count="1">
            <x v="755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80">
      <pivotArea dataOnly="0" labelOnly="1" outline="0" fieldPosition="0">
        <references count="7">
          <reference field="0" count="1" selected="0">
            <x v="14"/>
          </reference>
          <reference field="5" count="1">
            <x v="761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279">
      <pivotArea dataOnly="0" labelOnly="1" outline="0" fieldPosition="0">
        <references count="7">
          <reference field="0" count="1" selected="0">
            <x v="14"/>
          </reference>
          <reference field="5" count="1">
            <x v="272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278">
      <pivotArea dataOnly="0" labelOnly="1" outline="0" fieldPosition="0">
        <references count="7">
          <reference field="0" count="1" selected="0">
            <x v="14"/>
          </reference>
          <reference field="5" count="1">
            <x v="170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0277">
      <pivotArea dataOnly="0" labelOnly="1" outline="0" fieldPosition="0">
        <references count="7">
          <reference field="0" count="1" selected="0">
            <x v="14"/>
          </reference>
          <reference field="5" count="1">
            <x v="3855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276">
      <pivotArea dataOnly="0" labelOnly="1" outline="0" fieldPosition="0">
        <references count="7">
          <reference field="0" count="1" selected="0">
            <x v="14"/>
          </reference>
          <reference field="5" count="1">
            <x v="3988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275">
      <pivotArea dataOnly="0" labelOnly="1" outline="0" fieldPosition="0">
        <references count="7">
          <reference field="0" count="1" selected="0">
            <x v="14"/>
          </reference>
          <reference field="5" count="1">
            <x v="4409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74">
      <pivotArea dataOnly="0" labelOnly="1" outline="0" fieldPosition="0">
        <references count="7">
          <reference field="0" count="1" selected="0">
            <x v="14"/>
          </reference>
          <reference field="5" count="2">
            <x v="5943"/>
            <x v="656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273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272">
      <pivotArea dataOnly="0" labelOnly="1" outline="0" fieldPosition="0">
        <references count="7">
          <reference field="0" count="1" selected="0">
            <x v="15"/>
          </reference>
          <reference field="5" count="1">
            <x v="19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271">
      <pivotArea dataOnly="0" labelOnly="1" outline="0" fieldPosition="0">
        <references count="7">
          <reference field="0" count="1" selected="0">
            <x v="15"/>
          </reference>
          <reference field="5" count="1">
            <x v="76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270">
      <pivotArea dataOnly="0" labelOnly="1" outline="0" fieldPosition="0">
        <references count="7">
          <reference field="0" count="1" selected="0">
            <x v="15"/>
          </reference>
          <reference field="5" count="1">
            <x v="764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269">
      <pivotArea dataOnly="0" labelOnly="1" outline="0" fieldPosition="0">
        <references count="7">
          <reference field="0" count="1" selected="0">
            <x v="15"/>
          </reference>
          <reference field="5" count="1"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268">
      <pivotArea dataOnly="0" labelOnly="1" outline="0" fieldPosition="0">
        <references count="7">
          <reference field="0" count="1" selected="0">
            <x v="15"/>
          </reference>
          <reference field="5" count="2">
            <x v="3133"/>
            <x v="760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267">
      <pivotArea dataOnly="0" labelOnly="1" outline="0" fieldPosition="0">
        <references count="7">
          <reference field="0" count="1" selected="0">
            <x v="15"/>
          </reference>
          <reference field="5" count="2">
            <x v="7617"/>
            <x v="764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02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2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2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2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0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02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2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2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0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2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2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4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253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34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52">
      <pivotArea dataOnly="0" labelOnly="1" outline="0" fieldPosition="0">
        <references count="9">
          <reference field="0" count="1" selected="0">
            <x v="14"/>
          </reference>
          <reference field="3" count="1">
            <x v="7475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51">
      <pivotArea dataOnly="0" labelOnly="1" outline="0" fieldPosition="0">
        <references count="9">
          <reference field="0" count="1" selected="0">
            <x v="12"/>
          </reference>
          <reference field="3" count="1">
            <x v="7647"/>
          </reference>
          <reference field="5" count="1" selected="0">
            <x v="764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25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24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7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48">
      <pivotArea dataOnly="0" labelOnly="1" outline="0" fieldPosition="0">
        <references count="9">
          <reference field="0" count="1" selected="0">
            <x v="14"/>
          </reference>
          <reference field="3" count="1">
            <x v="7628"/>
          </reference>
          <reference field="5" count="1" selected="0">
            <x v="74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45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76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244">
      <pivotArea dataOnly="0" labelOnly="1" outline="0" fieldPosition="0">
        <references count="9">
          <reference field="0" count="1" selected="0">
            <x v="14"/>
          </reference>
          <reference field="3" count="1">
            <x v="7645"/>
          </reference>
          <reference field="5" count="1" selected="0">
            <x v="27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243">
      <pivotArea dataOnly="0" labelOnly="1" outline="0" fieldPosition="0">
        <references count="9">
          <reference field="0" count="1" selected="0">
            <x v="14"/>
          </reference>
          <reference field="3" count="1">
            <x v="7529"/>
          </reference>
          <reference field="5" count="1" selected="0">
            <x v="3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242">
      <pivotArea dataOnly="0" labelOnly="1" outline="0" fieldPosition="0">
        <references count="9">
          <reference field="0" count="1" selected="0">
            <x v="14"/>
          </reference>
          <reference field="3" count="1">
            <x v="7540"/>
          </reference>
          <reference field="5" count="1" selected="0">
            <x v="398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241">
      <pivotArea dataOnly="0" labelOnly="1" outline="0" fieldPosition="0">
        <references count="9">
          <reference field="0" count="1" selected="0">
            <x v="14"/>
          </reference>
          <reference field="3" count="1">
            <x v="7532"/>
          </reference>
          <reference field="5" count="1" selected="0">
            <x v="440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40">
      <pivotArea dataOnly="0" labelOnly="1" outline="0" fieldPosition="0">
        <references count="9">
          <reference field="0" count="1" selected="0">
            <x v="14"/>
          </reference>
          <reference field="3" count="1">
            <x v="7478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239">
      <pivotArea dataOnly="0" labelOnly="1" outline="0" fieldPosition="0">
        <references count="9">
          <reference field="0" count="1" selected="0">
            <x v="14"/>
          </reference>
          <reference field="3" count="1">
            <x v="7480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238">
      <pivotArea dataOnly="0" labelOnly="1" outline="0" fieldPosition="0">
        <references count="9">
          <reference field="0" count="1" selected="0">
            <x v="14"/>
          </reference>
          <reference field="3" count="1">
            <x v="7477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237">
      <pivotArea dataOnly="0" labelOnly="1" outline="0" fieldPosition="0">
        <references count="9">
          <reference field="0" count="1" selected="0">
            <x v="15"/>
          </reference>
          <reference field="3" count="1">
            <x v="7616"/>
          </reference>
          <reference field="5" count="1" selected="0">
            <x v="19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236">
      <pivotArea dataOnly="0" labelOnly="1" outline="0" fieldPosition="0">
        <references count="9">
          <reference field="0" count="1" selected="0">
            <x v="15"/>
          </reference>
          <reference field="3" count="1">
            <x v="7634"/>
          </reference>
          <reference field="5" count="1" selected="0">
            <x v="76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235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64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23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2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3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5"/>
          </reference>
          <reference field="5" count="1" selected="0">
            <x v="61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2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8"/>
          </reference>
          <reference field="5" count="1" selected="0">
            <x v="74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76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2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5"/>
          </reference>
          <reference field="5" count="1" selected="0">
            <x v="27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2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9"/>
          </reference>
          <reference field="5" count="1" selected="0">
            <x v="38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2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0"/>
          </reference>
          <reference field="5" count="1" selected="0">
            <x v="39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2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2"/>
          </reference>
          <reference field="5" count="1" selected="0">
            <x v="44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8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2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6"/>
          </reference>
          <reference field="5" count="1" selected="0">
            <x v="19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2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4"/>
          </reference>
          <reference field="5" count="1" selected="0">
            <x v="76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2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6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2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218">
      <pivotArea dataOnly="0" labelOnly="1" outline="0" fieldPosition="0">
        <references count="11">
          <reference field="0" count="1" selected="0">
            <x v="12"/>
          </reference>
          <reference field="1" count="1">
            <x v="7433"/>
          </reference>
          <reference field="3" count="1" selected="0">
            <x v="7647"/>
          </reference>
          <reference field="5" count="1" selected="0">
            <x v="76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217">
      <pivotArea dataOnly="0" labelOnly="1" outline="0" fieldPosition="0">
        <references count="11">
          <reference field="0" count="1" selected="0">
            <x v="14"/>
          </reference>
          <reference field="1" count="1">
            <x v="7429"/>
          </reference>
          <reference field="3" count="1" selected="0">
            <x v="2"/>
          </reference>
          <reference field="5" count="1" selected="0">
            <x v="76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16">
      <pivotArea dataOnly="0" labelOnly="1" outline="0" fieldPosition="0">
        <references count="11">
          <reference field="0" count="1" selected="0">
            <x v="14"/>
          </reference>
          <reference field="1" count="1">
            <x v="7306"/>
          </reference>
          <reference field="3" count="1" selected="0">
            <x v="7529"/>
          </reference>
          <reference field="5" count="1" selected="0">
            <x v="385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215">
      <pivotArea dataOnly="0" labelOnly="1" outline="0" fieldPosition="0">
        <references count="11">
          <reference field="0" count="1" selected="0">
            <x v="14"/>
          </reference>
          <reference field="1" count="1">
            <x v="7428"/>
          </reference>
          <reference field="3" count="1" selected="0">
            <x v="7532"/>
          </reference>
          <reference field="5" count="1" selected="0">
            <x v="44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14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78"/>
          </reference>
          <reference field="5" count="1" selected="0">
            <x v="59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213">
      <pivotArea dataOnly="0" labelOnly="1" outline="0" fieldPosition="0">
        <references count="11">
          <reference field="0" count="1" selected="0">
            <x v="15"/>
          </reference>
          <reference field="1" count="1">
            <x v="7407"/>
          </reference>
          <reference field="3" count="1" selected="0">
            <x v="7634"/>
          </reference>
          <reference field="5" count="1" selected="0">
            <x v="762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212">
      <pivotArea dataOnly="0" labelOnly="1" outline="0" fieldPosition="0">
        <references count="11">
          <reference field="0" count="1" selected="0">
            <x v="15"/>
          </reference>
          <reference field="1" count="1">
            <x v="7427"/>
          </reference>
          <reference field="3" count="1" selected="0">
            <x v="2"/>
          </reference>
          <reference field="5" count="1" selected="0">
            <x v="764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211">
      <pivotArea dataOnly="0" labelOnly="1" outline="0" fieldPosition="0">
        <references count="11">
          <reference field="0" count="1" selected="0">
            <x v="15"/>
          </reference>
          <reference field="1" count="1">
            <x v="7426"/>
          </reference>
          <reference field="3" count="1" selected="0">
            <x v="0"/>
          </reference>
          <reference field="5" count="1" selected="0">
            <x v="76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0210">
      <pivotArea outline="0" collapsedLevelsAreSubtotals="1" fieldPosition="0"/>
    </format>
    <format dxfId="10209">
      <pivotArea dataOnly="0" labelOnly="1" outline="0" axis="axisValues" fieldPosition="0"/>
    </format>
    <format dxfId="10208">
      <pivotArea dataOnly="0" outline="0" fieldPosition="0">
        <references count="1">
          <reference field="12" count="0" defaultSubtotal="1"/>
        </references>
      </pivotArea>
    </format>
    <format dxfId="10207">
      <pivotArea outline="0" collapsedLevelsAreSubtotals="1" fieldPosition="0"/>
    </format>
    <format dxfId="10206">
      <pivotArea dataOnly="0" labelOnly="1" outline="0" axis="axisValues" fieldPosition="0"/>
    </format>
    <format dxfId="10205">
      <pivotArea outline="0" collapsedLevelsAreSubtotals="1" fieldPosition="0"/>
    </format>
    <format dxfId="10204">
      <pivotArea dataOnly="0" labelOnly="1" outline="0" axis="axisValues" fieldPosition="0"/>
    </format>
    <format dxfId="10203">
      <pivotArea dataOnly="0" labelOnly="1" outline="0" axis="axisValues" fieldPosition="0"/>
    </format>
    <format dxfId="10202">
      <pivotArea outline="0" collapsedLevelsAreSubtotals="1" fieldPosition="0"/>
    </format>
    <format dxfId="10201">
      <pivotArea field="12" type="button" dataOnly="0" labelOnly="1" outline="0" axis="axisRow" fieldPosition="2"/>
    </format>
    <format dxfId="10200">
      <pivotArea field="10" type="button" dataOnly="0" labelOnly="1" outline="0" axis="axisRow" fieldPosition="3"/>
    </format>
    <format dxfId="10199">
      <pivotArea field="16" type="button" dataOnly="0" labelOnly="1" outline="0" axis="axisRow" fieldPosition="4"/>
    </format>
    <format dxfId="10198">
      <pivotArea field="18" type="button" dataOnly="0" labelOnly="1" outline="0" axis="axisRow" fieldPosition="5"/>
    </format>
    <format dxfId="10197">
      <pivotArea field="5" type="button" dataOnly="0" labelOnly="1" outline="0" axis="axisRow" fieldPosition="6"/>
    </format>
    <format dxfId="10196">
      <pivotArea field="9" type="button" dataOnly="0" labelOnly="1" outline="0" axis="axisRow" fieldPosition="7"/>
    </format>
    <format dxfId="10195">
      <pivotArea field="3" type="button" dataOnly="0" labelOnly="1" outline="0" axis="axisRow" fieldPosition="8"/>
    </format>
    <format dxfId="10194">
      <pivotArea field="7" type="button" dataOnly="0" labelOnly="1" outline="0" axis="axisRow" fieldPosition="9"/>
    </format>
    <format dxfId="10193">
      <pivotArea field="1" type="button" dataOnly="0" labelOnly="1" outline="0" axis="axisRow" fieldPosition="10"/>
    </format>
    <format dxfId="10192">
      <pivotArea dataOnly="0" labelOnly="1" outline="0" axis="axisValues" fieldPosition="0"/>
    </format>
    <format dxfId="10191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1019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10189">
      <pivotArea dataOnly="0" labelOnly="1" outline="0" fieldPosition="0">
        <references count="3">
          <reference field="0" count="1" selected="0">
            <x v="14"/>
          </reference>
          <reference field="12" count="2">
            <x v="8"/>
            <x v="19"/>
          </reference>
          <reference field="13" count="1" selected="0">
            <x v="0"/>
          </reference>
        </references>
      </pivotArea>
    </format>
    <format dxfId="1018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8"/>
            <x v="19"/>
          </reference>
          <reference field="13" count="1" selected="0">
            <x v="0"/>
          </reference>
        </references>
      </pivotArea>
    </format>
    <format dxfId="10187">
      <pivotArea dataOnly="0" labelOnly="1" outline="0" fieldPosition="0">
        <references count="3">
          <reference field="0" count="1" selected="0">
            <x v="10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0186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018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8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18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8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181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10180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1017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7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17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017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0"/>
          </reference>
        </references>
      </pivotArea>
    </format>
    <format dxfId="101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017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17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17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17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17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16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16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16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6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6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6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1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16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1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1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159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1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1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015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15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101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/>
        </references>
      </pivotArea>
    </format>
    <format dxfId="101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/>
        </references>
      </pivotArea>
    </format>
    <format dxfId="1015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015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14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14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014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014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14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014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14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1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1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1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01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1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01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01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01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01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01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013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1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10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0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012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6"/>
          </reference>
        </references>
      </pivotArea>
    </format>
    <format dxfId="1012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12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012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012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3">
            <x v="35"/>
            <x v="63"/>
            <x v="106"/>
          </reference>
        </references>
      </pivotArea>
    </format>
    <format dxfId="1012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"/>
            <x v="63"/>
            <x v="88"/>
          </reference>
        </references>
      </pivotArea>
    </format>
    <format dxfId="1012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59"/>
            <x v="63"/>
          </reference>
        </references>
      </pivotArea>
    </format>
    <format dxfId="1012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01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101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1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01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101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1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101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1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01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63"/>
            <x v="110"/>
          </reference>
        </references>
      </pivotArea>
    </format>
    <format dxfId="101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2">
            <x v="63"/>
            <x v="111"/>
          </reference>
        </references>
      </pivotArea>
    </format>
    <format dxfId="10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01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01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01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6"/>
            <x v="39"/>
            <x v="41"/>
            <x v="45"/>
            <x v="58"/>
          </reference>
        </references>
      </pivotArea>
    </format>
    <format dxfId="101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4"/>
            <x v="47"/>
            <x v="49"/>
          </reference>
        </references>
      </pivotArea>
    </format>
    <format dxfId="101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0"/>
          </reference>
        </references>
      </pivotArea>
    </format>
    <format dxfId="10102">
      <pivotArea dataOnly="0" labelOnly="1" outline="0" fieldPosition="0">
        <references count="7">
          <reference field="0" count="1" selected="0">
            <x v="7"/>
          </reference>
          <reference field="5" count="1">
            <x v="6674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10101">
      <pivotArea dataOnly="0" labelOnly="1" outline="0" fieldPosition="0">
        <references count="7">
          <reference field="0" count="1" selected="0">
            <x v="14"/>
          </reference>
          <reference field="5" count="1">
            <x v="347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100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099">
      <pivotArea dataOnly="0" labelOnly="1" outline="0" fieldPosition="0">
        <references count="7">
          <reference field="0" count="1" selected="0">
            <x v="10"/>
          </reference>
          <reference field="5" count="1">
            <x v="195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098">
      <pivotArea dataOnly="0" labelOnly="1" outline="0" fieldPosition="0">
        <references count="7">
          <reference field="0" count="1" selected="0">
            <x v="10"/>
          </reference>
          <reference field="5" count="1">
            <x v="674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097">
      <pivotArea dataOnly="0" labelOnly="1" outline="0" fieldPosition="0">
        <references count="7">
          <reference field="0" count="1" selected="0">
            <x v="10"/>
          </reference>
          <reference field="5" count="1">
            <x v="499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096">
      <pivotArea dataOnly="0" labelOnly="1" outline="0" fieldPosition="0">
        <references count="7">
          <reference field="0" count="1" selected="0">
            <x v="10"/>
          </reference>
          <reference field="5" count="1">
            <x v="737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095">
      <pivotArea dataOnly="0" labelOnly="1" outline="0" fieldPosition="0">
        <references count="7">
          <reference field="0" count="1" selected="0">
            <x v="10"/>
          </reference>
          <reference field="5" count="1">
            <x v="571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10094">
      <pivotArea dataOnly="0" labelOnly="1" outline="0" fieldPosition="0">
        <references count="7">
          <reference field="0" count="1" selected="0">
            <x v="10"/>
          </reference>
          <reference field="5" count="1">
            <x v="464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093">
      <pivotArea dataOnly="0" labelOnly="1" outline="0" fieldPosition="0">
        <references count="7">
          <reference field="0" count="1" selected="0">
            <x v="10"/>
          </reference>
          <reference field="5" count="2">
            <x v="4531"/>
            <x v="499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092">
      <pivotArea dataOnly="0" labelOnly="1" outline="0" fieldPosition="0">
        <references count="7">
          <reference field="0" count="1" selected="0">
            <x v="12"/>
          </reference>
          <reference field="5" count="1">
            <x v="76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091">
      <pivotArea dataOnly="0" labelOnly="1" outline="0" fieldPosition="0">
        <references count="7">
          <reference field="0" count="1" selected="0">
            <x v="12"/>
          </reference>
          <reference field="5" count="1">
            <x v="765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090">
      <pivotArea dataOnly="0" labelOnly="1" outline="0" fieldPosition="0">
        <references count="7">
          <reference field="0" count="1" selected="0">
            <x v="13"/>
          </reference>
          <reference field="5" count="1">
            <x v="71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089">
      <pivotArea dataOnly="0" labelOnly="1" outline="0" fieldPosition="0">
        <references count="7">
          <reference field="0" count="1" selected="0">
            <x v="13"/>
          </reference>
          <reference field="5" count="2">
            <x v="4637"/>
            <x v="75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088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087">
      <pivotArea dataOnly="0" labelOnly="1" outline="0" fieldPosition="0">
        <references count="7">
          <reference field="0" count="1" selected="0">
            <x v="13"/>
          </reference>
          <reference field="5" count="1"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086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085">
      <pivotArea dataOnly="0" labelOnly="1" outline="0" fieldPosition="0">
        <references count="7">
          <reference field="0" count="1" selected="0">
            <x v="14"/>
          </reference>
          <reference field="5" count="1">
            <x v="7612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084">
      <pivotArea dataOnly="0" labelOnly="1" outline="0" fieldPosition="0">
        <references count="7">
          <reference field="0" count="1" selected="0">
            <x v="14"/>
          </reference>
          <reference field="5" count="1">
            <x v="755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083">
      <pivotArea dataOnly="0" labelOnly="1" outline="0" fieldPosition="0">
        <references count="7">
          <reference field="0" count="1" selected="0">
            <x v="14"/>
          </reference>
          <reference field="5" count="1">
            <x v="765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082">
      <pivotArea dataOnly="0" labelOnly="1" outline="0" fieldPosition="0">
        <references count="7">
          <reference field="0" count="1" selected="0">
            <x v="14"/>
          </reference>
          <reference field="5" count="1">
            <x v="667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081">
      <pivotArea dataOnly="0" labelOnly="1" outline="0" fieldPosition="0">
        <references count="7">
          <reference field="0" count="1" selected="0">
            <x v="14"/>
          </reference>
          <reference field="5" count="1">
            <x v="2130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080">
      <pivotArea dataOnly="0" labelOnly="1" outline="0" fieldPosition="0">
        <references count="7">
          <reference field="0" count="1" selected="0">
            <x v="14"/>
          </reference>
          <reference field="5" count="1">
            <x v="764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079">
      <pivotArea dataOnly="0" labelOnly="1" outline="0" fieldPosition="0">
        <references count="7">
          <reference field="0" count="1" selected="0">
            <x v="14"/>
          </reference>
          <reference field="5" count="2">
            <x v="5943"/>
            <x v="656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078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0077">
      <pivotArea dataOnly="0" labelOnly="1" outline="0" fieldPosition="0">
        <references count="7">
          <reference field="0" count="1" selected="0">
            <x v="15"/>
          </reference>
          <reference field="5" count="1">
            <x v="76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076">
      <pivotArea dataOnly="0" labelOnly="1" outline="0" fieldPosition="0">
        <references count="7">
          <reference field="0" count="1" selected="0">
            <x v="15"/>
          </reference>
          <reference field="5" count="1">
            <x v="764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0075">
      <pivotArea dataOnly="0" labelOnly="1" outline="0" fieldPosition="0">
        <references count="7">
          <reference field="0" count="1" selected="0">
            <x v="15"/>
          </reference>
          <reference field="5" count="1"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074">
      <pivotArea dataOnly="0" labelOnly="1" outline="0" fieldPosition="0">
        <references count="7">
          <reference field="0" count="1" selected="0">
            <x v="15"/>
          </reference>
          <reference field="5" count="1">
            <x v="313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0073">
      <pivotArea dataOnly="0" labelOnly="1" outline="0" fieldPosition="0">
        <references count="7">
          <reference field="0" count="1" selected="0">
            <x v="15"/>
          </reference>
          <reference field="5" count="1">
            <x v="461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10072">
      <pivotArea dataOnly="0" labelOnly="1" outline="0" fieldPosition="0">
        <references count="7">
          <reference field="0" count="1" selected="0">
            <x v="15"/>
          </reference>
          <reference field="5" count="1">
            <x v="764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10071">
      <pivotArea dataOnly="0" labelOnly="1" outline="0" fieldPosition="0">
        <references count="7">
          <reference field="0" count="1" selected="0">
            <x v="15"/>
          </reference>
          <reference field="5" count="1">
            <x v="764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070">
      <pivotArea dataOnly="0" labelOnly="1" outline="0" fieldPosition="0">
        <references count="7">
          <reference field="0" count="1" selected="0">
            <x v="15"/>
          </reference>
          <reference field="5" count="1">
            <x v="764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0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67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100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0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06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06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7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06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9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06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3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06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06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5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0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0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0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0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0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0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74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0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0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0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4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0051">
      <pivotArea dataOnly="0" labelOnly="1" outline="0" fieldPosition="0">
        <references count="9">
          <reference field="0" count="1" selected="0">
            <x v="7"/>
          </reference>
          <reference field="3" count="1">
            <x v="7549"/>
          </reference>
          <reference field="5" count="1" selected="0">
            <x v="667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10050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34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049">
      <pivotArea dataOnly="0" labelOnly="1" outline="0" fieldPosition="0">
        <references count="9">
          <reference field="0" count="1" selected="0">
            <x v="14"/>
          </reference>
          <reference field="3" count="1">
            <x v="7475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048">
      <pivotArea dataOnly="0" labelOnly="1" outline="0" fieldPosition="0">
        <references count="9">
          <reference field="0" count="1" selected="0">
            <x v="10"/>
          </reference>
          <reference field="3" count="1">
            <x v="7491"/>
          </reference>
          <reference field="5" count="1" selected="0">
            <x v="19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047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7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046">
      <pivotArea dataOnly="0" labelOnly="1" outline="0" fieldPosition="0">
        <references count="9">
          <reference field="0" count="1" selected="0">
            <x v="10"/>
          </reference>
          <reference field="3" count="1">
            <x v="7353"/>
          </reference>
          <reference field="5" count="1" selected="0">
            <x v="49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045">
      <pivotArea dataOnly="0" labelOnly="1" outline="0" fieldPosition="0">
        <references count="9">
          <reference field="0" count="1" selected="0">
            <x v="10"/>
          </reference>
          <reference field="3" count="1">
            <x v="7495"/>
          </reference>
          <reference field="5" count="1" selected="0">
            <x v="73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044">
      <pivotArea dataOnly="0" labelOnly="1" outline="0" fieldPosition="0">
        <references count="9">
          <reference field="0" count="1" selected="0">
            <x v="10"/>
          </reference>
          <reference field="3" count="1">
            <x v="7351"/>
          </reference>
          <reference field="5" count="1" selected="0">
            <x v="57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10043">
      <pivotArea dataOnly="0" labelOnly="1" outline="0" fieldPosition="0">
        <references count="9">
          <reference field="0" count="1" selected="0">
            <x v="10"/>
          </reference>
          <reference field="3" count="1">
            <x v="7352"/>
          </reference>
          <reference field="5" count="1" selected="0">
            <x v="46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042">
      <pivotArea dataOnly="0" labelOnly="1" outline="0" fieldPosition="0">
        <references count="9">
          <reference field="0" count="1" selected="0">
            <x v="10"/>
          </reference>
          <reference field="3" count="1">
            <x v="7489"/>
          </reference>
          <reference field="5" count="1" selected="0">
            <x v="45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041">
      <pivotArea dataOnly="0" labelOnly="1" outline="0" fieldPosition="0">
        <references count="9">
          <reference field="0" count="1" selected="0">
            <x v="10"/>
          </reference>
          <reference field="3" count="1">
            <x v="7490"/>
          </reference>
          <reference field="5" count="1" selected="0">
            <x v="49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04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5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0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03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7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037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76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0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035">
      <pivotArea dataOnly="0" labelOnly="1" outline="0" fieldPosition="0">
        <references count="9">
          <reference field="0" count="1" selected="0">
            <x v="14"/>
          </reference>
          <reference field="3" count="1">
            <x v="7651"/>
          </reference>
          <reference field="5" count="1" selected="0">
            <x v="765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034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6674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033">
      <pivotArea dataOnly="0" labelOnly="1" outline="0" fieldPosition="0">
        <references count="9">
          <reference field="0" count="1" selected="0">
            <x v="14"/>
          </reference>
          <reference field="3" count="1">
            <x v="5820"/>
          </reference>
          <reference field="5" count="1" selected="0">
            <x v="2130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03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4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031">
      <pivotArea dataOnly="0" labelOnly="1" outline="0" fieldPosition="0">
        <references count="9">
          <reference field="0" count="1" selected="0">
            <x v="14"/>
          </reference>
          <reference field="3" count="1">
            <x v="7478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030">
      <pivotArea dataOnly="0" labelOnly="1" outline="0" fieldPosition="0">
        <references count="9">
          <reference field="0" count="1" selected="0">
            <x v="14"/>
          </reference>
          <reference field="3" count="1">
            <x v="7480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029">
      <pivotArea dataOnly="0" labelOnly="1" outline="0" fieldPosition="0">
        <references count="9">
          <reference field="0" count="1" selected="0">
            <x v="14"/>
          </reference>
          <reference field="3" count="1">
            <x v="7477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0028">
      <pivotArea dataOnly="0" labelOnly="1" outline="0" fieldPosition="0">
        <references count="9">
          <reference field="0" count="1" selected="0">
            <x v="15"/>
          </reference>
          <reference field="3" count="1">
            <x v="7634"/>
          </reference>
          <reference field="5" count="1" selected="0">
            <x v="76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027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64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002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025">
      <pivotArea dataOnly="0" labelOnly="1" outline="0" fieldPosition="0">
        <references count="9">
          <reference field="0" count="1" selected="0">
            <x v="15"/>
          </reference>
          <reference field="3" count="1">
            <x v="7650"/>
          </reference>
          <reference field="5" count="1" selected="0">
            <x v="764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0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9"/>
          </reference>
          <reference field="5" count="1" selected="0">
            <x v="66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100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3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0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5"/>
          </reference>
          <reference field="5" count="1" selected="0">
            <x v="61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02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91"/>
          </reference>
          <reference field="5" count="1" selected="0">
            <x v="19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02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74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01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53"/>
          </reference>
          <reference field="5" count="1" selected="0">
            <x v="49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01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95"/>
          </reference>
          <reference field="5" count="1" selected="0">
            <x v="73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01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52"/>
          </reference>
          <reference field="5" count="1" selected="0">
            <x v="46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01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0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0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0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76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0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0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1"/>
          </reference>
          <reference field="5" count="1" selected="0">
            <x v="76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0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9"/>
          </reference>
          <reference field="5" count="1" selected="0">
            <x v="667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0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0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8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0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4"/>
          </reference>
          <reference field="5" count="1" selected="0">
            <x v="76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0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6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00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0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0"/>
          </reference>
          <reference field="5" count="1" selected="0">
            <x v="76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003">
      <pivotArea dataOnly="0" labelOnly="1" outline="0" fieldPosition="0">
        <references count="11">
          <reference field="0" count="1" selected="0">
            <x v="10"/>
          </reference>
          <reference field="1" count="1">
            <x v="7447"/>
          </reference>
          <reference field="3" count="1" selected="0">
            <x v="7491"/>
          </reference>
          <reference field="5" count="1" selected="0">
            <x v="19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002">
      <pivotArea dataOnly="0" labelOnly="1" outline="0" fieldPosition="0">
        <references count="11">
          <reference field="0" count="1" selected="0">
            <x v="10"/>
          </reference>
          <reference field="1" count="1">
            <x v="7095"/>
          </reference>
          <reference field="3" count="1" selected="0">
            <x v="7352"/>
          </reference>
          <reference field="5" count="1" selected="0">
            <x v="46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001">
      <pivotArea dataOnly="0" labelOnly="1" outline="0" fieldPosition="0">
        <references count="11">
          <reference field="0" count="1" selected="0">
            <x v="13"/>
          </reference>
          <reference field="1" count="1">
            <x v="7446"/>
          </reference>
          <reference field="3" count="1" selected="0">
            <x v="0"/>
          </reference>
          <reference field="5" count="1" selected="0">
            <x v="554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000">
      <pivotArea dataOnly="0" labelOnly="1" outline="0" fieldPosition="0">
        <references count="11">
          <reference field="0" count="1" selected="0">
            <x v="14"/>
          </reference>
          <reference field="1" count="1">
            <x v="7442"/>
          </reference>
          <reference field="3" count="1" selected="0">
            <x v="2"/>
          </reference>
          <reference field="5" count="1" selected="0">
            <x v="75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999">
      <pivotArea dataOnly="0" labelOnly="1" outline="0" fieldPosition="0">
        <references count="11">
          <reference field="0" count="1" selected="0">
            <x v="14"/>
          </reference>
          <reference field="1" count="1">
            <x v="7444"/>
          </reference>
          <reference field="3" count="1" selected="0">
            <x v="7651"/>
          </reference>
          <reference field="5" count="1" selected="0">
            <x v="765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998">
      <pivotArea dataOnly="0" labelOnly="1" outline="0" fieldPosition="0">
        <references count="11">
          <reference field="0" count="1" selected="0">
            <x v="14"/>
          </reference>
          <reference field="1" count="1">
            <x v="7445"/>
          </reference>
          <reference field="3" count="1" selected="0">
            <x v="5820"/>
          </reference>
          <reference field="5" count="1" selected="0">
            <x v="21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997">
      <pivotArea dataOnly="0" labelOnly="1" outline="0" fieldPosition="0">
        <references count="11">
          <reference field="0" count="1" selected="0">
            <x v="14"/>
          </reference>
          <reference field="1" count="1">
            <x v="7441"/>
          </reference>
          <reference field="3" count="1" selected="0">
            <x v="0"/>
          </reference>
          <reference field="5" count="1" selected="0">
            <x v="76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996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78"/>
          </reference>
          <reference field="5" count="1" selected="0">
            <x v="59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995">
      <pivotArea dataOnly="0" labelOnly="1" outline="0" fieldPosition="0">
        <references count="11">
          <reference field="0" count="1" selected="0">
            <x v="15"/>
          </reference>
          <reference field="1" count="1">
            <x v="7407"/>
          </reference>
          <reference field="3" count="1" selected="0">
            <x v="7634"/>
          </reference>
          <reference field="5" count="1" selected="0">
            <x v="762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994">
      <pivotArea dataOnly="0" labelOnly="1" outline="0" fieldPosition="0">
        <references count="11">
          <reference field="0" count="1" selected="0">
            <x v="15"/>
          </reference>
          <reference field="1" count="1">
            <x v="7427"/>
          </reference>
          <reference field="3" count="1" selected="0">
            <x v="2"/>
          </reference>
          <reference field="5" count="1" selected="0">
            <x v="764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9993">
      <pivotArea dataOnly="0" labelOnly="1" outline="0" fieldPosition="0">
        <references count="11">
          <reference field="0" count="1" selected="0">
            <x v="15"/>
          </reference>
          <reference field="1" count="1">
            <x v="7439"/>
          </reference>
          <reference field="3" count="1" selected="0">
            <x v="0"/>
          </reference>
          <reference field="5" count="1" selected="0">
            <x v="31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9992">
      <pivotArea dataOnly="0" labelOnly="1" outline="0" fieldPosition="0">
        <references count="11">
          <reference field="0" count="1" selected="0">
            <x v="15"/>
          </reference>
          <reference field="1" count="1">
            <x v="7426"/>
          </reference>
          <reference field="3" count="1" selected="0">
            <x v="0"/>
          </reference>
          <reference field="5" count="1" selected="0">
            <x v="76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9991">
      <pivotArea outline="0" collapsedLevelsAreSubtotals="1" fieldPosition="0"/>
    </format>
    <format dxfId="9990">
      <pivotArea dataOnly="0" labelOnly="1" outline="0" axis="axisValues" fieldPosition="0"/>
    </format>
    <format dxfId="9989">
      <pivotArea dataOnly="0" outline="0" fieldPosition="0">
        <references count="1">
          <reference field="12" count="0" defaultSubtotal="1"/>
        </references>
      </pivotArea>
    </format>
    <format dxfId="9988">
      <pivotArea outline="0" collapsedLevelsAreSubtotals="1" fieldPosition="0"/>
    </format>
    <format dxfId="9987">
      <pivotArea dataOnly="0" labelOnly="1" outline="0" axis="axisValues" fieldPosition="0"/>
    </format>
    <format dxfId="9986">
      <pivotArea outline="0" collapsedLevelsAreSubtotals="1" fieldPosition="0"/>
    </format>
    <format dxfId="9985">
      <pivotArea dataOnly="0" labelOnly="1" outline="0" axis="axisValues" fieldPosition="0"/>
    </format>
    <format dxfId="9984">
      <pivotArea dataOnly="0" labelOnly="1" outline="0" axis="axisValues" fieldPosition="0"/>
    </format>
    <format dxfId="9983">
      <pivotArea outline="0" collapsedLevelsAreSubtotals="1" fieldPosition="0"/>
    </format>
    <format dxfId="9982">
      <pivotArea field="12" type="button" dataOnly="0" labelOnly="1" outline="0" axis="axisRow" fieldPosition="2"/>
    </format>
    <format dxfId="9981">
      <pivotArea field="10" type="button" dataOnly="0" labelOnly="1" outline="0" axis="axisRow" fieldPosition="3"/>
    </format>
    <format dxfId="9980">
      <pivotArea field="16" type="button" dataOnly="0" labelOnly="1" outline="0" axis="axisRow" fieldPosition="4"/>
    </format>
    <format dxfId="9979">
      <pivotArea field="18" type="button" dataOnly="0" labelOnly="1" outline="0" axis="axisRow" fieldPosition="5"/>
    </format>
    <format dxfId="9978">
      <pivotArea field="5" type="button" dataOnly="0" labelOnly="1" outline="0" axis="axisRow" fieldPosition="6"/>
    </format>
    <format dxfId="9977">
      <pivotArea field="9" type="button" dataOnly="0" labelOnly="1" outline="0" axis="axisRow" fieldPosition="7"/>
    </format>
    <format dxfId="9976">
      <pivotArea field="3" type="button" dataOnly="0" labelOnly="1" outline="0" axis="axisRow" fieldPosition="8"/>
    </format>
    <format dxfId="9975">
      <pivotArea field="7" type="button" dataOnly="0" labelOnly="1" outline="0" axis="axisRow" fieldPosition="9"/>
    </format>
    <format dxfId="9974">
      <pivotArea field="1" type="button" dataOnly="0" labelOnly="1" outline="0" axis="axisRow" fieldPosition="10"/>
    </format>
    <format dxfId="9973">
      <pivotArea dataOnly="0" labelOnly="1" outline="0" axis="axisValues" fieldPosition="0"/>
    </format>
    <format dxfId="9972">
      <pivotArea dataOnly="0" labelOnly="1" outline="0" fieldPosition="0">
        <references count="3">
          <reference field="0" count="1" selected="0">
            <x v="2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9971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9970">
      <pivotArea dataOnly="0" labelOnly="1" outline="0" fieldPosition="0">
        <references count="3">
          <reference field="0" count="1" selected="0">
            <x v="14"/>
          </reference>
          <reference field="12" count="4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9969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9968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9967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9966">
      <pivotArea dataOnly="0" labelOnly="1" outline="0" fieldPosition="0">
        <references count="3">
          <reference field="0" count="1" selected="0">
            <x v="7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9965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996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96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96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96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960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9959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995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95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95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9955">
      <pivotArea dataOnly="0" labelOnly="1" outline="0" fieldPosition="0">
        <references count="4">
          <reference field="0" count="1" selected="0">
            <x v="14"/>
          </reference>
          <reference field="10" count="2">
            <x v="64"/>
            <x v="8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9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99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995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995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95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94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9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9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9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9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9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9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9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94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4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3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9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93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9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9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9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9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9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930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9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99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92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99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99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9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992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92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2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9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99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9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9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991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1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1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0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0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8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8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8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98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9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988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987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987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8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5"/>
            <x v="88"/>
          </reference>
        </references>
      </pivotArea>
    </format>
    <format dxfId="98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8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6"/>
            <x v="109"/>
          </reference>
        </references>
      </pivotArea>
    </format>
    <format dxfId="98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3"/>
            <x v="106"/>
          </reference>
        </references>
      </pivotArea>
    </format>
    <format dxfId="98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46"/>
            <x v="59"/>
          </reference>
        </references>
      </pivotArea>
    </format>
    <format dxfId="98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8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87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5"/>
            <x v="39"/>
          </reference>
        </references>
      </pivotArea>
    </format>
    <format dxfId="98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98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98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8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9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98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8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8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8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9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9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9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9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9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98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8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98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98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98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98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9"/>
            <x v="41"/>
            <x v="45"/>
            <x v="58"/>
          </reference>
        </references>
      </pivotArea>
    </format>
    <format dxfId="98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1"/>
            <x v="44"/>
            <x v="47"/>
            <x v="49"/>
          </reference>
        </references>
      </pivotArea>
    </format>
    <format dxfId="98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1"/>
          </reference>
        </references>
      </pivotArea>
    </format>
    <format dxfId="9843">
      <pivotArea dataOnly="0" labelOnly="1" outline="0" fieldPosition="0">
        <references count="7">
          <reference field="0" count="1" selected="0">
            <x v="14"/>
          </reference>
          <reference field="5" count="1">
            <x v="7553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842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41">
      <pivotArea dataOnly="0" labelOnly="1" outline="0" fieldPosition="0">
        <references count="7">
          <reference field="0" count="1" selected="0">
            <x v="14"/>
          </reference>
          <reference field="5" count="1">
            <x v="3475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40">
      <pivotArea dataOnly="0" labelOnly="1" outline="0" fieldPosition="0">
        <references count="7">
          <reference field="0" count="1" selected="0">
            <x v="14"/>
          </reference>
          <reference field="5" count="1">
            <x v="235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839">
      <pivotArea dataOnly="0" labelOnly="1" outline="0" fieldPosition="0">
        <references count="7">
          <reference field="0" count="1" selected="0">
            <x v="2"/>
          </reference>
          <reference field="5" count="1">
            <x v="196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838">
      <pivotArea dataOnly="0" labelOnly="1" outline="0" fieldPosition="0">
        <references count="7">
          <reference field="0" count="1" selected="0">
            <x v="2"/>
          </reference>
          <reference field="5" count="1">
            <x v="43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837">
      <pivotArea dataOnly="0" labelOnly="1" outline="0" fieldPosition="0">
        <references count="7">
          <reference field="0" count="1" selected="0">
            <x v="2"/>
          </reference>
          <reference field="5" count="1">
            <x v="600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836">
      <pivotArea dataOnly="0" labelOnly="1" outline="0" fieldPosition="0">
        <references count="7">
          <reference field="0" count="1" selected="0">
            <x v="7"/>
          </reference>
          <reference field="5" count="1">
            <x v="283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35">
      <pivotArea dataOnly="0" labelOnly="1" outline="0" fieldPosition="0">
        <references count="7">
          <reference field="0" count="1" selected="0">
            <x v="7"/>
          </reference>
          <reference field="5" count="1">
            <x v="766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834">
      <pivotArea dataOnly="0" labelOnly="1" outline="0" fieldPosition="0">
        <references count="7">
          <reference field="0" count="1" selected="0">
            <x v="7"/>
          </reference>
          <reference field="5" count="1">
            <x v="766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833">
      <pivotArea dataOnly="0" labelOnly="1" outline="0" fieldPosition="0">
        <references count="7">
          <reference field="0" count="1" selected="0">
            <x v="7"/>
          </reference>
          <reference field="5" count="1">
            <x v="766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832">
      <pivotArea dataOnly="0" labelOnly="1" outline="0" fieldPosition="0">
        <references count="7">
          <reference field="0" count="1" selected="0">
            <x v="7"/>
          </reference>
          <reference field="5" count="1">
            <x v="766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831">
      <pivotArea dataOnly="0" labelOnly="1" outline="0" fieldPosition="0">
        <references count="7">
          <reference field="0" count="1" selected="0">
            <x v="7"/>
          </reference>
          <reference field="5" count="1">
            <x v="434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830">
      <pivotArea dataOnly="0" labelOnly="1" outline="0" fieldPosition="0">
        <references count="7">
          <reference field="0" count="1" selected="0">
            <x v="7"/>
          </reference>
          <reference field="5" count="1">
            <x v="766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829">
      <pivotArea dataOnly="0" labelOnly="1" outline="0" fieldPosition="0">
        <references count="7">
          <reference field="0" count="1" selected="0">
            <x v="7"/>
          </reference>
          <reference field="5" count="1">
            <x v="601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828">
      <pivotArea dataOnly="0" labelOnly="1" outline="0" fieldPosition="0">
        <references count="7">
          <reference field="0" count="1" selected="0">
            <x v="12"/>
          </reference>
          <reference field="5" count="1">
            <x v="594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827">
      <pivotArea dataOnly="0" labelOnly="1" outline="0" fieldPosition="0">
        <references count="7">
          <reference field="0" count="1" selected="0">
            <x v="12"/>
          </reference>
          <reference field="5" count="1">
            <x v="404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826">
      <pivotArea dataOnly="0" labelOnly="1" outline="0" fieldPosition="0">
        <references count="7">
          <reference field="0" count="1" selected="0">
            <x v="12"/>
          </reference>
          <reference field="5" count="1">
            <x v="765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825">
      <pivotArea dataOnly="0" labelOnly="1" outline="0" fieldPosition="0">
        <references count="7">
          <reference field="0" count="1" selected="0">
            <x v="13"/>
          </reference>
          <reference field="5" count="1">
            <x v="71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824">
      <pivotArea dataOnly="0" labelOnly="1" outline="0" fieldPosition="0">
        <references count="7">
          <reference field="0" count="1" selected="0">
            <x v="13"/>
          </reference>
          <reference field="5" count="2">
            <x v="4637"/>
            <x v="75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823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822">
      <pivotArea dataOnly="0" labelOnly="1" outline="0" fieldPosition="0">
        <references count="7">
          <reference field="0" count="1" selected="0">
            <x v="13"/>
          </reference>
          <reference field="5" count="2">
            <x v="2593"/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821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820">
      <pivotArea dataOnly="0" labelOnly="1" outline="0" fieldPosition="0">
        <references count="7">
          <reference field="0" count="1" selected="0">
            <x v="14"/>
          </reference>
          <reference field="5" count="1">
            <x v="7658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9819">
      <pivotArea dataOnly="0" labelOnly="1" outline="0" fieldPosition="0">
        <references count="7">
          <reference field="0" count="1" selected="0">
            <x v="14"/>
          </reference>
          <reference field="5" count="1">
            <x v="765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818">
      <pivotArea dataOnly="0" labelOnly="1" outline="0" fieldPosition="0">
        <references count="7">
          <reference field="0" count="1" selected="0">
            <x v="14"/>
          </reference>
          <reference field="5" count="1">
            <x v="765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817">
      <pivotArea dataOnly="0" labelOnly="1" outline="0" fieldPosition="0">
        <references count="7">
          <reference field="0" count="1" selected="0">
            <x v="14"/>
          </reference>
          <reference field="5" count="1">
            <x v="765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16">
      <pivotArea dataOnly="0" labelOnly="1" outline="0" fieldPosition="0">
        <references count="7">
          <reference field="0" count="1" selected="0">
            <x v="14"/>
          </reference>
          <reference field="5" count="1">
            <x v="765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815">
      <pivotArea dataOnly="0" labelOnly="1" outline="0" fieldPosition="0">
        <references count="7">
          <reference field="0" count="1" selected="0">
            <x v="14"/>
          </reference>
          <reference field="5" count="1">
            <x v="716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814">
      <pivotArea dataOnly="0" labelOnly="1" outline="0" fieldPosition="0">
        <references count="7">
          <reference field="0" count="1" selected="0">
            <x v="14"/>
          </reference>
          <reference field="5" count="1">
            <x v="2130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813">
      <pivotArea dataOnly="0" labelOnly="1" outline="0" fieldPosition="0">
        <references count="7">
          <reference field="0" count="1" selected="0">
            <x v="14"/>
          </reference>
          <reference field="5" count="1">
            <x v="7609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812">
      <pivotArea dataOnly="0" labelOnly="1" outline="0" fieldPosition="0">
        <references count="7">
          <reference field="0" count="1" selected="0">
            <x v="14"/>
          </reference>
          <reference field="5" count="1">
            <x v="3988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811">
      <pivotArea dataOnly="0" labelOnly="1" outline="0" fieldPosition="0">
        <references count="7">
          <reference field="0" count="1" selected="0">
            <x v="14"/>
          </reference>
          <reference field="5" count="1">
            <x v="6103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810">
      <pivotArea dataOnly="0" labelOnly="1" outline="0" fieldPosition="0">
        <references count="7">
          <reference field="0" count="1" selected="0">
            <x v="14"/>
          </reference>
          <reference field="5" count="1">
            <x v="7612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809">
      <pivotArea dataOnly="0" labelOnly="1" outline="0" fieldPosition="0">
        <references count="7">
          <reference field="0" count="1" selected="0">
            <x v="14"/>
          </reference>
          <reference field="5" count="1">
            <x v="765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808">
      <pivotArea dataOnly="0" labelOnly="1" outline="0" fieldPosition="0">
        <references count="7">
          <reference field="0" count="1" selected="0">
            <x v="14"/>
          </reference>
          <reference field="5" count="2">
            <x v="5943"/>
            <x v="656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807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806">
      <pivotArea dataOnly="0" labelOnly="1" outline="0" fieldPosition="0">
        <references count="7">
          <reference field="0" count="1" selected="0">
            <x v="15"/>
          </reference>
          <reference field="5" count="1">
            <x v="19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805">
      <pivotArea dataOnly="0" labelOnly="1" outline="0" fieldPosition="0">
        <references count="7">
          <reference field="0" count="1" selected="0">
            <x v="15"/>
          </reference>
          <reference field="5" count="1">
            <x v="76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804">
      <pivotArea dataOnly="0" labelOnly="1" outline="0" fieldPosition="0">
        <references count="7">
          <reference field="0" count="1" selected="0">
            <x v="15"/>
          </reference>
          <reference field="5" count="1">
            <x v="764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803">
      <pivotArea dataOnly="0" labelOnly="1" outline="0" fieldPosition="0">
        <references count="7">
          <reference field="0" count="1" selected="0">
            <x v="15"/>
          </reference>
          <reference field="5" count="1"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802">
      <pivotArea dataOnly="0" labelOnly="1" outline="0" fieldPosition="0">
        <references count="7">
          <reference field="0" count="1" selected="0">
            <x v="15"/>
          </reference>
          <reference field="5" count="2">
            <x v="3133"/>
            <x v="313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9801">
      <pivotArea dataOnly="0" labelOnly="1" outline="0" fieldPosition="0">
        <references count="7">
          <reference field="0" count="1" selected="0">
            <x v="15"/>
          </reference>
          <reference field="5" count="1">
            <x v="461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9800">
      <pivotArea dataOnly="0" labelOnly="1" outline="0" fieldPosition="0">
        <references count="7">
          <reference field="0" count="1" selected="0">
            <x v="15"/>
          </reference>
          <reference field="5" count="2">
            <x v="4673"/>
            <x v="764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9799">
      <pivotArea dataOnly="0" labelOnly="1" outline="0" fieldPosition="0">
        <references count="7">
          <reference field="0" count="1" selected="0">
            <x v="15"/>
          </reference>
          <reference field="5" count="1">
            <x v="764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7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7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5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79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9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79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79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0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8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7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7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0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78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4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7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78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7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97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7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7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7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30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7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7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7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7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7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7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77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77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4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7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768">
      <pivotArea dataOnly="0" labelOnly="1" outline="0" fieldPosition="0">
        <references count="9">
          <reference field="0" count="1" selected="0">
            <x v="14"/>
          </reference>
          <reference field="3" count="1">
            <x v="7475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67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34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66">
      <pivotArea dataOnly="0" labelOnly="1" outline="0" fieldPosition="0">
        <references count="9">
          <reference field="0" count="1" selected="0">
            <x v="14"/>
          </reference>
          <reference field="3" count="1">
            <x v="7660"/>
          </reference>
          <reference field="5" count="1" selected="0">
            <x v="235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76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764">
      <pivotArea dataOnly="0" labelOnly="1" outline="0" fieldPosition="0">
        <references count="9">
          <reference field="0" count="1" selected="0">
            <x v="2"/>
          </reference>
          <reference field="3" count="1">
            <x v="7509"/>
          </reference>
          <reference field="5" count="1" selected="0">
            <x v="43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763">
      <pivotArea dataOnly="0" labelOnly="1" outline="0" fieldPosition="0">
        <references count="9">
          <reference field="0" count="1" selected="0">
            <x v="2"/>
          </reference>
          <reference field="3" count="1">
            <x v="7508"/>
          </reference>
          <reference field="5" count="1" selected="0">
            <x v="60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62">
      <pivotArea dataOnly="0" labelOnly="1" outline="0" fieldPosition="0">
        <references count="9">
          <reference field="0" count="1" selected="0">
            <x v="7"/>
          </reference>
          <reference field="3" count="1">
            <x v="7666"/>
          </reference>
          <reference field="5" count="1" selected="0">
            <x v="28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61">
      <pivotArea dataOnly="0" labelOnly="1" outline="0" fieldPosition="0">
        <references count="9">
          <reference field="0" count="1" selected="0">
            <x v="7"/>
          </reference>
          <reference field="3" count="1">
            <x v="7035"/>
          </reference>
          <reference field="5" count="1" selected="0">
            <x v="76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760">
      <pivotArea dataOnly="0" labelOnly="1" outline="0" fieldPosition="0">
        <references count="9">
          <reference field="0" count="1" selected="0">
            <x v="7"/>
          </reference>
          <reference field="3" count="1">
            <x v="7664"/>
          </reference>
          <reference field="5" count="1" selected="0">
            <x v="76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759">
      <pivotArea dataOnly="0" labelOnly="1" outline="0" fieldPosition="0">
        <references count="9">
          <reference field="0" count="1" selected="0">
            <x v="7"/>
          </reference>
          <reference field="3" count="1">
            <x v="7665"/>
          </reference>
          <reference field="5" count="1" selected="0">
            <x v="76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758">
      <pivotArea dataOnly="0" labelOnly="1" outline="0" fieldPosition="0">
        <references count="9">
          <reference field="0" count="1" selected="0">
            <x v="7"/>
          </reference>
          <reference field="3" count="1">
            <x v="7668"/>
          </reference>
          <reference field="5" count="1" selected="0">
            <x v="76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757">
      <pivotArea dataOnly="0" labelOnly="1" outline="0" fieldPosition="0">
        <references count="9">
          <reference field="0" count="1" selected="0">
            <x v="7"/>
          </reference>
          <reference field="3" count="1">
            <x v="7667"/>
          </reference>
          <reference field="5" count="1" selected="0">
            <x v="43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756">
      <pivotArea dataOnly="0" labelOnly="1" outline="0" fieldPosition="0">
        <references count="9">
          <reference field="0" count="1" selected="0">
            <x v="7"/>
          </reference>
          <reference field="3" count="1">
            <x v="7662"/>
          </reference>
          <reference field="5" count="1" selected="0">
            <x v="76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5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4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75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753">
      <pivotArea dataOnly="0" labelOnly="1" outline="0" fieldPosition="0">
        <references count="9">
          <reference field="0" count="1" selected="0">
            <x v="14"/>
          </reference>
          <reference field="3" count="1">
            <x v="7659"/>
          </reference>
          <reference field="5" count="1" selected="0">
            <x v="765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975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5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51">
      <pivotArea dataOnly="0" labelOnly="1" outline="0" fieldPosition="0">
        <references count="9">
          <reference field="0" count="1" selected="0">
            <x v="14"/>
          </reference>
          <reference field="3" count="1">
            <x v="7651"/>
          </reference>
          <reference field="5" count="1" selected="0">
            <x v="765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750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765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49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748">
      <pivotArea dataOnly="0" labelOnly="1" outline="0" fieldPosition="0">
        <references count="9">
          <reference field="0" count="1" selected="0">
            <x v="14"/>
          </reference>
          <reference field="3" count="1">
            <x v="7658"/>
          </reference>
          <reference field="5" count="1" selected="0">
            <x v="71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747">
      <pivotArea dataOnly="0" labelOnly="1" outline="0" fieldPosition="0">
        <references count="9">
          <reference field="0" count="1" selected="0">
            <x v="14"/>
          </reference>
          <reference field="3" count="1">
            <x v="5820"/>
          </reference>
          <reference field="5" count="1" selected="0">
            <x v="2130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746">
      <pivotArea dataOnly="0" labelOnly="1" outline="0" fieldPosition="0">
        <references count="9">
          <reference field="0" count="1" selected="0">
            <x v="14"/>
          </reference>
          <reference field="3" count="1">
            <x v="7618"/>
          </reference>
          <reference field="5" count="1" selected="0">
            <x v="76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745">
      <pivotArea dataOnly="0" labelOnly="1" outline="0" fieldPosition="0">
        <references count="9">
          <reference field="0" count="1" selected="0">
            <x v="14"/>
          </reference>
          <reference field="3" count="1">
            <x v="7540"/>
          </reference>
          <reference field="5" count="1" selected="0">
            <x v="398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744">
      <pivotArea dataOnly="0" labelOnly="1" outline="0" fieldPosition="0">
        <references count="9">
          <reference field="0" count="1" selected="0">
            <x v="14"/>
          </reference>
          <reference field="3" count="1">
            <x v="7226"/>
          </reference>
          <reference field="5" count="1" selected="0">
            <x v="61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743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76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742">
      <pivotArea dataOnly="0" labelOnly="1" outline="0" fieldPosition="0">
        <references count="9">
          <reference field="0" count="1" selected="0">
            <x v="14"/>
          </reference>
          <reference field="3" count="1">
            <x v="7478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741">
      <pivotArea dataOnly="0" labelOnly="1" outline="0" fieldPosition="0">
        <references count="9">
          <reference field="0" count="1" selected="0">
            <x v="14"/>
          </reference>
          <reference field="3" count="1">
            <x v="7480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740">
      <pivotArea dataOnly="0" labelOnly="1" outline="0" fieldPosition="0">
        <references count="9">
          <reference field="0" count="1" selected="0">
            <x v="14"/>
          </reference>
          <reference field="3" count="1">
            <x v="7477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739">
      <pivotArea dataOnly="0" labelOnly="1" outline="0" fieldPosition="0">
        <references count="9">
          <reference field="0" count="1" selected="0">
            <x v="15"/>
          </reference>
          <reference field="3" count="1">
            <x v="7616"/>
          </reference>
          <reference field="5" count="1" selected="0">
            <x v="19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738">
      <pivotArea dataOnly="0" labelOnly="1" outline="0" fieldPosition="0">
        <references count="9">
          <reference field="0" count="1" selected="0">
            <x v="15"/>
          </reference>
          <reference field="3" count="1">
            <x v="7634"/>
          </reference>
          <reference field="5" count="1" selected="0">
            <x v="76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737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64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73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7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7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5"/>
          </reference>
          <reference field="5" count="1" selected="0">
            <x v="61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3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0"/>
          </reference>
          <reference field="5" count="1" selected="0">
            <x v="23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73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6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73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09"/>
          </reference>
          <reference field="5" count="1" selected="0">
            <x v="43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72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08"/>
          </reference>
          <reference field="5" count="1" selected="0">
            <x v="60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6"/>
          </reference>
          <reference field="5" count="1" selected="0">
            <x v="28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35"/>
          </reference>
          <reference field="5" count="1" selected="0">
            <x v="76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7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5"/>
          </reference>
          <reference field="5" count="1" selected="0">
            <x v="76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7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2"/>
          </reference>
          <reference field="5" count="1" selected="0">
            <x v="76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2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72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7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9"/>
          </reference>
          <reference field="5" count="1" selected="0">
            <x v="76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97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1"/>
          </reference>
          <reference field="5" count="1" selected="0">
            <x v="76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7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0"/>
          </reference>
          <reference field="5" count="1" selected="0">
            <x v="76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7"/>
          </reference>
          <reference field="5" count="1" selected="0">
            <x v="7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7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8"/>
          </reference>
          <reference field="5" count="1" selected="0">
            <x v="71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7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820"/>
          </reference>
          <reference field="5" count="1" selected="0">
            <x v="21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7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8"/>
          </reference>
          <reference field="5" count="1" selected="0">
            <x v="76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7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0"/>
          </reference>
          <reference field="5" count="1" selected="0">
            <x v="39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7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6"/>
          </reference>
          <reference field="5" count="1" selected="0">
            <x v="61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7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76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7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8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7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6"/>
          </reference>
          <reference field="5" count="1" selected="0">
            <x v="19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7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4"/>
          </reference>
          <reference field="5" count="1" selected="0">
            <x v="76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7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6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7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706">
      <pivotArea dataOnly="0" labelOnly="1" outline="0" fieldPosition="0">
        <references count="11">
          <reference field="0" count="1" selected="0">
            <x v="14"/>
          </reference>
          <reference field="1" count="1">
            <x v="7454"/>
          </reference>
          <reference field="3" count="1" selected="0">
            <x v="2"/>
          </reference>
          <reference field="5" count="1" selected="0">
            <x v="75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705">
      <pivotArea dataOnly="0" labelOnly="1" outline="0" fieldPosition="0">
        <references count="11">
          <reference field="0" count="1" selected="0">
            <x v="14"/>
          </reference>
          <reference field="1" count="1">
            <x v="7455"/>
          </reference>
          <reference field="3" count="1" selected="0">
            <x v="7660"/>
          </reference>
          <reference field="5" count="1" selected="0">
            <x v="23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704">
      <pivotArea dataOnly="0" labelOnly="1" outline="0" fieldPosition="0">
        <references count="11">
          <reference field="0" count="1" selected="0">
            <x v="2"/>
          </reference>
          <reference field="1" count="1">
            <x v="7280"/>
          </reference>
          <reference field="3" count="1" selected="0">
            <x v="0"/>
          </reference>
          <reference field="5" count="1" selected="0">
            <x v="196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703">
      <pivotArea dataOnly="0" labelOnly="1" outline="0" fieldPosition="0">
        <references count="11">
          <reference field="0" count="1" selected="0">
            <x v="2"/>
          </reference>
          <reference field="1" count="1">
            <x v="7282"/>
          </reference>
          <reference field="3" count="1" selected="0">
            <x v="7509"/>
          </reference>
          <reference field="5" count="1" selected="0">
            <x v="43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702">
      <pivotArea dataOnly="0" labelOnly="1" outline="0" fieldPosition="0">
        <references count="11">
          <reference field="0" count="1" selected="0">
            <x v="7"/>
          </reference>
          <reference field="1" count="1">
            <x v="7464"/>
          </reference>
          <reference field="3" count="1" selected="0">
            <x v="7035"/>
          </reference>
          <reference field="5" count="1" selected="0">
            <x v="76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701">
      <pivotArea dataOnly="0" labelOnly="1" outline="0" fieldPosition="0">
        <references count="11">
          <reference field="0" count="1" selected="0">
            <x v="7"/>
          </reference>
          <reference field="1" count="1">
            <x v="7465"/>
          </reference>
          <reference field="3" count="1" selected="0">
            <x v="7668"/>
          </reference>
          <reference field="5" count="1" selected="0">
            <x v="76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700">
      <pivotArea dataOnly="0" labelOnly="1" outline="0" fieldPosition="0">
        <references count="11">
          <reference field="0" count="1" selected="0">
            <x v="7"/>
          </reference>
          <reference field="1" count="1">
            <x v="7461"/>
          </reference>
          <reference field="3" count="1" selected="0">
            <x v="7662"/>
          </reference>
          <reference field="5" count="1" selected="0">
            <x v="76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99">
      <pivotArea dataOnly="0" labelOnly="1" outline="0" fieldPosition="0">
        <references count="11">
          <reference field="0" count="1" selected="0">
            <x v="12"/>
          </reference>
          <reference field="1" count="1">
            <x v="7458"/>
          </reference>
          <reference field="3" count="1" selected="0">
            <x v="0"/>
          </reference>
          <reference field="5" count="1" selected="0">
            <x v="59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698">
      <pivotArea dataOnly="0" labelOnly="1" outline="0" fieldPosition="0">
        <references count="11">
          <reference field="0" count="1" selected="0">
            <x v="13"/>
          </reference>
          <reference field="1" count="1">
            <x v="7446"/>
          </reference>
          <reference field="3" count="1" selected="0">
            <x v="0"/>
          </reference>
          <reference field="5" count="1" selected="0">
            <x v="554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697">
      <pivotArea dataOnly="0" labelOnly="1" outline="0" fieldPosition="0">
        <references count="11">
          <reference field="0" count="1" selected="0">
            <x v="14"/>
          </reference>
          <reference field="1" count="1">
            <x v="7444"/>
          </reference>
          <reference field="3" count="1" selected="0">
            <x v="7651"/>
          </reference>
          <reference field="5" count="1" selected="0">
            <x v="765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696">
      <pivotArea dataOnly="0" labelOnly="1" outline="0" fieldPosition="0">
        <references count="11">
          <reference field="0" count="1" selected="0">
            <x v="14"/>
          </reference>
          <reference field="1" count="1">
            <x v="7452"/>
          </reference>
          <reference field="3" count="1" selected="0">
            <x v="7618"/>
          </reference>
          <reference field="5" count="1" selected="0">
            <x v="760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695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78"/>
          </reference>
          <reference field="5" count="1" selected="0">
            <x v="59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694">
      <pivotArea dataOnly="0" labelOnly="1" outline="0" fieldPosition="0">
        <references count="11">
          <reference field="0" count="1" selected="0">
            <x v="15"/>
          </reference>
          <reference field="1" count="1">
            <x v="7407"/>
          </reference>
          <reference field="3" count="1" selected="0">
            <x v="7634"/>
          </reference>
          <reference field="5" count="1" selected="0">
            <x v="762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693">
      <pivotArea dataOnly="0" labelOnly="1" outline="0" fieldPosition="0">
        <references count="11">
          <reference field="0" count="1" selected="0">
            <x v="15"/>
          </reference>
          <reference field="1" count="1">
            <x v="7427"/>
          </reference>
          <reference field="3" count="1" selected="0">
            <x v="2"/>
          </reference>
          <reference field="5" count="1" selected="0">
            <x v="764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692">
      <pivotArea dataOnly="0" labelOnly="1" outline="0" fieldPosition="0">
        <references count="11">
          <reference field="0" count="1" selected="0">
            <x v="15"/>
          </reference>
          <reference field="1" count="1">
            <x v="7439"/>
          </reference>
          <reference field="3" count="1" selected="0">
            <x v="0"/>
          </reference>
          <reference field="5" count="1" selected="0">
            <x v="31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9691">
      <pivotArea dataOnly="0" labelOnly="1" outline="0" fieldPosition="0">
        <references count="11">
          <reference field="0" count="1" selected="0">
            <x v="15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31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9690">
      <pivotArea dataOnly="0" labelOnly="1" outline="0" fieldPosition="0">
        <references count="11">
          <reference field="0" count="1" selected="0">
            <x v="15"/>
          </reference>
          <reference field="1" count="1">
            <x v="7426"/>
          </reference>
          <reference field="3" count="1" selected="0">
            <x v="0"/>
          </reference>
          <reference field="5" count="1" selected="0">
            <x v="76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9689">
      <pivotArea outline="0" collapsedLevelsAreSubtotals="1" fieldPosition="0"/>
    </format>
    <format dxfId="9688">
      <pivotArea dataOnly="0" labelOnly="1" outline="0" axis="axisValues" fieldPosition="0"/>
    </format>
    <format dxfId="9687">
      <pivotArea dataOnly="0" outline="0" fieldPosition="0">
        <references count="1">
          <reference field="12" count="0" defaultSubtotal="1"/>
        </references>
      </pivotArea>
    </format>
    <format dxfId="9686">
      <pivotArea outline="0" collapsedLevelsAreSubtotals="1" fieldPosition="0"/>
    </format>
    <format dxfId="9685">
      <pivotArea dataOnly="0" labelOnly="1" outline="0" axis="axisValues" fieldPosition="0"/>
    </format>
    <format dxfId="9684">
      <pivotArea outline="0" collapsedLevelsAreSubtotals="1" fieldPosition="0"/>
    </format>
    <format dxfId="9683">
      <pivotArea dataOnly="0" labelOnly="1" outline="0" axis="axisValues" fieldPosition="0"/>
    </format>
    <format dxfId="9682">
      <pivotArea dataOnly="0" labelOnly="1" outline="0" axis="axisValues" fieldPosition="0"/>
    </format>
    <format dxfId="9681">
      <pivotArea outline="0" collapsedLevelsAreSubtotals="1" fieldPosition="0"/>
    </format>
    <format dxfId="9680">
      <pivotArea field="12" type="button" dataOnly="0" labelOnly="1" outline="0" axis="axisRow" fieldPosition="2"/>
    </format>
    <format dxfId="9679">
      <pivotArea field="10" type="button" dataOnly="0" labelOnly="1" outline="0" axis="axisRow" fieldPosition="3"/>
    </format>
    <format dxfId="9678">
      <pivotArea field="16" type="button" dataOnly="0" labelOnly="1" outline="0" axis="axisRow" fieldPosition="4"/>
    </format>
    <format dxfId="9677">
      <pivotArea field="18" type="button" dataOnly="0" labelOnly="1" outline="0" axis="axisRow" fieldPosition="5"/>
    </format>
    <format dxfId="9676">
      <pivotArea field="5" type="button" dataOnly="0" labelOnly="1" outline="0" axis="axisRow" fieldPosition="6"/>
    </format>
    <format dxfId="9675">
      <pivotArea field="9" type="button" dataOnly="0" labelOnly="1" outline="0" axis="axisRow" fieldPosition="7"/>
    </format>
    <format dxfId="9674">
      <pivotArea field="3" type="button" dataOnly="0" labelOnly="1" outline="0" axis="axisRow" fieldPosition="8"/>
    </format>
    <format dxfId="9673">
      <pivotArea field="7" type="button" dataOnly="0" labelOnly="1" outline="0" axis="axisRow" fieldPosition="9"/>
    </format>
    <format dxfId="9672">
      <pivotArea field="1" type="button" dataOnly="0" labelOnly="1" outline="0" axis="axisRow" fieldPosition="10"/>
    </format>
    <format dxfId="9671">
      <pivotArea dataOnly="0" labelOnly="1" outline="0" axis="axisValues" fieldPosition="0"/>
    </format>
    <format dxfId="9670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966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9668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9667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966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966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966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66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66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66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660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9659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965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65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6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6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965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65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65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65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5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4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4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6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6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6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64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6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6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6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64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6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963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63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63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9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963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963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6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63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62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9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9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9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96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96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96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96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961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9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961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961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9"/>
            <x v="42"/>
          </reference>
        </references>
      </pivotArea>
    </format>
    <format dxfId="96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960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96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96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96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96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9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2"/>
            <x v="35"/>
          </reference>
        </references>
      </pivotArea>
    </format>
    <format dxfId="9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9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9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9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9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9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9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9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95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1"/>
            <x v="58"/>
          </reference>
        </references>
      </pivotArea>
    </format>
    <format dxfId="95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4"/>
          </reference>
        </references>
      </pivotArea>
    </format>
    <format dxfId="95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4"/>
          </reference>
        </references>
      </pivotArea>
    </format>
    <format dxfId="9587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586">
      <pivotArea dataOnly="0" labelOnly="1" outline="0" fieldPosition="0">
        <references count="7">
          <reference field="0" count="1" selected="0">
            <x v="0"/>
          </reference>
          <reference field="5" count="1">
            <x v="201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585">
      <pivotArea dataOnly="0" labelOnly="1" outline="0" fieldPosition="0">
        <references count="7">
          <reference field="0" count="1" selected="0">
            <x v="0"/>
          </reference>
          <reference field="5" count="1">
            <x v="566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584">
      <pivotArea dataOnly="0" labelOnly="1" outline="0" fieldPosition="0">
        <references count="7">
          <reference field="0" count="1" selected="0">
            <x v="0"/>
          </reference>
          <reference field="5" count="1">
            <x v="596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583">
      <pivotArea dataOnly="0" labelOnly="1" outline="0" fieldPosition="0">
        <references count="7">
          <reference field="0" count="1" selected="0">
            <x v="7"/>
          </reference>
          <reference field="5" count="1">
            <x v="213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582">
      <pivotArea dataOnly="0" labelOnly="1" outline="0" fieldPosition="0">
        <references count="7">
          <reference field="0" count="1" selected="0">
            <x v="12"/>
          </reference>
          <reference field="5" count="1">
            <x v="76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581">
      <pivotArea dataOnly="0" labelOnly="1" outline="0" fieldPosition="0">
        <references count="7">
          <reference field="0" count="1" selected="0">
            <x v="13"/>
          </reference>
          <reference field="5" count="1">
            <x v="71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580">
      <pivotArea dataOnly="0" labelOnly="1" outline="0" fieldPosition="0">
        <references count="7">
          <reference field="0" count="1" selected="0">
            <x v="13"/>
          </reference>
          <reference field="5" count="2">
            <x v="4637"/>
            <x v="75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579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578">
      <pivotArea dataOnly="0" labelOnly="1" outline="0" fieldPosition="0">
        <references count="7">
          <reference field="0" count="1" selected="0">
            <x v="13"/>
          </reference>
          <reference field="5" count="2">
            <x v="2593"/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577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576">
      <pivotArea dataOnly="0" labelOnly="1" outline="0" fieldPosition="0">
        <references count="7">
          <reference field="0" count="1" selected="0">
            <x v="14"/>
          </reference>
          <reference field="5" count="1">
            <x v="755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575">
      <pivotArea dataOnly="0" labelOnly="1" outline="0" fieldPosition="0">
        <references count="7">
          <reference field="0" count="1" selected="0">
            <x v="14"/>
          </reference>
          <reference field="5" count="1">
            <x v="764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574">
      <pivotArea dataOnly="0" labelOnly="1" outline="0" fieldPosition="0">
        <references count="7">
          <reference field="0" count="1" selected="0">
            <x v="14"/>
          </reference>
          <reference field="5" count="1">
            <x v="433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573">
      <pivotArea dataOnly="0" labelOnly="1" outline="0" fieldPosition="0">
        <references count="7">
          <reference field="0" count="1" selected="0">
            <x v="14"/>
          </reference>
          <reference field="5" count="1">
            <x v="765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572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571">
      <pivotArea dataOnly="0" labelOnly="1" outline="0" fieldPosition="0">
        <references count="7">
          <reference field="0" count="1" selected="0">
            <x v="14"/>
          </reference>
          <reference field="5" count="1">
            <x v="765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570">
      <pivotArea dataOnly="0" labelOnly="1" outline="0" fieldPosition="0">
        <references count="7">
          <reference field="0" count="1" selected="0">
            <x v="14"/>
          </reference>
          <reference field="5" count="1">
            <x v="765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569">
      <pivotArea dataOnly="0" labelOnly="1" outline="0" fieldPosition="0">
        <references count="7">
          <reference field="0" count="1" selected="0">
            <x v="14"/>
          </reference>
          <reference field="5" count="1">
            <x v="3475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568">
      <pivotArea dataOnly="0" labelOnly="1" outline="0" fieldPosition="0">
        <references count="7">
          <reference field="0" count="1" selected="0">
            <x v="14"/>
          </reference>
          <reference field="5" count="1">
            <x v="479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567">
      <pivotArea dataOnly="0" labelOnly="1" outline="0" fieldPosition="0">
        <references count="7">
          <reference field="0" count="1" selected="0">
            <x v="14"/>
          </reference>
          <reference field="5" count="2">
            <x v="5943"/>
            <x v="656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566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565">
      <pivotArea dataOnly="0" labelOnly="1" outline="0" fieldPosition="0">
        <references count="7">
          <reference field="0" count="1" selected="0">
            <x v="15"/>
          </reference>
          <reference field="5" count="1"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564">
      <pivotArea dataOnly="0" labelOnly="1" outline="0" fieldPosition="0">
        <references count="7">
          <reference field="0" count="1" selected="0">
            <x v="15"/>
          </reference>
          <reference field="5" count="1">
            <x v="313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9563">
      <pivotArea dataOnly="0" labelOnly="1" outline="0" fieldPosition="0">
        <references count="7">
          <reference field="0" count="1" selected="0">
            <x v="15"/>
          </reference>
          <reference field="5" count="1">
            <x v="766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562">
      <pivotArea dataOnly="0" labelOnly="1" outline="0" fieldPosition="0">
        <references count="7">
          <reference field="0" count="1" selected="0">
            <x v="15"/>
          </reference>
          <reference field="5" count="1">
            <x v="138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95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560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5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55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6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5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5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5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5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5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5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5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5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5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9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5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5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546">
      <pivotArea dataOnly="0" labelOnly="1" outline="0" fieldPosition="0">
        <references count="9">
          <reference field="0" count="1" selected="0">
            <x v="14"/>
          </reference>
          <reference field="3" count="1">
            <x v="7475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545">
      <pivotArea dataOnly="0" labelOnly="1" outline="0" fieldPosition="0">
        <references count="9">
          <reference field="0" count="1" selected="0">
            <x v="0"/>
          </reference>
          <reference field="3" count="1">
            <x v="7224"/>
          </reference>
          <reference field="5" count="1" selected="0">
            <x v="20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544">
      <pivotArea dataOnly="0" labelOnly="1" outline="0" fieldPosition="0">
        <references count="9">
          <reference field="0" count="1" selected="0">
            <x v="0"/>
          </reference>
          <reference field="3" count="1">
            <x v="7225"/>
          </reference>
          <reference field="5" count="1" selected="0">
            <x v="56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543">
      <pivotArea dataOnly="0" labelOnly="1" outline="0" fieldPosition="0">
        <references count="9">
          <reference field="0" count="1" selected="0">
            <x v="0"/>
          </reference>
          <reference field="3" count="1">
            <x v="7581"/>
          </reference>
          <reference field="5" count="1" selected="0">
            <x v="59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542">
      <pivotArea dataOnly="0" labelOnly="1" outline="0" fieldPosition="0">
        <references count="9">
          <reference field="0" count="1" selected="0">
            <x v="7"/>
          </reference>
          <reference field="3" count="1">
            <x v="7333"/>
          </reference>
          <reference field="5" count="1" selected="0">
            <x v="21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54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6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5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5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53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4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537">
      <pivotArea dataOnly="0" labelOnly="1" outline="0" fieldPosition="0">
        <references count="9">
          <reference field="0" count="1" selected="0">
            <x v="14"/>
          </reference>
          <reference field="3" count="1">
            <x v="7366"/>
          </reference>
          <reference field="5" count="1" selected="0">
            <x v="433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53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5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5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534">
      <pivotArea dataOnly="0" labelOnly="1" outline="0" fieldPosition="0">
        <references count="9">
          <reference field="0" count="1" selected="0">
            <x v="14"/>
          </reference>
          <reference field="3" count="1">
            <x v="7651"/>
          </reference>
          <reference field="5" count="1" selected="0">
            <x v="765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533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532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34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531">
      <pivotArea dataOnly="0" labelOnly="1" outline="0" fieldPosition="0">
        <references count="9">
          <reference field="0" count="1" selected="0">
            <x v="14"/>
          </reference>
          <reference field="3" count="1">
            <x v="7674"/>
          </reference>
          <reference field="5" count="1" selected="0">
            <x v="479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530">
      <pivotArea dataOnly="0" labelOnly="1" outline="0" fieldPosition="0">
        <references count="9">
          <reference field="0" count="1" selected="0">
            <x v="14"/>
          </reference>
          <reference field="3" count="1">
            <x v="7478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529">
      <pivotArea dataOnly="0" labelOnly="1" outline="0" fieldPosition="0">
        <references count="9">
          <reference field="0" count="1" selected="0">
            <x v="14"/>
          </reference>
          <reference field="3" count="1">
            <x v="7480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528">
      <pivotArea dataOnly="0" labelOnly="1" outline="0" fieldPosition="0">
        <references count="9">
          <reference field="0" count="1" selected="0">
            <x v="14"/>
          </reference>
          <reference field="3" count="1">
            <x v="7477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527">
      <pivotArea dataOnly="0" labelOnly="1" outline="0" fieldPosition="0">
        <references count="9">
          <reference field="0" count="1" selected="0">
            <x v="15"/>
          </reference>
          <reference field="3" count="1">
            <x v="7672"/>
          </reference>
          <reference field="5" count="1" selected="0">
            <x v="138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95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5"/>
          </reference>
          <reference field="5" count="1" selected="0">
            <x v="61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52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225"/>
          </reference>
          <reference field="5" count="1" selected="0">
            <x v="56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5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3"/>
          </reference>
          <reference field="5" count="1" selected="0">
            <x v="21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52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52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5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5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49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5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6"/>
          </reference>
          <reference field="5" count="1" selected="0">
            <x v="43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5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5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1"/>
          </reference>
          <reference field="5" count="1" selected="0">
            <x v="76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5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7"/>
          </reference>
          <reference field="5" count="1" selected="0">
            <x v="7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5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3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5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4"/>
          </reference>
          <reference field="5" count="1" selected="0">
            <x v="47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5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8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5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2"/>
          </reference>
          <reference field="5" count="1" selected="0">
            <x v="13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9511">
      <pivotArea dataOnly="0" labelOnly="1" outline="0" fieldPosition="0">
        <references count="11">
          <reference field="0" count="1" selected="0">
            <x v="13"/>
          </reference>
          <reference field="1" count="1">
            <x v="7446"/>
          </reference>
          <reference field="3" count="1" selected="0">
            <x v="0"/>
          </reference>
          <reference field="5" count="1" selected="0">
            <x v="554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510">
      <pivotArea dataOnly="0" labelOnly="1" outline="0" fieldPosition="0">
        <references count="11">
          <reference field="0" count="1" selected="0">
            <x v="14"/>
          </reference>
          <reference field="1" count="1">
            <x v="7475"/>
          </reference>
          <reference field="3" count="1" selected="0">
            <x v="2"/>
          </reference>
          <reference field="5" count="1" selected="0">
            <x v="75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509">
      <pivotArea dataOnly="0" labelOnly="1" outline="0" fieldPosition="0">
        <references count="11">
          <reference field="0" count="1" selected="0">
            <x v="14"/>
          </reference>
          <reference field="1" count="1">
            <x v="7474"/>
          </reference>
          <reference field="3" count="1" selected="0">
            <x v="2"/>
          </reference>
          <reference field="5" count="1" selected="0">
            <x v="76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508">
      <pivotArea dataOnly="0" labelOnly="1" outline="0" fieldPosition="0">
        <references count="11">
          <reference field="0" count="1" selected="0">
            <x v="14"/>
          </reference>
          <reference field="1" count="1">
            <x v="7444"/>
          </reference>
          <reference field="3" count="1" selected="0">
            <x v="7651"/>
          </reference>
          <reference field="5" count="1" selected="0">
            <x v="765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507">
      <pivotArea dataOnly="0" labelOnly="1" outline="0" fieldPosition="0">
        <references count="11">
          <reference field="0" count="1" selected="0">
            <x v="14"/>
          </reference>
          <reference field="1" count="1">
            <x v="7473"/>
          </reference>
          <reference field="3" count="1" selected="0">
            <x v="7674"/>
          </reference>
          <reference field="5" count="1" selected="0">
            <x v="47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506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78"/>
          </reference>
          <reference field="5" count="1" selected="0">
            <x v="59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505">
      <pivotArea dataOnly="0" labelOnly="1" outline="0" fieldPosition="0">
        <references count="11">
          <reference field="0" count="1" selected="0">
            <x v="15"/>
          </reference>
          <reference field="1" count="1">
            <x v="7439"/>
          </reference>
          <reference field="3" count="1" selected="0">
            <x v="0"/>
          </reference>
          <reference field="5" count="1" selected="0">
            <x v="31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9504">
      <pivotArea outline="0" collapsedLevelsAreSubtotals="1" fieldPosition="0"/>
    </format>
    <format dxfId="9503">
      <pivotArea dataOnly="0" labelOnly="1" outline="0" axis="axisValues" fieldPosition="0"/>
    </format>
    <format dxfId="9502">
      <pivotArea dataOnly="0" outline="0" fieldPosition="0">
        <references count="1">
          <reference field="12" count="0" defaultSubtotal="1"/>
        </references>
      </pivotArea>
    </format>
    <format dxfId="9501">
      <pivotArea outline="0" collapsedLevelsAreSubtotals="1" fieldPosition="0"/>
    </format>
    <format dxfId="9500">
      <pivotArea dataOnly="0" labelOnly="1" outline="0" axis="axisValues" fieldPosition="0"/>
    </format>
    <format dxfId="9499">
      <pivotArea outline="0" collapsedLevelsAreSubtotals="1" fieldPosition="0"/>
    </format>
    <format dxfId="9498">
      <pivotArea dataOnly="0" labelOnly="1" outline="0" axis="axisValues" fieldPosition="0"/>
    </format>
    <format dxfId="9497">
      <pivotArea dataOnly="0" labelOnly="1" outline="0" axis="axisValues" fieldPosition="0"/>
    </format>
    <format dxfId="9496">
      <pivotArea outline="0" collapsedLevelsAreSubtotals="1" fieldPosition="0"/>
    </format>
    <format dxfId="9495">
      <pivotArea field="12" type="button" dataOnly="0" labelOnly="1" outline="0" axis="axisRow" fieldPosition="2"/>
    </format>
    <format dxfId="9494">
      <pivotArea field="10" type="button" dataOnly="0" labelOnly="1" outline="0" axis="axisRow" fieldPosition="3"/>
    </format>
    <format dxfId="9493">
      <pivotArea field="16" type="button" dataOnly="0" labelOnly="1" outline="0" axis="axisRow" fieldPosition="4"/>
    </format>
    <format dxfId="9492">
      <pivotArea field="18" type="button" dataOnly="0" labelOnly="1" outline="0" axis="axisRow" fieldPosition="5"/>
    </format>
    <format dxfId="9491">
      <pivotArea field="5" type="button" dataOnly="0" labelOnly="1" outline="0" axis="axisRow" fieldPosition="6"/>
    </format>
    <format dxfId="9490">
      <pivotArea field="9" type="button" dataOnly="0" labelOnly="1" outline="0" axis="axisRow" fieldPosition="7"/>
    </format>
    <format dxfId="9489">
      <pivotArea field="3" type="button" dataOnly="0" labelOnly="1" outline="0" axis="axisRow" fieldPosition="8"/>
    </format>
    <format dxfId="9488">
      <pivotArea field="7" type="button" dataOnly="0" labelOnly="1" outline="0" axis="axisRow" fieldPosition="9"/>
    </format>
    <format dxfId="9487">
      <pivotArea field="1" type="button" dataOnly="0" labelOnly="1" outline="0" axis="axisRow" fieldPosition="10"/>
    </format>
    <format dxfId="9486">
      <pivotArea dataOnly="0" labelOnly="1" outline="0" axis="axisValues" fieldPosition="0"/>
    </format>
    <format dxfId="9485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948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9483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9482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948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48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47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47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477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9476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947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47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4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947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47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47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6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6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6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4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46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4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4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4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4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94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45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4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94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4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4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94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94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45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45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45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94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94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44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44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4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4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4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94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94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9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9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9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9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94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94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9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9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9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94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942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94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94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942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9"/>
          </reference>
        </references>
      </pivotArea>
    </format>
    <format dxfId="94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94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94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94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9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9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9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9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9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9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4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94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94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4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9"/>
          </reference>
        </references>
      </pivotArea>
    </format>
    <format dxfId="9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9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9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93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3"/>
            <x v="36"/>
            <x v="41"/>
            <x v="58"/>
            <x v="130"/>
          </reference>
        </references>
      </pivotArea>
    </format>
    <format dxfId="93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3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9395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394">
      <pivotArea dataOnly="0" labelOnly="1" outline="0" fieldPosition="0">
        <references count="7">
          <reference field="0" count="1" selected="0">
            <x v="7"/>
          </reference>
          <reference field="5" count="1">
            <x v="7593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393">
      <pivotArea dataOnly="0" labelOnly="1" outline="0" fieldPosition="0">
        <references count="7">
          <reference field="0" count="1" selected="0">
            <x v="7"/>
          </reference>
          <reference field="5" count="1">
            <x v="213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392">
      <pivotArea dataOnly="0" labelOnly="1" outline="0" fieldPosition="0">
        <references count="7">
          <reference field="0" count="1" selected="0">
            <x v="12"/>
          </reference>
          <reference field="5" count="3">
            <x v="7670"/>
            <x v="7671"/>
            <x v="767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391">
      <pivotArea dataOnly="0" labelOnly="1" outline="0" fieldPosition="0">
        <references count="7">
          <reference field="0" count="1" selected="0">
            <x v="12"/>
          </reference>
          <reference field="5" count="2">
            <x v="7668"/>
            <x v="76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390">
      <pivotArea dataOnly="0" labelOnly="1" outline="0" fieldPosition="0">
        <references count="7">
          <reference field="0" count="1" selected="0">
            <x v="13"/>
          </reference>
          <reference field="5" count="1">
            <x v="71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389">
      <pivotArea dataOnly="0" labelOnly="1" outline="0" fieldPosition="0">
        <references count="7">
          <reference field="0" count="1" selected="0">
            <x v="13"/>
          </reference>
          <reference field="5" count="2">
            <x v="4637"/>
            <x v="75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388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387">
      <pivotArea dataOnly="0" labelOnly="1" outline="0" fieldPosition="0">
        <references count="7">
          <reference field="0" count="1" selected="0">
            <x v="13"/>
          </reference>
          <reference field="5" count="2">
            <x v="2593"/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386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385">
      <pivotArea dataOnly="0" labelOnly="1" outline="0" fieldPosition="0">
        <references count="7">
          <reference field="0" count="1" selected="0">
            <x v="14"/>
          </reference>
          <reference field="5" count="1">
            <x v="755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384">
      <pivotArea dataOnly="0" labelOnly="1" outline="0" fieldPosition="0">
        <references count="7">
          <reference field="0" count="1" selected="0">
            <x v="14"/>
          </reference>
          <reference field="5" count="1">
            <x v="433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383">
      <pivotArea dataOnly="0" labelOnly="1" outline="0" fieldPosition="0">
        <references count="7">
          <reference field="0" count="1" selected="0">
            <x v="14"/>
          </reference>
          <reference field="5" count="1">
            <x v="7650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382">
      <pivotArea dataOnly="0" labelOnly="1" outline="0" fieldPosition="0">
        <references count="7">
          <reference field="0" count="1" selected="0">
            <x v="14"/>
          </reference>
          <reference field="5" count="1">
            <x v="7656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381">
      <pivotArea dataOnly="0" labelOnly="1" outline="0" fieldPosition="0">
        <references count="7">
          <reference field="0" count="1" selected="0">
            <x v="14"/>
          </reference>
          <reference field="5" count="1">
            <x v="743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380">
      <pivotArea dataOnly="0" labelOnly="1" outline="0" fieldPosition="0">
        <references count="7">
          <reference field="0" count="1" selected="0">
            <x v="14"/>
          </reference>
          <reference field="5" count="1">
            <x v="3475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379">
      <pivotArea dataOnly="0" labelOnly="1" outline="0" fieldPosition="0">
        <references count="7">
          <reference field="0" count="1" selected="0">
            <x v="14"/>
          </reference>
          <reference field="5" count="1">
            <x v="756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378">
      <pivotArea dataOnly="0" labelOnly="1" outline="0" fieldPosition="0">
        <references count="7">
          <reference field="0" count="1" selected="0">
            <x v="14"/>
          </reference>
          <reference field="5" count="1">
            <x v="7667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377">
      <pivotArea dataOnly="0" labelOnly="1" outline="0" fieldPosition="0">
        <references count="7">
          <reference field="0" count="1" selected="0">
            <x v="14"/>
          </reference>
          <reference field="5" count="1">
            <x v="377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9376">
      <pivotArea dataOnly="0" labelOnly="1" outline="0" fieldPosition="0">
        <references count="7">
          <reference field="0" count="1" selected="0">
            <x v="14"/>
          </reference>
          <reference field="5" count="2">
            <x v="5943"/>
            <x v="656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375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374">
      <pivotArea dataOnly="0" labelOnly="1" outline="0" fieldPosition="0">
        <references count="7">
          <reference field="0" count="1" selected="0">
            <x v="14"/>
          </reference>
          <reference field="5" count="1">
            <x v="235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373">
      <pivotArea dataOnly="0" labelOnly="1" outline="0" fieldPosition="0">
        <references count="7">
          <reference field="0" count="1" selected="0">
            <x v="15"/>
          </reference>
          <reference field="5" count="1">
            <x v="19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372">
      <pivotArea dataOnly="0" labelOnly="1" outline="0" fieldPosition="0">
        <references count="7">
          <reference field="0" count="1" selected="0">
            <x v="15"/>
          </reference>
          <reference field="5" count="1"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371">
      <pivotArea dataOnly="0" labelOnly="1" outline="0" fieldPosition="0">
        <references count="7">
          <reference field="0" count="1" selected="0">
            <x v="15"/>
          </reference>
          <reference field="5" count="1">
            <x v="38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0"/>
          </reference>
        </references>
      </pivotArea>
    </format>
    <format dxfId="9370">
      <pivotArea dataOnly="0" labelOnly="1" outline="0" fieldPosition="0">
        <references count="7">
          <reference field="0" count="1" selected="0">
            <x v="15"/>
          </reference>
          <reference field="5" count="1">
            <x v="111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3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3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9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3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36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7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3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3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3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3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3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3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3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3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3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3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3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3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93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3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5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3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3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3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10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349">
      <pivotArea dataOnly="0" labelOnly="1" outline="0" fieldPosition="0">
        <references count="9">
          <reference field="0" count="1" selected="0">
            <x v="14"/>
          </reference>
          <reference field="3" count="1">
            <x v="7475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348">
      <pivotArea dataOnly="0" labelOnly="1" outline="0" fieldPosition="0">
        <references count="9">
          <reference field="0" count="1" selected="0">
            <x v="7"/>
          </reference>
          <reference field="3" count="1">
            <x v="7586"/>
          </reference>
          <reference field="5" count="1" selected="0">
            <x v="759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347">
      <pivotArea dataOnly="0" labelOnly="1" outline="0" fieldPosition="0">
        <references count="9">
          <reference field="0" count="1" selected="0">
            <x v="7"/>
          </reference>
          <reference field="3" count="1">
            <x v="7333"/>
          </reference>
          <reference field="5" count="1" selected="0">
            <x v="21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346">
      <pivotArea dataOnly="0" labelOnly="1" outline="0" fieldPosition="0">
        <references count="9">
          <reference field="0" count="1" selected="0">
            <x v="12"/>
          </reference>
          <reference field="3" count="1">
            <x v="7679"/>
          </reference>
          <reference field="5" count="1" selected="0">
            <x v="767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345">
      <pivotArea dataOnly="0" labelOnly="1" outline="0" fieldPosition="0">
        <references count="9">
          <reference field="0" count="1" selected="0">
            <x v="12"/>
          </reference>
          <reference field="3" count="1">
            <x v="7680"/>
          </reference>
          <reference field="5" count="1" selected="0">
            <x v="767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344">
      <pivotArea dataOnly="0" labelOnly="1" outline="0" fieldPosition="0">
        <references count="9">
          <reference field="0" count="1" selected="0">
            <x v="12"/>
          </reference>
          <reference field="3" count="1">
            <x v="7681"/>
          </reference>
          <reference field="5" count="1" selected="0">
            <x v="767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34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6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34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3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340">
      <pivotArea dataOnly="0" labelOnly="1" outline="0" fieldPosition="0">
        <references count="9">
          <reference field="0" count="1" selected="0">
            <x v="14"/>
          </reference>
          <reference field="3" count="1">
            <x v="7366"/>
          </reference>
          <reference field="5" count="1" selected="0">
            <x v="433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339">
      <pivotArea dataOnly="0" labelOnly="1" outline="0" fieldPosition="0">
        <references count="9">
          <reference field="0" count="1" selected="0">
            <x v="14"/>
          </reference>
          <reference field="3" count="1">
            <x v="7651"/>
          </reference>
          <reference field="5" count="1" selected="0">
            <x v="765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338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337">
      <pivotArea dataOnly="0" labelOnly="1" outline="0" fieldPosition="0">
        <references count="9">
          <reference field="0" count="1" selected="0">
            <x v="14"/>
          </reference>
          <reference field="3" count="1">
            <x v="7628"/>
          </reference>
          <reference field="5" count="1" selected="0">
            <x v="74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336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34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33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6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33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6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333">
      <pivotArea dataOnly="0" labelOnly="1" outline="0" fieldPosition="0">
        <references count="9">
          <reference field="0" count="1" selected="0">
            <x v="14"/>
          </reference>
          <reference field="3" count="1">
            <x v="7522"/>
          </reference>
          <reference field="5" count="1" selected="0">
            <x v="377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9332">
      <pivotArea dataOnly="0" labelOnly="1" outline="0" fieldPosition="0">
        <references count="9">
          <reference field="0" count="1" selected="0">
            <x v="14"/>
          </reference>
          <reference field="3" count="1">
            <x v="7478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331">
      <pivotArea dataOnly="0" labelOnly="1" outline="0" fieldPosition="0">
        <references count="9">
          <reference field="0" count="1" selected="0">
            <x v="14"/>
          </reference>
          <reference field="3" count="1">
            <x v="7480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330">
      <pivotArea dataOnly="0" labelOnly="1" outline="0" fieldPosition="0">
        <references count="9">
          <reference field="0" count="1" selected="0">
            <x v="14"/>
          </reference>
          <reference field="3" count="1">
            <x v="7477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329">
      <pivotArea dataOnly="0" labelOnly="1" outline="0" fieldPosition="0">
        <references count="9">
          <reference field="0" count="1" selected="0">
            <x v="14"/>
          </reference>
          <reference field="3" count="1">
            <x v="7678"/>
          </reference>
          <reference field="5" count="1" selected="0">
            <x v="235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328">
      <pivotArea dataOnly="0" labelOnly="1" outline="0" fieldPosition="0">
        <references count="9">
          <reference field="0" count="1" selected="0">
            <x v="15"/>
          </reference>
          <reference field="3" count="1">
            <x v="7616"/>
          </reference>
          <reference field="5" count="1" selected="0">
            <x v="19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327">
      <pivotArea dataOnly="0" labelOnly="1" outline="0" fieldPosition="0">
        <references count="9">
          <reference field="0" count="1" selected="0">
            <x v="15"/>
          </reference>
          <reference field="3" count="1">
            <x v="7521"/>
          </reference>
          <reference field="5" count="1" selected="0">
            <x v="38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0"/>
          </reference>
        </references>
      </pivotArea>
    </format>
    <format dxfId="9326">
      <pivotArea dataOnly="0" labelOnly="1" outline="0" fieldPosition="0">
        <references count="9">
          <reference field="0" count="1" selected="0">
            <x v="15"/>
          </reference>
          <reference field="3" count="1">
            <x v="7676"/>
          </reference>
          <reference field="5" count="1" selected="0">
            <x v="111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3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5"/>
          </reference>
          <reference field="5" count="1" selected="0">
            <x v="61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3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86"/>
          </reference>
          <reference field="5" count="1" selected="0">
            <x v="759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3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3"/>
          </reference>
          <reference field="5" count="1" selected="0">
            <x v="21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32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79"/>
          </reference>
          <reference field="5" count="1" selected="0">
            <x v="76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32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6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3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3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3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6"/>
          </reference>
          <reference field="5" count="1" selected="0">
            <x v="43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3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1"/>
          </reference>
          <reference field="5" count="1" selected="0">
            <x v="76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3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7"/>
          </reference>
          <reference field="5" count="1" selected="0">
            <x v="7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3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8"/>
          </reference>
          <reference field="5" count="1" selected="0">
            <x v="74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3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3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3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3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3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2"/>
          </reference>
          <reference field="5" count="1" selected="0">
            <x v="37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93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8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3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8"/>
          </reference>
          <reference field="5" count="1" selected="0">
            <x v="23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3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6"/>
          </reference>
          <reference field="5" count="1" selected="0">
            <x v="19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3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21"/>
          </reference>
          <reference field="5" count="1" selected="0">
            <x v="38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0"/>
          </reference>
        </references>
      </pivotArea>
    </format>
    <format dxfId="9306">
      <pivotArea dataOnly="0" labelOnly="1" outline="0" fieldPosition="0">
        <references count="11">
          <reference field="0" count="1" selected="0">
            <x v="12"/>
          </reference>
          <reference field="1" count="1">
            <x v="7483"/>
          </reference>
          <reference field="3" count="1" selected="0">
            <x v="7680"/>
          </reference>
          <reference field="5" count="1" selected="0">
            <x v="76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305">
      <pivotArea dataOnly="0" labelOnly="1" outline="0" fieldPosition="0">
        <references count="11">
          <reference field="0" count="1" selected="0">
            <x v="12"/>
          </reference>
          <reference field="1" count="1">
            <x v="7482"/>
          </reference>
          <reference field="3" count="1" selected="0">
            <x v="0"/>
          </reference>
          <reference field="5" count="1" selected="0">
            <x v="766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304">
      <pivotArea dataOnly="0" labelOnly="1" outline="0" fieldPosition="0">
        <references count="11">
          <reference field="0" count="1" selected="0">
            <x v="13"/>
          </reference>
          <reference field="1" count="1">
            <x v="7446"/>
          </reference>
          <reference field="3" count="1" selected="0">
            <x v="0"/>
          </reference>
          <reference field="5" count="1" selected="0">
            <x v="554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303">
      <pivotArea dataOnly="0" labelOnly="1" outline="0" fieldPosition="0">
        <references count="11">
          <reference field="0" count="1" selected="0">
            <x v="14"/>
          </reference>
          <reference field="1" count="1">
            <x v="7481"/>
          </reference>
          <reference field="3" count="1" selected="0">
            <x v="7651"/>
          </reference>
          <reference field="5" count="1" selected="0">
            <x v="765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302">
      <pivotArea dataOnly="0" labelOnly="1" outline="0" fieldPosition="0">
        <references count="11">
          <reference field="0" count="1" selected="0">
            <x v="14"/>
          </reference>
          <reference field="1" count="1">
            <x v="7478"/>
          </reference>
          <reference field="3" count="1" selected="0">
            <x v="0"/>
          </reference>
          <reference field="5" count="1" selected="0">
            <x v="75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301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78"/>
          </reference>
          <reference field="5" count="1" selected="0">
            <x v="59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300">
      <pivotArea outline="0" collapsedLevelsAreSubtotals="1" fieldPosition="0"/>
    </format>
    <format dxfId="9299">
      <pivotArea dataOnly="0" labelOnly="1" outline="0" axis="axisValues" fieldPosition="0"/>
    </format>
    <format dxfId="9298">
      <pivotArea dataOnly="0" outline="0" fieldPosition="0">
        <references count="1">
          <reference field="12" count="0" defaultSubtotal="1"/>
        </references>
      </pivotArea>
    </format>
    <format dxfId="9297">
      <pivotArea outline="0" collapsedLevelsAreSubtotals="1" fieldPosition="0"/>
    </format>
    <format dxfId="9296">
      <pivotArea dataOnly="0" labelOnly="1" outline="0" axis="axisValues" fieldPosition="0"/>
    </format>
    <format dxfId="9295">
      <pivotArea outline="0" collapsedLevelsAreSubtotals="1" fieldPosition="0"/>
    </format>
    <format dxfId="9294">
      <pivotArea dataOnly="0" labelOnly="1" outline="0" axis="axisValues" fieldPosition="0"/>
    </format>
    <format dxfId="9293">
      <pivotArea dataOnly="0" labelOnly="1" outline="0" axis="axisValues" fieldPosition="0"/>
    </format>
    <format dxfId="9292">
      <pivotArea outline="0" collapsedLevelsAreSubtotals="1" fieldPosition="0"/>
    </format>
    <format dxfId="9291">
      <pivotArea field="12" type="button" dataOnly="0" labelOnly="1" outline="0" axis="axisRow" fieldPosition="2"/>
    </format>
    <format dxfId="9290">
      <pivotArea field="10" type="button" dataOnly="0" labelOnly="1" outline="0" axis="axisRow" fieldPosition="3"/>
    </format>
    <format dxfId="9289">
      <pivotArea field="16" type="button" dataOnly="0" labelOnly="1" outline="0" axis="axisRow" fieldPosition="4"/>
    </format>
    <format dxfId="9288">
      <pivotArea field="18" type="button" dataOnly="0" labelOnly="1" outline="0" axis="axisRow" fieldPosition="5"/>
    </format>
    <format dxfId="9287">
      <pivotArea field="5" type="button" dataOnly="0" labelOnly="1" outline="0" axis="axisRow" fieldPosition="6"/>
    </format>
    <format dxfId="9286">
      <pivotArea field="9" type="button" dataOnly="0" labelOnly="1" outline="0" axis="axisRow" fieldPosition="7"/>
    </format>
    <format dxfId="9285">
      <pivotArea field="3" type="button" dataOnly="0" labelOnly="1" outline="0" axis="axisRow" fieldPosition="8"/>
    </format>
    <format dxfId="9284">
      <pivotArea field="7" type="button" dataOnly="0" labelOnly="1" outline="0" axis="axisRow" fieldPosition="9"/>
    </format>
    <format dxfId="9283">
      <pivotArea field="1" type="button" dataOnly="0" labelOnly="1" outline="0" axis="axisRow" fieldPosition="10"/>
    </format>
    <format dxfId="9282">
      <pivotArea dataOnly="0" labelOnly="1" outline="0" axis="axisValues" fieldPosition="0"/>
    </format>
    <format dxfId="9281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280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279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927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927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927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927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27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27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27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271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9270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926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26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267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2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926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26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6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6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6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26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25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2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2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25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925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92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2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2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925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2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2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2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92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92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24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24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24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42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92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92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23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23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9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9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9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9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9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9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/>
        </references>
      </pivotArea>
    </format>
    <format dxfId="9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9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9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9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9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9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9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9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921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217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9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92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921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9"/>
          </reference>
        </references>
      </pivotArea>
    </format>
    <format dxfId="92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92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2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92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92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9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9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2"/>
            <x v="63"/>
          </reference>
        </references>
      </pivotArea>
    </format>
    <format dxfId="9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9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9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9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9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9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9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2">
            <x v="42"/>
            <x v="109"/>
          </reference>
        </references>
      </pivotArea>
    </format>
    <format dxfId="9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9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9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9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9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9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1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39"/>
            <x v="41"/>
            <x v="58"/>
          </reference>
        </references>
      </pivotArea>
    </format>
    <format dxfId="91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41"/>
            <x v="44"/>
            <x v="45"/>
            <x v="46"/>
            <x v="47"/>
            <x v="69"/>
          </reference>
        </references>
      </pivotArea>
    </format>
    <format dxfId="91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91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9"/>
            <x v="41"/>
            <x v="42"/>
          </reference>
        </references>
      </pivotArea>
    </format>
    <format dxfId="9183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182">
      <pivotArea dataOnly="0" labelOnly="1" outline="0" fieldPosition="0">
        <references count="7">
          <reference field="0" count="1" selected="0">
            <x v="7"/>
          </reference>
          <reference field="5" count="1">
            <x v="213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181">
      <pivotArea dataOnly="0" labelOnly="1" outline="0" fieldPosition="0">
        <references count="7">
          <reference field="0" count="1" selected="0">
            <x v="12"/>
          </reference>
          <reference field="5" count="2">
            <x v="7676"/>
            <x v="76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180">
      <pivotArea dataOnly="0" labelOnly="1" outline="0" fieldPosition="0">
        <references count="7">
          <reference field="0" count="1" selected="0">
            <x v="13"/>
          </reference>
          <reference field="5" count="1">
            <x v="71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179">
      <pivotArea dataOnly="0" labelOnly="1" outline="0" fieldPosition="0">
        <references count="7">
          <reference field="0" count="1" selected="0">
            <x v="13"/>
          </reference>
          <reference field="5" count="2">
            <x v="4637"/>
            <x v="75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178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177">
      <pivotArea dataOnly="0" labelOnly="1" outline="0" fieldPosition="0">
        <references count="7">
          <reference field="0" count="1" selected="0">
            <x v="13"/>
          </reference>
          <reference field="5" count="2">
            <x v="2593"/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176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175">
      <pivotArea dataOnly="0" labelOnly="1" outline="0" fieldPosition="0">
        <references count="7">
          <reference field="0" count="1" selected="0">
            <x v="14"/>
          </reference>
          <reference field="5" count="1">
            <x v="755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74">
      <pivotArea dataOnly="0" labelOnly="1" outline="0" fieldPosition="0">
        <references count="7">
          <reference field="0" count="1" selected="0">
            <x v="14"/>
          </reference>
          <reference field="5" count="1">
            <x v="765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173">
      <pivotArea dataOnly="0" labelOnly="1" outline="0" fieldPosition="0">
        <references count="7">
          <reference field="0" count="1" selected="0">
            <x v="14"/>
          </reference>
          <reference field="5" count="1">
            <x v="765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172">
      <pivotArea dataOnly="0" labelOnly="1" outline="0" fieldPosition="0">
        <references count="7">
          <reference field="0" count="1" selected="0">
            <x v="14"/>
          </reference>
          <reference field="5" count="1">
            <x v="453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171">
      <pivotArea dataOnly="0" labelOnly="1" outline="0" fieldPosition="0">
        <references count="7">
          <reference field="0" count="1" selected="0">
            <x v="14"/>
          </reference>
          <reference field="5" count="1">
            <x v="765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170">
      <pivotArea dataOnly="0" labelOnly="1" outline="0" fieldPosition="0">
        <references count="7">
          <reference field="0" count="1" selected="0">
            <x v="14"/>
          </reference>
          <reference field="5" count="1">
            <x v="7675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169">
      <pivotArea dataOnly="0" labelOnly="1" outline="0" fieldPosition="0">
        <references count="7">
          <reference field="0" count="1" selected="0">
            <x v="14"/>
          </reference>
          <reference field="5" count="1">
            <x v="7612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168">
      <pivotArea dataOnly="0" labelOnly="1" outline="0" fieldPosition="0">
        <references count="7">
          <reference field="0" count="1" selected="0">
            <x v="14"/>
          </reference>
          <reference field="5" count="1">
            <x v="3855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167">
      <pivotArea dataOnly="0" labelOnly="1" outline="0" fieldPosition="0">
        <references count="7">
          <reference field="0" count="1" selected="0">
            <x v="14"/>
          </reference>
          <reference field="5" count="1">
            <x v="110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166">
      <pivotArea dataOnly="0" labelOnly="1" outline="0" fieldPosition="0">
        <references count="7">
          <reference field="0" count="1" selected="0">
            <x v="14"/>
          </reference>
          <reference field="5" count="1">
            <x v="756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165">
      <pivotArea dataOnly="0" labelOnly="1" outline="0" fieldPosition="0">
        <references count="7">
          <reference field="0" count="1" selected="0">
            <x v="14"/>
          </reference>
          <reference field="5" count="1">
            <x v="3988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164">
      <pivotArea dataOnly="0" labelOnly="1" outline="0" fieldPosition="0">
        <references count="7">
          <reference field="0" count="1" selected="0">
            <x v="14"/>
          </reference>
          <reference field="5" count="1">
            <x v="3475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63">
      <pivotArea dataOnly="0" labelOnly="1" outline="0" fieldPosition="0">
        <references count="7">
          <reference field="0" count="1" selected="0">
            <x v="14"/>
          </reference>
          <reference field="5" count="1">
            <x v="7337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162">
      <pivotArea dataOnly="0" labelOnly="1" outline="0" fieldPosition="0">
        <references count="7">
          <reference field="0" count="1" selected="0">
            <x v="14"/>
          </reference>
          <reference field="5" count="2">
            <x v="5943"/>
            <x v="656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161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160">
      <pivotArea dataOnly="0" labelOnly="1" outline="0" fieldPosition="0">
        <references count="7">
          <reference field="0" count="1" selected="0">
            <x v="15"/>
          </reference>
          <reference field="5" count="1"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159">
      <pivotArea dataOnly="0" labelOnly="1" outline="0" fieldPosition="0">
        <references count="7">
          <reference field="0" count="1" selected="0">
            <x v="15"/>
          </reference>
          <reference field="5" count="1">
            <x v="313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9158">
      <pivotArea dataOnly="0" labelOnly="1" outline="0" fieldPosition="0">
        <references count="7">
          <reference field="0" count="1" selected="0">
            <x v="15"/>
          </reference>
          <reference field="5" count="1">
            <x v="76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9157">
      <pivotArea dataOnly="0" labelOnly="1" outline="0" fieldPosition="0">
        <references count="7">
          <reference field="0" count="1" selected="0">
            <x v="15"/>
          </reference>
          <reference field="5" count="1">
            <x v="461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9156">
      <pivotArea dataOnly="0" labelOnly="1" outline="0" fieldPosition="0">
        <references count="7">
          <reference field="0" count="1" selected="0">
            <x v="15"/>
          </reference>
          <reference field="5" count="1">
            <x v="767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1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1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1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1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1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1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1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1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1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1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0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1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1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1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1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139">
      <pivotArea dataOnly="0" labelOnly="1" outline="0" fieldPosition="0">
        <references count="9">
          <reference field="0" count="1" selected="0">
            <x v="14"/>
          </reference>
          <reference field="3" count="1">
            <x v="7475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138">
      <pivotArea dataOnly="0" labelOnly="1" outline="0" fieldPosition="0">
        <references count="9">
          <reference field="0" count="1" selected="0">
            <x v="7"/>
          </reference>
          <reference field="3" count="1">
            <x v="7333"/>
          </reference>
          <reference field="5" count="1" selected="0">
            <x v="21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13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1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1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34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133">
      <pivotArea dataOnly="0" labelOnly="1" outline="0" fieldPosition="0">
        <references count="9">
          <reference field="0" count="1" selected="0">
            <x v="14"/>
          </reference>
          <reference field="3" count="1">
            <x v="7659"/>
          </reference>
          <reference field="5" count="1" selected="0">
            <x v="765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132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453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13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5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130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76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129">
      <pivotArea dataOnly="0" labelOnly="1" outline="0" fieldPosition="0">
        <references count="9">
          <reference field="0" count="1" selected="0">
            <x v="14"/>
          </reference>
          <reference field="3" count="1">
            <x v="7529"/>
          </reference>
          <reference field="5" count="1" selected="0">
            <x v="3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128">
      <pivotArea dataOnly="0" labelOnly="1" outline="0" fieldPosition="0">
        <references count="9">
          <reference field="0" count="1" selected="0">
            <x v="14"/>
          </reference>
          <reference field="3" count="1">
            <x v="7686"/>
          </reference>
          <reference field="5" count="1" selected="0">
            <x v="110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12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6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126">
      <pivotArea dataOnly="0" labelOnly="1" outline="0" fieldPosition="0">
        <references count="9">
          <reference field="0" count="1" selected="0">
            <x v="14"/>
          </reference>
          <reference field="3" count="1">
            <x v="7540"/>
          </reference>
          <reference field="5" count="1" selected="0">
            <x v="398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125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34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24">
      <pivotArea dataOnly="0" labelOnly="1" outline="0" fieldPosition="0">
        <references count="9">
          <reference field="0" count="1" selected="0">
            <x v="14"/>
          </reference>
          <reference field="3" count="1">
            <x v="7478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123">
      <pivotArea dataOnly="0" labelOnly="1" outline="0" fieldPosition="0">
        <references count="9">
          <reference field="0" count="1" selected="0">
            <x v="14"/>
          </reference>
          <reference field="3" count="1">
            <x v="7480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122">
      <pivotArea dataOnly="0" labelOnly="1" outline="0" fieldPosition="0">
        <references count="9">
          <reference field="0" count="1" selected="0">
            <x v="14"/>
          </reference>
          <reference field="3" count="1">
            <x v="7477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1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5"/>
          </reference>
          <reference field="5" count="1" selected="0">
            <x v="61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1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3"/>
          </reference>
          <reference field="5" count="1" selected="0">
            <x v="21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11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1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1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7"/>
          </reference>
          <reference field="5" count="1" selected="0">
            <x v="7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1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9"/>
          </reference>
          <reference field="5" count="1" selected="0">
            <x v="76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1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1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76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1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9"/>
          </reference>
          <reference field="5" count="1" selected="0">
            <x v="38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1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6"/>
          </reference>
          <reference field="5" count="1" selected="0">
            <x v="11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1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1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0"/>
          </reference>
          <reference field="5" count="1" selected="0">
            <x v="39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1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3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8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106">
      <pivotArea dataOnly="0" labelOnly="1" outline="0" fieldPosition="0">
        <references count="11">
          <reference field="0" count="1" selected="0">
            <x v="12"/>
          </reference>
          <reference field="1" count="1">
            <x v="7497"/>
          </reference>
          <reference field="3" count="1" selected="0">
            <x v="0"/>
          </reference>
          <reference field="5" count="1" selected="0">
            <x v="76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105">
      <pivotArea dataOnly="0" labelOnly="1" outline="0" fieldPosition="0">
        <references count="11">
          <reference field="0" count="1" selected="0">
            <x v="12"/>
          </reference>
          <reference field="1" count="1">
            <x v="7499"/>
          </reference>
          <reference field="3" count="1" selected="0">
            <x v="0"/>
          </reference>
          <reference field="5" count="1" selected="0">
            <x v="767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104">
      <pivotArea dataOnly="0" labelOnly="1" outline="0" fieldPosition="0">
        <references count="11">
          <reference field="0" count="1" selected="0">
            <x v="13"/>
          </reference>
          <reference field="1" count="1">
            <x v="7446"/>
          </reference>
          <reference field="3" count="1" selected="0">
            <x v="0"/>
          </reference>
          <reference field="5" count="1" selected="0">
            <x v="554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103">
      <pivotArea dataOnly="0" labelOnly="1" outline="0" fieldPosition="0">
        <references count="11">
          <reference field="0" count="1" selected="0">
            <x v="14"/>
          </reference>
          <reference field="1" count="1">
            <x v="7493"/>
          </reference>
          <reference field="3" count="1" selected="0">
            <x v="2"/>
          </reference>
          <reference field="5" count="1" selected="0">
            <x v="75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02">
      <pivotArea dataOnly="0" labelOnly="1" outline="0" fieldPosition="0">
        <references count="11">
          <reference field="0" count="1" selected="0">
            <x v="14"/>
          </reference>
          <reference field="1" count="1">
            <x v="7494"/>
          </reference>
          <reference field="3" count="1" selected="0">
            <x v="0"/>
          </reference>
          <reference field="5" count="1" selected="0">
            <x v="76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101">
      <pivotArea dataOnly="0" labelOnly="1" outline="0" fieldPosition="0">
        <references count="11">
          <reference field="0" count="1" selected="0">
            <x v="14"/>
          </reference>
          <reference field="1" count="1">
            <x v="7306"/>
          </reference>
          <reference field="3" count="1" selected="0">
            <x v="7529"/>
          </reference>
          <reference field="5" count="1" selected="0">
            <x v="385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100">
      <pivotArea dataOnly="0" labelOnly="1" outline="0" fieldPosition="0">
        <references count="11">
          <reference field="0" count="1" selected="0">
            <x v="14"/>
          </reference>
          <reference field="1" count="1">
            <x v="7478"/>
          </reference>
          <reference field="3" count="1" selected="0">
            <x v="0"/>
          </reference>
          <reference field="5" count="1" selected="0">
            <x v="75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099">
      <pivotArea dataOnly="0" labelOnly="1" outline="0" fieldPosition="0">
        <references count="11">
          <reference field="0" count="1" selected="0">
            <x v="14"/>
          </reference>
          <reference field="1" count="1">
            <x v="7491"/>
          </reference>
          <reference field="3" count="1" selected="0">
            <x v="7540"/>
          </reference>
          <reference field="5" count="1" selected="0">
            <x v="398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098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78"/>
          </reference>
          <reference field="5" count="1" selected="0">
            <x v="59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097">
      <pivotArea dataOnly="0" labelOnly="1" outline="0" fieldPosition="0">
        <references count="11">
          <reference field="0" count="1" selected="0">
            <x v="15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31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9096">
      <pivotArea outline="0" collapsedLevelsAreSubtotals="1" fieldPosition="0"/>
    </format>
    <format dxfId="9095">
      <pivotArea dataOnly="0" labelOnly="1" outline="0" axis="axisValues" fieldPosition="0"/>
    </format>
    <format dxfId="9094">
      <pivotArea dataOnly="0" outline="0" fieldPosition="0">
        <references count="1">
          <reference field="12" count="0" defaultSubtotal="1"/>
        </references>
      </pivotArea>
    </format>
    <format dxfId="9093">
      <pivotArea outline="0" collapsedLevelsAreSubtotals="1" fieldPosition="0"/>
    </format>
    <format dxfId="9092">
      <pivotArea dataOnly="0" labelOnly="1" outline="0" axis="axisValues" fieldPosition="0"/>
    </format>
    <format dxfId="9091">
      <pivotArea outline="0" collapsedLevelsAreSubtotals="1" fieldPosition="0"/>
    </format>
    <format dxfId="9090">
      <pivotArea dataOnly="0" labelOnly="1" outline="0" axis="axisValues" fieldPosition="0"/>
    </format>
    <format dxfId="9089">
      <pivotArea dataOnly="0" labelOnly="1" outline="0" axis="axisValues" fieldPosition="0"/>
    </format>
    <format dxfId="9088">
      <pivotArea outline="0" collapsedLevelsAreSubtotals="1" fieldPosition="0"/>
    </format>
    <format dxfId="9087">
      <pivotArea field="12" type="button" dataOnly="0" labelOnly="1" outline="0" axis="axisRow" fieldPosition="2"/>
    </format>
    <format dxfId="9086">
      <pivotArea field="10" type="button" dataOnly="0" labelOnly="1" outline="0" axis="axisRow" fieldPosition="3"/>
    </format>
    <format dxfId="9085">
      <pivotArea field="16" type="button" dataOnly="0" labelOnly="1" outline="0" axis="axisRow" fieldPosition="4"/>
    </format>
    <format dxfId="9084">
      <pivotArea field="18" type="button" dataOnly="0" labelOnly="1" outline="0" axis="axisRow" fieldPosition="5"/>
    </format>
    <format dxfId="9083">
      <pivotArea field="5" type="button" dataOnly="0" labelOnly="1" outline="0" axis="axisRow" fieldPosition="6"/>
    </format>
    <format dxfId="9082">
      <pivotArea field="9" type="button" dataOnly="0" labelOnly="1" outline="0" axis="axisRow" fieldPosition="7"/>
    </format>
    <format dxfId="9081">
      <pivotArea field="3" type="button" dataOnly="0" labelOnly="1" outline="0" axis="axisRow" fieldPosition="8"/>
    </format>
    <format dxfId="9080">
      <pivotArea field="7" type="button" dataOnly="0" labelOnly="1" outline="0" axis="axisRow" fieldPosition="9"/>
    </format>
    <format dxfId="9079">
      <pivotArea field="1" type="button" dataOnly="0" labelOnly="1" outline="0" axis="axisRow" fieldPosition="10"/>
    </format>
    <format dxfId="9078">
      <pivotArea dataOnly="0" labelOnly="1" outline="0" axis="axisValues" fieldPosition="0"/>
    </format>
    <format dxfId="9077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907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907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907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9073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072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07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07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06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06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067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9066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906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06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0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906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06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6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05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05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05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05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5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5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53">
      <pivotArea dataOnly="0" labelOnly="1" outline="0" fieldPosition="0">
        <references count="4">
          <reference field="0" count="1" selected="0">
            <x v="14"/>
          </reference>
          <reference field="10" count="2">
            <x v="52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05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05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05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04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0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0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0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04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90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04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04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0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3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3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3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3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3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3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3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1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0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901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901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901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42"/>
            <x v="63"/>
          </reference>
        </references>
      </pivotArea>
    </format>
    <format dxfId="901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9"/>
          </reference>
        </references>
      </pivotArea>
    </format>
    <format dxfId="901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5"/>
            <x v="63"/>
            <x v="85"/>
          </reference>
        </references>
      </pivotArea>
    </format>
    <format dxfId="901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39"/>
          </reference>
        </references>
      </pivotArea>
    </format>
    <format dxfId="90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90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0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90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0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9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9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9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9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70"/>
          </reference>
        </references>
      </pivotArea>
    </format>
    <format dxfId="8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8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5"/>
          </reference>
        </references>
      </pivotArea>
    </format>
    <format dxfId="89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8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9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89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3"/>
            <x v="39"/>
            <x v="41"/>
            <x v="58"/>
          </reference>
        </references>
      </pivotArea>
    </format>
    <format dxfId="89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4"/>
            <x v="45"/>
            <x v="47"/>
          </reference>
        </references>
      </pivotArea>
    </format>
    <format dxfId="89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40"/>
            <x v="41"/>
          </reference>
        </references>
      </pivotArea>
    </format>
    <format dxfId="8989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988">
      <pivotArea dataOnly="0" labelOnly="1" outline="0" fieldPosition="0">
        <references count="7">
          <reference field="0" count="1" selected="0">
            <x v="7"/>
          </reference>
          <reference field="5" count="1">
            <x v="213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987">
      <pivotArea dataOnly="0" labelOnly="1" outline="0" fieldPosition="0">
        <references count="7">
          <reference field="0" count="1" selected="0">
            <x v="11"/>
          </reference>
          <reference field="5" count="1">
            <x v="509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986">
      <pivotArea dataOnly="0" labelOnly="1" outline="0" fieldPosition="0">
        <references count="7">
          <reference field="0" count="1" selected="0">
            <x v="11"/>
          </reference>
          <reference field="5" count="2">
            <x v="4956"/>
            <x v="528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985">
      <pivotArea dataOnly="0" labelOnly="1" outline="0" fieldPosition="0">
        <references count="7">
          <reference field="0" count="1" selected="0">
            <x v="11"/>
          </reference>
          <reference field="5" count="1">
            <x v="718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984">
      <pivotArea dataOnly="0" labelOnly="1" outline="0" fieldPosition="0">
        <references count="7">
          <reference field="0" count="1" selected="0">
            <x v="11"/>
          </reference>
          <reference field="5" count="1">
            <x v="734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983">
      <pivotArea dataOnly="0" labelOnly="1" outline="0" fieldPosition="0">
        <references count="7">
          <reference field="0" count="1" selected="0">
            <x v="11"/>
          </reference>
          <reference field="5" count="1">
            <x v="709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982">
      <pivotArea dataOnly="0" labelOnly="1" outline="0" fieldPosition="0">
        <references count="7">
          <reference field="0" count="1" selected="0">
            <x v="11"/>
          </reference>
          <reference field="5" count="1">
            <x v="619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8981">
      <pivotArea dataOnly="0" labelOnly="1" outline="0" fieldPosition="0">
        <references count="7">
          <reference field="0" count="1" selected="0">
            <x v="12"/>
          </reference>
          <reference field="5" count="1">
            <x v="594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980">
      <pivotArea dataOnly="0" labelOnly="1" outline="0" fieldPosition="0">
        <references count="7">
          <reference field="0" count="1" selected="0">
            <x v="12"/>
          </reference>
          <reference field="5" count="1">
            <x v="69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979">
      <pivotArea dataOnly="0" labelOnly="1" outline="0" fieldPosition="0">
        <references count="7">
          <reference field="0" count="1" selected="0">
            <x v="13"/>
          </reference>
          <reference field="5" count="1">
            <x v="71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978">
      <pivotArea dataOnly="0" labelOnly="1" outline="0" fieldPosition="0">
        <references count="7">
          <reference field="0" count="1" selected="0">
            <x v="13"/>
          </reference>
          <reference field="5" count="2">
            <x v="4637"/>
            <x v="75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977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976">
      <pivotArea dataOnly="0" labelOnly="1" outline="0" fieldPosition="0">
        <references count="7">
          <reference field="0" count="1" selected="0">
            <x v="13"/>
          </reference>
          <reference field="5" count="2">
            <x v="2593"/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975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974">
      <pivotArea dataOnly="0" labelOnly="1" outline="0" fieldPosition="0">
        <references count="7">
          <reference field="0" count="1" selected="0">
            <x v="14"/>
          </reference>
          <reference field="5" count="1">
            <x v="7680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973">
      <pivotArea dataOnly="0" labelOnly="1" outline="0" fieldPosition="0">
        <references count="7">
          <reference field="0" count="1" selected="0">
            <x v="14"/>
          </reference>
          <reference field="5" count="1">
            <x v="767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972">
      <pivotArea dataOnly="0" labelOnly="1" outline="0" fieldPosition="0">
        <references count="7">
          <reference field="0" count="1" selected="0">
            <x v="14"/>
          </reference>
          <reference field="5" count="1">
            <x v="767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971">
      <pivotArea dataOnly="0" labelOnly="1" outline="0" fieldPosition="0">
        <references count="7">
          <reference field="0" count="1" selected="0">
            <x v="14"/>
          </reference>
          <reference field="5" count="1">
            <x v="761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970">
      <pivotArea dataOnly="0" labelOnly="1" outline="0" fieldPosition="0">
        <references count="7">
          <reference field="0" count="1" selected="0">
            <x v="14"/>
          </reference>
          <reference field="5" count="1">
            <x v="3475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969">
      <pivotArea dataOnly="0" labelOnly="1" outline="0" fieldPosition="0">
        <references count="7">
          <reference field="0" count="1" selected="0">
            <x v="14"/>
          </reference>
          <reference field="5" count="1">
            <x v="110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968">
      <pivotArea dataOnly="0" labelOnly="1" outline="0" fieldPosition="0">
        <references count="7">
          <reference field="0" count="1" selected="0">
            <x v="14"/>
          </reference>
          <reference field="5" count="2">
            <x v="5943"/>
            <x v="656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967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966">
      <pivotArea dataOnly="0" labelOnly="1" outline="0" fieldPosition="0">
        <references count="7">
          <reference field="0" count="1" selected="0">
            <x v="15"/>
          </reference>
          <reference field="5" count="1">
            <x v="19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965">
      <pivotArea dataOnly="0" labelOnly="1" outline="0" fieldPosition="0">
        <references count="7">
          <reference field="0" count="1" selected="0">
            <x v="15"/>
          </reference>
          <reference field="5" count="1"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964">
      <pivotArea dataOnly="0" labelOnly="1" outline="0" fieldPosition="0">
        <references count="7">
          <reference field="0" count="1" selected="0">
            <x v="15"/>
          </reference>
          <reference field="5" count="1">
            <x v="313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8963">
      <pivotArea dataOnly="0" labelOnly="1" outline="0" fieldPosition="0">
        <references count="7">
          <reference field="0" count="1" selected="0">
            <x v="15"/>
          </reference>
          <reference field="5" count="1">
            <x v="76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962">
      <pivotArea dataOnly="0" labelOnly="1" outline="0" fieldPosition="0">
        <references count="7">
          <reference field="0" count="1" selected="0">
            <x v="15"/>
          </reference>
          <reference field="5" count="1">
            <x v="461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8961">
      <pivotArea dataOnly="0" labelOnly="1" outline="0" fieldPosition="0">
        <references count="7">
          <reference field="0" count="1" selected="0">
            <x v="15"/>
          </reference>
          <reference field="5" count="1">
            <x v="14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960">
      <pivotArea dataOnly="0" labelOnly="1" outline="0" fieldPosition="0">
        <references count="7">
          <reference field="0" count="1" selected="0">
            <x v="15"/>
          </reference>
          <reference field="5" count="1">
            <x v="764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959">
      <pivotArea dataOnly="0" labelOnly="1" outline="0" fieldPosition="0">
        <references count="7">
          <reference field="0" count="1" selected="0">
            <x v="15"/>
          </reference>
          <reference field="5" count="1">
            <x v="767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89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9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95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95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4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9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9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9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9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9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9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0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9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9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94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945">
      <pivotArea dataOnly="0" labelOnly="1" outline="0" fieldPosition="0">
        <references count="9">
          <reference field="0" count="1" selected="0">
            <x v="14"/>
          </reference>
          <reference field="3" count="1">
            <x v="7475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944">
      <pivotArea dataOnly="0" labelOnly="1" outline="0" fieldPosition="0">
        <references count="9">
          <reference field="0" count="1" selected="0">
            <x v="7"/>
          </reference>
          <reference field="3" count="1">
            <x v="7333"/>
          </reference>
          <reference field="5" count="1" selected="0">
            <x v="21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943">
      <pivotArea dataOnly="0" labelOnly="1" outline="0" fieldPosition="0">
        <references count="9">
          <reference field="0" count="1" selected="0">
            <x v="11"/>
          </reference>
          <reference field="3" count="1">
            <x v="7641"/>
          </reference>
          <reference field="5" count="1" selected="0">
            <x v="50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942">
      <pivotArea dataOnly="0" labelOnly="1" outline="0" fieldPosition="0">
        <references count="9">
          <reference field="0" count="1" selected="0">
            <x v="11"/>
          </reference>
          <reference field="3" count="1">
            <x v="7318"/>
          </reference>
          <reference field="5" count="1" selected="0">
            <x v="49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941">
      <pivotArea dataOnly="0" labelOnly="1" outline="0" fieldPosition="0">
        <references count="9">
          <reference field="0" count="1" selected="0">
            <x v="11"/>
          </reference>
          <reference field="3" count="1">
            <x v="7535"/>
          </reference>
          <reference field="5" count="1" selected="0">
            <x v="52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940">
      <pivotArea dataOnly="0" labelOnly="1" outline="0" fieldPosition="0">
        <references count="9">
          <reference field="0" count="1" selected="0">
            <x v="11"/>
          </reference>
          <reference field="3" count="1">
            <x v="7536"/>
          </reference>
          <reference field="5" count="1" selected="0">
            <x v="71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939">
      <pivotArea dataOnly="0" labelOnly="1" outline="0" fieldPosition="0">
        <references count="9">
          <reference field="0" count="1" selected="0">
            <x v="11"/>
          </reference>
          <reference field="3" count="1">
            <x v="7539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938">
      <pivotArea dataOnly="0" labelOnly="1" outline="0" fieldPosition="0">
        <references count="9">
          <reference field="0" count="1" selected="0">
            <x v="11"/>
          </reference>
          <reference field="3" count="1">
            <x v="7409"/>
          </reference>
          <reference field="5" count="1" selected="0">
            <x v="70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937">
      <pivotArea dataOnly="0" labelOnly="1" outline="0" fieldPosition="0">
        <references count="9">
          <reference field="0" count="1" selected="0">
            <x v="11"/>
          </reference>
          <reference field="3" count="1">
            <x v="7537"/>
          </reference>
          <reference field="5" count="1" selected="0">
            <x v="61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893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4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9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9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8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9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932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76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931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34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930">
      <pivotArea dataOnly="0" labelOnly="1" outline="0" fieldPosition="0">
        <references count="9">
          <reference field="0" count="1" selected="0">
            <x v="14"/>
          </reference>
          <reference field="3" count="1">
            <x v="7688"/>
          </reference>
          <reference field="5" count="1" selected="0">
            <x v="110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929">
      <pivotArea dataOnly="0" labelOnly="1" outline="0" fieldPosition="0">
        <references count="9">
          <reference field="0" count="1" selected="0">
            <x v="14"/>
          </reference>
          <reference field="3" count="1">
            <x v="7478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928">
      <pivotArea dataOnly="0" labelOnly="1" outline="0" fieldPosition="0">
        <references count="9">
          <reference field="0" count="1" selected="0">
            <x v="14"/>
          </reference>
          <reference field="3" count="1">
            <x v="7480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927">
      <pivotArea dataOnly="0" labelOnly="1" outline="0" fieldPosition="0">
        <references count="9">
          <reference field="0" count="1" selected="0">
            <x v="14"/>
          </reference>
          <reference field="3" count="1">
            <x v="7477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926">
      <pivotArea dataOnly="0" labelOnly="1" outline="0" fieldPosition="0">
        <references count="9">
          <reference field="0" count="1" selected="0">
            <x v="15"/>
          </reference>
          <reference field="3" count="1">
            <x v="7616"/>
          </reference>
          <reference field="5" count="1" selected="0">
            <x v="19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925">
      <pivotArea dataOnly="0" labelOnly="1" outline="0" fieldPosition="0">
        <references count="9">
          <reference field="0" count="1" selected="0">
            <x v="15"/>
          </reference>
          <reference field="3" count="1">
            <x v="2923"/>
          </reference>
          <reference field="5" count="1" selected="0">
            <x v="146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924">
      <pivotArea dataOnly="0" labelOnly="1" outline="0" fieldPosition="0">
        <references count="9">
          <reference field="0" count="1" selected="0">
            <x v="15"/>
          </reference>
          <reference field="3" count="1">
            <x v="7650"/>
          </reference>
          <reference field="5" count="1" selected="0">
            <x v="764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92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7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89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5"/>
          </reference>
          <reference field="5" count="1" selected="0">
            <x v="61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9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3"/>
          </reference>
          <reference field="5" count="1" selected="0">
            <x v="21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92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41"/>
          </reference>
          <reference field="5" count="1" selected="0">
            <x v="50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91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9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9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9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9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76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9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3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9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8"/>
          </reference>
          <reference field="5" count="1" selected="0">
            <x v="11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9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8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9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6"/>
          </reference>
          <reference field="5" count="1" selected="0">
            <x v="19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9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616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89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923"/>
          </reference>
          <reference field="5" count="1" selected="0">
            <x v="14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9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0"/>
          </reference>
          <reference field="5" count="1" selected="0">
            <x v="76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9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8906">
      <pivotArea dataOnly="0" labelOnly="1" outline="0" fieldPosition="0">
        <references count="11">
          <reference field="0" count="1" selected="0">
            <x v="11"/>
          </reference>
          <reference field="1" count="1">
            <x v="7511"/>
          </reference>
          <reference field="3" count="1" selected="0">
            <x v="7641"/>
          </reference>
          <reference field="5" count="1" selected="0">
            <x v="50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905">
      <pivotArea dataOnly="0" labelOnly="1" outline="0" fieldPosition="0">
        <references count="11">
          <reference field="0" count="1" selected="0">
            <x v="11"/>
          </reference>
          <reference field="1" count="1">
            <x v="7319"/>
          </reference>
          <reference field="3" count="1" selected="0">
            <x v="7535"/>
          </reference>
          <reference field="5" count="1" selected="0">
            <x v="52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904">
      <pivotArea dataOnly="0" labelOnly="1" outline="0" fieldPosition="0">
        <references count="11">
          <reference field="0" count="1" selected="0">
            <x v="11"/>
          </reference>
          <reference field="1" count="1">
            <x v="7320"/>
          </reference>
          <reference field="3" count="1" selected="0">
            <x v="7537"/>
          </reference>
          <reference field="5" count="1" selected="0">
            <x v="61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8903">
      <pivotArea dataOnly="0" labelOnly="1" outline="0" fieldPosition="0">
        <references count="11">
          <reference field="0" count="1" selected="0">
            <x v="12"/>
          </reference>
          <reference field="1" count="1">
            <x v="7458"/>
          </reference>
          <reference field="3" count="1" selected="0">
            <x v="0"/>
          </reference>
          <reference field="5" count="1" selected="0">
            <x v="59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902">
      <pivotArea dataOnly="0" labelOnly="1" outline="0" fieldPosition="0">
        <references count="11">
          <reference field="0" count="1" selected="0">
            <x v="12"/>
          </reference>
          <reference field="1" count="1">
            <x v="7510"/>
          </reference>
          <reference field="3" count="1" selected="0">
            <x v="0"/>
          </reference>
          <reference field="5" count="1" selected="0">
            <x v="69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901">
      <pivotArea dataOnly="0" labelOnly="1" outline="0" fieldPosition="0">
        <references count="11">
          <reference field="0" count="1" selected="0">
            <x v="13"/>
          </reference>
          <reference field="1" count="1">
            <x v="7446"/>
          </reference>
          <reference field="3" count="1" selected="0">
            <x v="0"/>
          </reference>
          <reference field="5" count="1" selected="0">
            <x v="554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900">
      <pivotArea dataOnly="0" labelOnly="1" outline="0" fieldPosition="0">
        <references count="11">
          <reference field="0" count="1" selected="0">
            <x v="14"/>
          </reference>
          <reference field="1" count="1">
            <x v="7509"/>
          </reference>
          <reference field="3" count="1" selected="0">
            <x v="2"/>
          </reference>
          <reference field="5" count="1" selected="0">
            <x v="76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899">
      <pivotArea dataOnly="0" labelOnly="1" outline="0" fieldPosition="0">
        <references count="11">
          <reference field="0" count="1" selected="0">
            <x v="14"/>
          </reference>
          <reference field="1" count="1">
            <x v="7494"/>
          </reference>
          <reference field="3" count="1" selected="0">
            <x v="0"/>
          </reference>
          <reference field="5" count="1" selected="0">
            <x v="76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898">
      <pivotArea dataOnly="0" labelOnly="1" outline="0" fieldPosition="0">
        <references count="11">
          <reference field="0" count="1" selected="0">
            <x v="14"/>
          </reference>
          <reference field="1" count="1">
            <x v="7506"/>
          </reference>
          <reference field="3" count="1" selected="0">
            <x v="7688"/>
          </reference>
          <reference field="5" count="1" selected="0">
            <x v="11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897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478"/>
          </reference>
          <reference field="5" count="1" selected="0">
            <x v="59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896">
      <pivotArea dataOnly="0" labelOnly="1" outline="0" fieldPosition="0">
        <references count="11">
          <reference field="0" count="1" selected="0">
            <x v="15"/>
          </reference>
          <reference field="1" count="1">
            <x v="7503"/>
          </reference>
          <reference field="3" count="1" selected="0">
            <x v="0"/>
          </reference>
          <reference field="5" count="1" selected="0">
            <x v="4616"/>
          </reference>
          <reference field="7" count="1" selected="0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8895">
      <pivotArea dataOnly="0" labelOnly="1" outline="0" fieldPosition="0">
        <references count="11">
          <reference field="0" count="1" selected="0">
            <x v="15"/>
          </reference>
          <reference field="1" count="1">
            <x v="7505"/>
          </reference>
          <reference field="3" count="1" selected="0">
            <x v="0"/>
          </reference>
          <reference field="5" count="1" selected="0">
            <x v="76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8894">
      <pivotArea outline="0" collapsedLevelsAreSubtotals="1" fieldPosition="0"/>
    </format>
    <format dxfId="8893">
      <pivotArea dataOnly="0" labelOnly="1" outline="0" axis="axisValues" fieldPosition="0"/>
    </format>
    <format dxfId="8892">
      <pivotArea dataOnly="0" outline="0" fieldPosition="0">
        <references count="1">
          <reference field="12" count="0" defaultSubtotal="1"/>
        </references>
      </pivotArea>
    </format>
    <format dxfId="8891">
      <pivotArea outline="0" collapsedLevelsAreSubtotals="1" fieldPosition="0"/>
    </format>
    <format dxfId="8890">
      <pivotArea dataOnly="0" labelOnly="1" outline="0" axis="axisValues" fieldPosition="0"/>
    </format>
    <format dxfId="8889">
      <pivotArea outline="0" collapsedLevelsAreSubtotals="1" fieldPosition="0"/>
    </format>
    <format dxfId="8888">
      <pivotArea dataOnly="0" labelOnly="1" outline="0" axis="axisValues" fieldPosition="0"/>
    </format>
    <format dxfId="8887">
      <pivotArea dataOnly="0" labelOnly="1" outline="0" axis="axisValues" fieldPosition="0"/>
    </format>
    <format dxfId="8886">
      <pivotArea outline="0" collapsedLevelsAreSubtotals="1" fieldPosition="0"/>
    </format>
    <format dxfId="8885">
      <pivotArea field="12" type="button" dataOnly="0" labelOnly="1" outline="0" axis="axisRow" fieldPosition="2"/>
    </format>
    <format dxfId="8884">
      <pivotArea field="10" type="button" dataOnly="0" labelOnly="1" outline="0" axis="axisRow" fieldPosition="3"/>
    </format>
    <format dxfId="8883">
      <pivotArea field="16" type="button" dataOnly="0" labelOnly="1" outline="0" axis="axisRow" fieldPosition="4"/>
    </format>
    <format dxfId="8882">
      <pivotArea field="18" type="button" dataOnly="0" labelOnly="1" outline="0" axis="axisRow" fieldPosition="5"/>
    </format>
    <format dxfId="8881">
      <pivotArea field="5" type="button" dataOnly="0" labelOnly="1" outline="0" axis="axisRow" fieldPosition="6"/>
    </format>
    <format dxfId="8880">
      <pivotArea field="9" type="button" dataOnly="0" labelOnly="1" outline="0" axis="axisRow" fieldPosition="7"/>
    </format>
    <format dxfId="8879">
      <pivotArea field="3" type="button" dataOnly="0" labelOnly="1" outline="0" axis="axisRow" fieldPosition="8"/>
    </format>
    <format dxfId="8878">
      <pivotArea field="7" type="button" dataOnly="0" labelOnly="1" outline="0" axis="axisRow" fieldPosition="9"/>
    </format>
    <format dxfId="8877">
      <pivotArea field="1" type="button" dataOnly="0" labelOnly="1" outline="0" axis="axisRow" fieldPosition="10"/>
    </format>
    <format dxfId="8876">
      <pivotArea dataOnly="0" labelOnly="1" outline="0" axis="axisValues" fieldPosition="0"/>
    </format>
    <format dxfId="887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87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873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887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887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87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86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86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867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8866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886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86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863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8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8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886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85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5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5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8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8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85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8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85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885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8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8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84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84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8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88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884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84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84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4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8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3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2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8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88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8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88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88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8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8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8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8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14"/>
          </reference>
        </references>
      </pivotArea>
    </format>
    <format dxfId="8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8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8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8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8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7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87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7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3"/>
            <x v="39"/>
            <x v="41"/>
            <x v="58"/>
          </reference>
        </references>
      </pivotArea>
    </format>
    <format dxfId="87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41"/>
            <x v="43"/>
            <x v="44"/>
            <x v="46"/>
            <x v="47"/>
            <x v="69"/>
            <x v="73"/>
            <x v="75"/>
          </reference>
        </references>
      </pivotArea>
    </format>
    <format dxfId="87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87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39"/>
            <x v="42"/>
          </reference>
        </references>
      </pivotArea>
    </format>
    <format dxfId="8790">
      <pivotArea dataOnly="0" labelOnly="1" outline="0" fieldPosition="0">
        <references count="7">
          <reference field="0" count="1" selected="0">
            <x v="13"/>
          </reference>
          <reference field="5" count="1">
            <x v="76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789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788">
      <pivotArea dataOnly="0" labelOnly="1" outline="0" fieldPosition="0">
        <references count="7">
          <reference field="0" count="1" selected="0">
            <x v="7"/>
          </reference>
          <reference field="5" count="1">
            <x v="213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787">
      <pivotArea dataOnly="0" labelOnly="1" outline="0" fieldPosition="0">
        <references count="7">
          <reference field="0" count="1" selected="0">
            <x v="13"/>
          </reference>
          <reference field="5" count="1">
            <x v="71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786">
      <pivotArea dataOnly="0" labelOnly="1" outline="0" fieldPosition="0">
        <references count="7">
          <reference field="0" count="1" selected="0">
            <x v="13"/>
          </reference>
          <reference field="5" count="2">
            <x v="4637"/>
            <x v="75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85">
      <pivotArea dataOnly="0" labelOnly="1" outline="0" fieldPosition="0">
        <references count="7">
          <reference field="0" count="1" selected="0">
            <x v="13"/>
          </reference>
          <reference field="5" count="1">
            <x v="7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784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83">
      <pivotArea dataOnly="0" labelOnly="1" outline="0" fieldPosition="0">
        <references count="7">
          <reference field="0" count="1" selected="0">
            <x v="13"/>
          </reference>
          <reference field="5" count="2">
            <x v="2593"/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782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781">
      <pivotArea dataOnly="0" labelOnly="1" outline="0" fieldPosition="0">
        <references count="7">
          <reference field="0" count="1" selected="0">
            <x v="14"/>
          </reference>
          <reference field="5" count="1">
            <x v="768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80">
      <pivotArea dataOnly="0" labelOnly="1" outline="0" fieldPosition="0">
        <references count="7">
          <reference field="0" count="1" selected="0">
            <x v="14"/>
          </reference>
          <reference field="5" count="1">
            <x v="767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779">
      <pivotArea dataOnly="0" labelOnly="1" outline="0" fieldPosition="0">
        <references count="7">
          <reference field="0" count="1" selected="0">
            <x v="14"/>
          </reference>
          <reference field="5" count="1">
            <x v="343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778">
      <pivotArea dataOnly="0" labelOnly="1" outline="0" fieldPosition="0">
        <references count="7">
          <reference field="0" count="1" selected="0">
            <x v="14"/>
          </reference>
          <reference field="5" count="1">
            <x v="347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77">
      <pivotArea dataOnly="0" labelOnly="1" outline="0" fieldPosition="0">
        <references count="7">
          <reference field="0" count="1" selected="0">
            <x v="14"/>
          </reference>
          <reference field="5" count="1">
            <x v="7612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776">
      <pivotArea dataOnly="0" labelOnly="1" outline="0" fieldPosition="0">
        <references count="7">
          <reference field="0" count="1" selected="0">
            <x v="14"/>
          </reference>
          <reference field="5" count="1">
            <x v="385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775">
      <pivotArea dataOnly="0" labelOnly="1" outline="0" fieldPosition="0">
        <references count="7">
          <reference field="0" count="1" selected="0">
            <x v="14"/>
          </reference>
          <reference field="5" count="1">
            <x v="6890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774">
      <pivotArea dataOnly="0" labelOnly="1" outline="0" fieldPosition="0">
        <references count="7">
          <reference field="0" count="1" selected="0">
            <x v="14"/>
          </reference>
          <reference field="5" count="1">
            <x v="4409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73">
      <pivotArea dataOnly="0" labelOnly="1" outline="0" fieldPosition="0">
        <references count="7">
          <reference field="0" count="1" selected="0">
            <x v="14"/>
          </reference>
          <reference field="5" count="1">
            <x v="7685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72">
      <pivotArea dataOnly="0" labelOnly="1" outline="0" fieldPosition="0">
        <references count="7">
          <reference field="0" count="1" selected="0">
            <x v="14"/>
          </reference>
          <reference field="5" count="1">
            <x v="3988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771">
      <pivotArea dataOnly="0" labelOnly="1" outline="0" fieldPosition="0">
        <references count="7">
          <reference field="0" count="1" selected="0">
            <x v="14"/>
          </reference>
          <reference field="5" count="2">
            <x v="5943"/>
            <x v="656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770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769">
      <pivotArea dataOnly="0" labelOnly="1" outline="0" fieldPosition="0">
        <references count="7">
          <reference field="0" count="1" selected="0">
            <x v="14"/>
          </reference>
          <reference field="5" count="1">
            <x v="755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68">
      <pivotArea dataOnly="0" labelOnly="1" outline="0" fieldPosition="0">
        <references count="7">
          <reference field="0" count="1" selected="0">
            <x v="15"/>
          </reference>
          <reference field="5" count="1">
            <x v="19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767">
      <pivotArea dataOnly="0" labelOnly="1" outline="0" fieldPosition="0">
        <references count="7">
          <reference field="0" count="1" selected="0">
            <x v="15"/>
          </reference>
          <reference field="5" count="1">
            <x v="76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766">
      <pivotArea dataOnly="0" labelOnly="1" outline="0" fieldPosition="0">
        <references count="7">
          <reference field="0" count="1" selected="0">
            <x v="15"/>
          </reference>
          <reference field="5" count="1"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765">
      <pivotArea dataOnly="0" labelOnly="1" outline="0" fieldPosition="0">
        <references count="7">
          <reference field="0" count="1" selected="0">
            <x v="15"/>
          </reference>
          <reference field="5" count="1">
            <x v="768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764">
      <pivotArea dataOnly="0" labelOnly="1" outline="0" fieldPosition="0">
        <references count="7">
          <reference field="0" count="1" selected="0">
            <x v="15"/>
          </reference>
          <reference field="5" count="2">
            <x v="3136"/>
            <x v="313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8763">
      <pivotArea dataOnly="0" labelOnly="1" outline="0" fieldPosition="0">
        <references count="7">
          <reference field="0" count="1" selected="0">
            <x v="15"/>
          </reference>
          <reference field="5" count="1">
            <x v="461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8762">
      <pivotArea dataOnly="0" labelOnly="1" outline="0" fieldPosition="0">
        <references count="7">
          <reference field="0" count="1" selected="0">
            <x v="15"/>
          </reference>
          <reference field="5" count="1">
            <x v="768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8761">
      <pivotArea dataOnly="0" labelOnly="1" outline="0" fieldPosition="0">
        <references count="7">
          <reference field="0" count="1" selected="0">
            <x v="15"/>
          </reference>
          <reference field="5" count="1">
            <x v="14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760">
      <pivotArea dataOnly="0" labelOnly="1" outline="0" fieldPosition="0">
        <references count="7">
          <reference field="0" count="1" selected="0">
            <x v="15"/>
          </reference>
          <reference field="5" count="3">
            <x v="1458"/>
            <x v="7674"/>
            <x v="768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7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7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7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7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7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7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7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3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7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7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0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7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7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4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7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74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742">
      <pivotArea dataOnly="0" labelOnly="1" outline="0" fieldPosition="0">
        <references count="9">
          <reference field="0" count="1" selected="0">
            <x v="14"/>
          </reference>
          <reference field="3" count="1">
            <x v="7707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741">
      <pivotArea dataOnly="0" labelOnly="1" outline="0" fieldPosition="0">
        <references count="9">
          <reference field="0" count="1" selected="0">
            <x v="7"/>
          </reference>
          <reference field="3" count="1">
            <x v="7333"/>
          </reference>
          <reference field="5" count="1" selected="0">
            <x v="21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7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7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8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3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7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737">
      <pivotArea dataOnly="0" labelOnly="1" outline="0" fieldPosition="0">
        <references count="9">
          <reference field="0" count="1" selected="0">
            <x v="14"/>
          </reference>
          <reference field="3" count="1">
            <x v="7517"/>
          </reference>
          <reference field="5" count="1" selected="0">
            <x v="343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736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34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35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76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734">
      <pivotArea dataOnly="0" labelOnly="1" outline="0" fieldPosition="0">
        <references count="9">
          <reference field="0" count="1" selected="0">
            <x v="14"/>
          </reference>
          <reference field="3" count="1">
            <x v="7529"/>
          </reference>
          <reference field="5" count="1" selected="0">
            <x v="3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733">
      <pivotArea dataOnly="0" labelOnly="1" outline="0" fieldPosition="0">
        <references count="9">
          <reference field="0" count="1" selected="0">
            <x v="14"/>
          </reference>
          <reference field="3" count="1">
            <x v="7713"/>
          </reference>
          <reference field="5" count="1" selected="0">
            <x v="440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32">
      <pivotArea dataOnly="0" labelOnly="1" outline="0" fieldPosition="0">
        <references count="9">
          <reference field="0" count="1" selected="0">
            <x v="14"/>
          </reference>
          <reference field="3" count="1">
            <x v="1390"/>
          </reference>
          <reference field="5" count="1" selected="0">
            <x v="768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31">
      <pivotArea dataOnly="0" labelOnly="1" outline="0" fieldPosition="0">
        <references count="9">
          <reference field="0" count="1" selected="0">
            <x v="14"/>
          </reference>
          <reference field="3" count="1">
            <x v="7540"/>
          </reference>
          <reference field="5" count="1" selected="0">
            <x v="398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730">
      <pivotArea dataOnly="0" labelOnly="1" outline="0" fieldPosition="0">
        <references count="9">
          <reference field="0" count="1" selected="0">
            <x v="14"/>
          </reference>
          <reference field="3" count="1">
            <x v="7710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729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728">
      <pivotArea dataOnly="0" labelOnly="1" outline="0" fieldPosition="0">
        <references count="9">
          <reference field="0" count="1" selected="0">
            <x v="14"/>
          </reference>
          <reference field="3" count="1">
            <x v="7708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7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26">
      <pivotArea dataOnly="0" labelOnly="1" outline="0" fieldPosition="0">
        <references count="9">
          <reference field="0" count="1" selected="0">
            <x v="15"/>
          </reference>
          <reference field="3" count="1">
            <x v="7616"/>
          </reference>
          <reference field="5" count="1" selected="0">
            <x v="19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725">
      <pivotArea dataOnly="0" labelOnly="1" outline="0" fieldPosition="0">
        <references count="9">
          <reference field="0" count="1" selected="0">
            <x v="15"/>
          </reference>
          <reference field="3" count="1">
            <x v="7706"/>
          </reference>
          <reference field="5" count="1" selected="0">
            <x v="76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724">
      <pivotArea dataOnly="0" labelOnly="1" outline="0" fieldPosition="0">
        <references count="9">
          <reference field="0" count="1" selected="0">
            <x v="15"/>
          </reference>
          <reference field="3" count="1">
            <x v="2923"/>
          </reference>
          <reference field="5" count="1" selected="0">
            <x v="146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72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7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7"/>
          </reference>
          <reference field="5" count="1" selected="0">
            <x v="61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7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3"/>
          </reference>
          <reference field="5" count="1" selected="0">
            <x v="21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7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7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7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7"/>
          </reference>
          <reference field="5" count="1" selected="0">
            <x v="34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7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76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7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9"/>
          </reference>
          <reference field="5" count="1" selected="0">
            <x v="38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7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3"/>
          </reference>
          <reference field="5" count="1" selected="0">
            <x v="44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90"/>
          </reference>
          <reference field="5" count="1" selected="0">
            <x v="76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0"/>
          </reference>
          <reference field="5" count="1" selected="0">
            <x v="39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7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0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7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6"/>
          </reference>
          <reference field="5" count="1" selected="0">
            <x v="19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708">
      <pivotArea dataOnly="0" labelOnly="1" outline="0" fieldPosition="0">
        <references count="11">
          <reference field="0" count="1" selected="0">
            <x v="14"/>
          </reference>
          <reference field="1" count="1">
            <x v="7523"/>
          </reference>
          <reference field="3" count="1" selected="0">
            <x v="7707"/>
          </reference>
          <reference field="5" count="1" selected="0">
            <x v="61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707">
      <pivotArea dataOnly="0" labelOnly="1" outline="0" fieldPosition="0">
        <references count="11">
          <reference field="0" count="1" selected="0">
            <x v="7"/>
          </reference>
          <reference field="1" count="1">
            <x v="7530"/>
          </reference>
          <reference field="3" count="1" selected="0">
            <x v="7333"/>
          </reference>
          <reference field="5" count="1" selected="0">
            <x v="21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706">
      <pivotArea dataOnly="0" labelOnly="1" outline="0" fieldPosition="0">
        <references count="11">
          <reference field="0" count="1" selected="0">
            <x v="13"/>
          </reference>
          <reference field="1" count="1">
            <x v="7446"/>
          </reference>
          <reference field="3" count="1" selected="0">
            <x v="0"/>
          </reference>
          <reference field="5" count="1" selected="0">
            <x v="554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705">
      <pivotArea dataOnly="0" labelOnly="1" outline="0" fieldPosition="0">
        <references count="11">
          <reference field="0" count="1" selected="0">
            <x v="14"/>
          </reference>
          <reference field="1" count="1">
            <x v="7528"/>
          </reference>
          <reference field="3" count="1" selected="0">
            <x v="2"/>
          </reference>
          <reference field="5" count="1" selected="0">
            <x v="76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04">
      <pivotArea dataOnly="0" labelOnly="1" outline="0" fieldPosition="0">
        <references count="11">
          <reference field="0" count="1" selected="0">
            <x v="14"/>
          </reference>
          <reference field="1" count="1">
            <x v="7494"/>
          </reference>
          <reference field="3" count="1" selected="0">
            <x v="0"/>
          </reference>
          <reference field="5" count="1" selected="0">
            <x v="76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703">
      <pivotArea dataOnly="0" labelOnly="1" outline="0" fieldPosition="0">
        <references count="11">
          <reference field="0" count="1" selected="0">
            <x v="14"/>
          </reference>
          <reference field="1" count="1">
            <x v="7529"/>
          </reference>
          <reference field="3" count="1" selected="0">
            <x v="7517"/>
          </reference>
          <reference field="5" count="1" selected="0">
            <x v="343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702">
      <pivotArea dataOnly="0" labelOnly="1" outline="0" fieldPosition="0">
        <references count="11">
          <reference field="0" count="1" selected="0">
            <x v="14"/>
          </reference>
          <reference field="1" count="1">
            <x v="7306"/>
          </reference>
          <reference field="3" count="1" selected="0">
            <x v="7529"/>
          </reference>
          <reference field="5" count="1" selected="0">
            <x v="385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701">
      <pivotArea dataOnly="0" labelOnly="1" outline="0" fieldPosition="0">
        <references count="11">
          <reference field="0" count="1" selected="0">
            <x v="14"/>
          </reference>
          <reference field="1" count="1">
            <x v="7527"/>
          </reference>
          <reference field="3" count="1" selected="0">
            <x v="1390"/>
          </reference>
          <reference field="5" count="1" selected="0">
            <x v="76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00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7540"/>
          </reference>
          <reference field="5" count="1" selected="0">
            <x v="398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699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708"/>
          </reference>
          <reference field="5" count="1" selected="0">
            <x v="4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698">
      <pivotArea dataOnly="0" labelOnly="1" outline="0" fieldPosition="0">
        <references count="11">
          <reference field="0" count="1" selected="0">
            <x v="15"/>
          </reference>
          <reference field="1" count="1">
            <x v="7522"/>
          </reference>
          <reference field="3" count="1" selected="0">
            <x v="7706"/>
          </reference>
          <reference field="5" count="1" selected="0">
            <x v="762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697">
      <pivotArea dataOnly="0" labelOnly="1" outline="0" fieldPosition="0">
        <references count="11">
          <reference field="0" count="1" selected="0">
            <x v="15"/>
          </reference>
          <reference field="1" count="1">
            <x v="7449"/>
          </reference>
          <reference field="3" count="1" selected="0">
            <x v="0"/>
          </reference>
          <reference field="5" count="1" selected="0">
            <x v="31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8696">
      <pivotArea dataOnly="0" labelOnly="1" outline="0" fieldPosition="0">
        <references count="11">
          <reference field="0" count="1" selected="0">
            <x v="15"/>
          </reference>
          <reference field="1" count="1">
            <x v="7521"/>
          </reference>
          <reference field="3" count="1" selected="0">
            <x v="0"/>
          </reference>
          <reference field="5" count="1" selected="0">
            <x v="14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695">
      <pivotArea dataOnly="0" labelOnly="1" outline="0" fieldPosition="0">
        <references count="11">
          <reference field="0" count="1" selected="0">
            <x v="15"/>
          </reference>
          <reference field="1" count="1">
            <x v="7520"/>
          </reference>
          <reference field="3" count="1" selected="0">
            <x v="0"/>
          </reference>
          <reference field="5" count="1" selected="0">
            <x v="76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694">
      <pivotArea outline="0" collapsedLevelsAreSubtotals="1" fieldPosition="0"/>
    </format>
    <format dxfId="8693">
      <pivotArea dataOnly="0" labelOnly="1" outline="0" axis="axisValues" fieldPosition="0"/>
    </format>
    <format dxfId="8692">
      <pivotArea dataOnly="0" outline="0" fieldPosition="0">
        <references count="1">
          <reference field="12" count="0" defaultSubtotal="1"/>
        </references>
      </pivotArea>
    </format>
    <format dxfId="8691">
      <pivotArea outline="0" collapsedLevelsAreSubtotals="1" fieldPosition="0"/>
    </format>
    <format dxfId="8690">
      <pivotArea dataOnly="0" labelOnly="1" outline="0" axis="axisValues" fieldPosition="0"/>
    </format>
    <format dxfId="8689">
      <pivotArea outline="0" collapsedLevelsAreSubtotals="1" fieldPosition="0"/>
    </format>
    <format dxfId="8688">
      <pivotArea dataOnly="0" labelOnly="1" outline="0" axis="axisValues" fieldPosition="0"/>
    </format>
    <format dxfId="8687">
      <pivotArea dataOnly="0" labelOnly="1" outline="0" axis="axisValues" fieldPosition="0"/>
    </format>
    <format dxfId="8686">
      <pivotArea outline="0" collapsedLevelsAreSubtotals="1" fieldPosition="0"/>
    </format>
    <format dxfId="8685">
      <pivotArea field="12" type="button" dataOnly="0" labelOnly="1" outline="0" axis="axisRow" fieldPosition="2"/>
    </format>
    <format dxfId="8684">
      <pivotArea field="10" type="button" dataOnly="0" labelOnly="1" outline="0" axis="axisRow" fieldPosition="3"/>
    </format>
    <format dxfId="8683">
      <pivotArea field="16" type="button" dataOnly="0" labelOnly="1" outline="0" axis="axisRow" fieldPosition="4"/>
    </format>
    <format dxfId="8682">
      <pivotArea field="18" type="button" dataOnly="0" labelOnly="1" outline="0" axis="axisRow" fieldPosition="5"/>
    </format>
    <format dxfId="8681">
      <pivotArea field="5" type="button" dataOnly="0" labelOnly="1" outline="0" axis="axisRow" fieldPosition="6"/>
    </format>
    <format dxfId="8680">
      <pivotArea field="9" type="button" dataOnly="0" labelOnly="1" outline="0" axis="axisRow" fieldPosition="7"/>
    </format>
    <format dxfId="8679">
      <pivotArea field="3" type="button" dataOnly="0" labelOnly="1" outline="0" axis="axisRow" fieldPosition="8"/>
    </format>
    <format dxfId="8678">
      <pivotArea field="7" type="button" dataOnly="0" labelOnly="1" outline="0" axis="axisRow" fieldPosition="9"/>
    </format>
    <format dxfId="8677">
      <pivotArea field="1" type="button" dataOnly="0" labelOnly="1" outline="0" axis="axisRow" fieldPosition="10"/>
    </format>
    <format dxfId="8676">
      <pivotArea dataOnly="0" labelOnly="1" outline="0" axis="axisValues" fieldPosition="0"/>
    </format>
    <format dxfId="867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67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673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867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867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67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66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66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667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8666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866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66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663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6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6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866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65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5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5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6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6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65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6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65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865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6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6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64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64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6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86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864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64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64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4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6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3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2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8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86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6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86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86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6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8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6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8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8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14"/>
          </reference>
        </references>
      </pivotArea>
    </format>
    <format dxfId="8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8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8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8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8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8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5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3"/>
            <x v="39"/>
            <x v="41"/>
            <x v="58"/>
          </reference>
        </references>
      </pivotArea>
    </format>
    <format dxfId="85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39"/>
            <x v="42"/>
          </reference>
        </references>
      </pivotArea>
    </format>
    <format dxfId="8592">
      <pivotArea dataOnly="0" labelOnly="1" outline="0" fieldPosition="0">
        <references count="7">
          <reference field="0" count="1" selected="0">
            <x v="13"/>
          </reference>
          <reference field="5" count="1">
            <x v="76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591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590">
      <pivotArea dataOnly="0" labelOnly="1" outline="0" fieldPosition="0">
        <references count="7">
          <reference field="0" count="1" selected="0">
            <x v="7"/>
          </reference>
          <reference field="5" count="1">
            <x v="213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589">
      <pivotArea dataOnly="0" labelOnly="1" outline="0" fieldPosition="0">
        <references count="7">
          <reference field="0" count="1" selected="0">
            <x v="13"/>
          </reference>
          <reference field="5" count="1">
            <x v="71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588">
      <pivotArea dataOnly="0" labelOnly="1" outline="0" fieldPosition="0">
        <references count="7">
          <reference field="0" count="1" selected="0">
            <x v="13"/>
          </reference>
          <reference field="5" count="2">
            <x v="4637"/>
            <x v="75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87">
      <pivotArea dataOnly="0" labelOnly="1" outline="0" fieldPosition="0">
        <references count="7">
          <reference field="0" count="1" selected="0">
            <x v="13"/>
          </reference>
          <reference field="5" count="1">
            <x v="7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586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85">
      <pivotArea dataOnly="0" labelOnly="1" outline="0" fieldPosition="0">
        <references count="7">
          <reference field="0" count="1" selected="0">
            <x v="13"/>
          </reference>
          <reference field="5" count="2">
            <x v="2593"/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584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583">
      <pivotArea dataOnly="0" labelOnly="1" outline="0" fieldPosition="0">
        <references count="7">
          <reference field="0" count="1" selected="0">
            <x v="14"/>
          </reference>
          <reference field="5" count="1">
            <x v="768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82">
      <pivotArea dataOnly="0" labelOnly="1" outline="0" fieldPosition="0">
        <references count="7">
          <reference field="0" count="1" selected="0">
            <x v="14"/>
          </reference>
          <reference field="5" count="1">
            <x v="767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581">
      <pivotArea dataOnly="0" labelOnly="1" outline="0" fieldPosition="0">
        <references count="7">
          <reference field="0" count="1" selected="0">
            <x v="14"/>
          </reference>
          <reference field="5" count="1">
            <x v="343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580">
      <pivotArea dataOnly="0" labelOnly="1" outline="0" fieldPosition="0">
        <references count="7">
          <reference field="0" count="1" selected="0">
            <x v="14"/>
          </reference>
          <reference field="5" count="1">
            <x v="347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79">
      <pivotArea dataOnly="0" labelOnly="1" outline="0" fieldPosition="0">
        <references count="7">
          <reference field="0" count="1" selected="0">
            <x v="14"/>
          </reference>
          <reference field="5" count="1">
            <x v="7612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578">
      <pivotArea dataOnly="0" labelOnly="1" outline="0" fieldPosition="0">
        <references count="7">
          <reference field="0" count="1" selected="0">
            <x v="14"/>
          </reference>
          <reference field="5" count="1">
            <x v="385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577">
      <pivotArea dataOnly="0" labelOnly="1" outline="0" fieldPosition="0">
        <references count="7">
          <reference field="0" count="1" selected="0">
            <x v="14"/>
          </reference>
          <reference field="5" count="1">
            <x v="6890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576">
      <pivotArea dataOnly="0" labelOnly="1" outline="0" fieldPosition="0">
        <references count="7">
          <reference field="0" count="1" selected="0">
            <x v="14"/>
          </reference>
          <reference field="5" count="1">
            <x v="4409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75">
      <pivotArea dataOnly="0" labelOnly="1" outline="0" fieldPosition="0">
        <references count="7">
          <reference field="0" count="1" selected="0">
            <x v="14"/>
          </reference>
          <reference field="5" count="1">
            <x v="7685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74">
      <pivotArea dataOnly="0" labelOnly="1" outline="0" fieldPosition="0">
        <references count="7">
          <reference field="0" count="1" selected="0">
            <x v="14"/>
          </reference>
          <reference field="5" count="1">
            <x v="3988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573">
      <pivotArea dataOnly="0" labelOnly="1" outline="0" fieldPosition="0">
        <references count="7">
          <reference field="0" count="1" selected="0">
            <x v="14"/>
          </reference>
          <reference field="5" count="2">
            <x v="5943"/>
            <x v="656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572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571">
      <pivotArea dataOnly="0" labelOnly="1" outline="0" fieldPosition="0">
        <references count="7">
          <reference field="0" count="1" selected="0">
            <x v="14"/>
          </reference>
          <reference field="5" count="1">
            <x v="755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70">
      <pivotArea dataOnly="0" labelOnly="1" outline="0" fieldPosition="0">
        <references count="7">
          <reference field="0" count="1" selected="0">
            <x v="15"/>
          </reference>
          <reference field="5" count="1">
            <x v="19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569">
      <pivotArea dataOnly="0" labelOnly="1" outline="0" fieldPosition="0">
        <references count="7">
          <reference field="0" count="1" selected="0">
            <x v="15"/>
          </reference>
          <reference field="5" count="1">
            <x v="76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568">
      <pivotArea dataOnly="0" labelOnly="1" outline="0" fieldPosition="0">
        <references count="7">
          <reference field="0" count="1" selected="0">
            <x v="15"/>
          </reference>
          <reference field="5" count="1"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567">
      <pivotArea dataOnly="0" labelOnly="1" outline="0" fieldPosition="0">
        <references count="7">
          <reference field="0" count="1" selected="0">
            <x v="15"/>
          </reference>
          <reference field="5" count="1">
            <x v="14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566">
      <pivotArea dataOnly="0" labelOnly="1" outline="0" fieldPosition="0">
        <references count="7">
          <reference field="0" count="1" selected="0">
            <x v="15"/>
          </reference>
          <reference field="5" count="3">
            <x v="1458"/>
            <x v="7674"/>
            <x v="768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5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5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5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5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5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5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5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3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5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5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0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5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5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5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54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548">
      <pivotArea dataOnly="0" labelOnly="1" outline="0" fieldPosition="0">
        <references count="9">
          <reference field="0" count="1" selected="0">
            <x v="14"/>
          </reference>
          <reference field="3" count="1">
            <x v="7707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547">
      <pivotArea dataOnly="0" labelOnly="1" outline="0" fieldPosition="0">
        <references count="9">
          <reference field="0" count="1" selected="0">
            <x v="7"/>
          </reference>
          <reference field="3" count="1">
            <x v="7333"/>
          </reference>
          <reference field="5" count="1" selected="0">
            <x v="21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5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5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8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4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7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543">
      <pivotArea dataOnly="0" labelOnly="1" outline="0" fieldPosition="0">
        <references count="9">
          <reference field="0" count="1" selected="0">
            <x v="14"/>
          </reference>
          <reference field="3" count="1">
            <x v="7517"/>
          </reference>
          <reference field="5" count="1" selected="0">
            <x v="343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542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34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41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76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540">
      <pivotArea dataOnly="0" labelOnly="1" outline="0" fieldPosition="0">
        <references count="9">
          <reference field="0" count="1" selected="0">
            <x v="14"/>
          </reference>
          <reference field="3" count="1">
            <x v="7529"/>
          </reference>
          <reference field="5" count="1" selected="0">
            <x v="3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539">
      <pivotArea dataOnly="0" labelOnly="1" outline="0" fieldPosition="0">
        <references count="9">
          <reference field="0" count="1" selected="0">
            <x v="14"/>
          </reference>
          <reference field="3" count="1">
            <x v="7713"/>
          </reference>
          <reference field="5" count="1" selected="0">
            <x v="440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38">
      <pivotArea dataOnly="0" labelOnly="1" outline="0" fieldPosition="0">
        <references count="9">
          <reference field="0" count="1" selected="0">
            <x v="14"/>
          </reference>
          <reference field="3" count="1">
            <x v="1390"/>
          </reference>
          <reference field="5" count="1" selected="0">
            <x v="768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37">
      <pivotArea dataOnly="0" labelOnly="1" outline="0" fieldPosition="0">
        <references count="9">
          <reference field="0" count="1" selected="0">
            <x v="14"/>
          </reference>
          <reference field="3" count="1">
            <x v="7540"/>
          </reference>
          <reference field="5" count="1" selected="0">
            <x v="398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536">
      <pivotArea dataOnly="0" labelOnly="1" outline="0" fieldPosition="0">
        <references count="9">
          <reference field="0" count="1" selected="0">
            <x v="14"/>
          </reference>
          <reference field="3" count="1">
            <x v="7710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535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534">
      <pivotArea dataOnly="0" labelOnly="1" outline="0" fieldPosition="0">
        <references count="9">
          <reference field="0" count="1" selected="0">
            <x v="14"/>
          </reference>
          <reference field="3" count="1">
            <x v="7708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5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32">
      <pivotArea dataOnly="0" labelOnly="1" outline="0" fieldPosition="0">
        <references count="9">
          <reference field="0" count="1" selected="0">
            <x v="15"/>
          </reference>
          <reference field="3" count="1">
            <x v="7616"/>
          </reference>
          <reference field="5" count="1" selected="0">
            <x v="19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531">
      <pivotArea dataOnly="0" labelOnly="1" outline="0" fieldPosition="0">
        <references count="9">
          <reference field="0" count="1" selected="0">
            <x v="15"/>
          </reference>
          <reference field="3" count="1">
            <x v="7706"/>
          </reference>
          <reference field="5" count="1" selected="0">
            <x v="76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530">
      <pivotArea dataOnly="0" labelOnly="1" outline="0" fieldPosition="0">
        <references count="9">
          <reference field="0" count="1" selected="0">
            <x v="15"/>
          </reference>
          <reference field="3" count="1">
            <x v="2923"/>
          </reference>
          <reference field="5" count="1" selected="0">
            <x v="146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52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5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7"/>
          </reference>
          <reference field="5" count="1" selected="0">
            <x v="61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5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3"/>
          </reference>
          <reference field="5" count="1" selected="0">
            <x v="21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5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5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5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7"/>
          </reference>
          <reference field="5" count="1" selected="0">
            <x v="34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5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76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5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9"/>
          </reference>
          <reference field="5" count="1" selected="0">
            <x v="38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5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3"/>
          </reference>
          <reference field="5" count="1" selected="0">
            <x v="44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90"/>
          </reference>
          <reference field="5" count="1" selected="0">
            <x v="76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0"/>
          </reference>
          <reference field="5" count="1" selected="0">
            <x v="39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5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0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5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6"/>
          </reference>
          <reference field="5" count="1" selected="0">
            <x v="19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514">
      <pivotArea dataOnly="0" labelOnly="1" outline="0" fieldPosition="0">
        <references count="11">
          <reference field="0" count="1" selected="0">
            <x v="14"/>
          </reference>
          <reference field="1" count="1">
            <x v="7523"/>
          </reference>
          <reference field="3" count="1" selected="0">
            <x v="7707"/>
          </reference>
          <reference field="5" count="1" selected="0">
            <x v="61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513">
      <pivotArea dataOnly="0" labelOnly="1" outline="0" fieldPosition="0">
        <references count="11">
          <reference field="0" count="1" selected="0">
            <x v="7"/>
          </reference>
          <reference field="1" count="1">
            <x v="7530"/>
          </reference>
          <reference field="3" count="1" selected="0">
            <x v="7333"/>
          </reference>
          <reference field="5" count="1" selected="0">
            <x v="21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512">
      <pivotArea dataOnly="0" labelOnly="1" outline="0" fieldPosition="0">
        <references count="11">
          <reference field="0" count="1" selected="0">
            <x v="13"/>
          </reference>
          <reference field="1" count="1">
            <x v="7446"/>
          </reference>
          <reference field="3" count="1" selected="0">
            <x v="0"/>
          </reference>
          <reference field="5" count="1" selected="0">
            <x v="554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511">
      <pivotArea dataOnly="0" labelOnly="1" outline="0" fieldPosition="0">
        <references count="11">
          <reference field="0" count="1" selected="0">
            <x v="14"/>
          </reference>
          <reference field="1" count="1">
            <x v="7528"/>
          </reference>
          <reference field="3" count="1" selected="0">
            <x v="2"/>
          </reference>
          <reference field="5" count="1" selected="0">
            <x v="76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10">
      <pivotArea dataOnly="0" labelOnly="1" outline="0" fieldPosition="0">
        <references count="11">
          <reference field="0" count="1" selected="0">
            <x v="14"/>
          </reference>
          <reference field="1" count="1">
            <x v="7494"/>
          </reference>
          <reference field="3" count="1" selected="0">
            <x v="0"/>
          </reference>
          <reference field="5" count="1" selected="0">
            <x v="76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509">
      <pivotArea dataOnly="0" labelOnly="1" outline="0" fieldPosition="0">
        <references count="11">
          <reference field="0" count="1" selected="0">
            <x v="14"/>
          </reference>
          <reference field="1" count="1">
            <x v="7529"/>
          </reference>
          <reference field="3" count="1" selected="0">
            <x v="7517"/>
          </reference>
          <reference field="5" count="1" selected="0">
            <x v="343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508">
      <pivotArea dataOnly="0" labelOnly="1" outline="0" fieldPosition="0">
        <references count="11">
          <reference field="0" count="1" selected="0">
            <x v="14"/>
          </reference>
          <reference field="1" count="1">
            <x v="7306"/>
          </reference>
          <reference field="3" count="1" selected="0">
            <x v="7529"/>
          </reference>
          <reference field="5" count="1" selected="0">
            <x v="385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507">
      <pivotArea dataOnly="0" labelOnly="1" outline="0" fieldPosition="0">
        <references count="11">
          <reference field="0" count="1" selected="0">
            <x v="14"/>
          </reference>
          <reference field="1" count="1">
            <x v="7527"/>
          </reference>
          <reference field="3" count="1" selected="0">
            <x v="1390"/>
          </reference>
          <reference field="5" count="1" selected="0">
            <x v="76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06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7540"/>
          </reference>
          <reference field="5" count="1" selected="0">
            <x v="398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505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708"/>
          </reference>
          <reference field="5" count="1" selected="0">
            <x v="4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504">
      <pivotArea dataOnly="0" labelOnly="1" outline="0" fieldPosition="0">
        <references count="11">
          <reference field="0" count="1" selected="0">
            <x v="15"/>
          </reference>
          <reference field="1" count="1">
            <x v="7522"/>
          </reference>
          <reference field="3" count="1" selected="0">
            <x v="7706"/>
          </reference>
          <reference field="5" count="1" selected="0">
            <x v="762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503">
      <pivotArea dataOnly="0" labelOnly="1" outline="0" fieldPosition="0">
        <references count="11">
          <reference field="0" count="1" selected="0">
            <x v="15"/>
          </reference>
          <reference field="1" count="1">
            <x v="7521"/>
          </reference>
          <reference field="3" count="1" selected="0">
            <x v="0"/>
          </reference>
          <reference field="5" count="1" selected="0">
            <x v="14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502">
      <pivotArea dataOnly="0" labelOnly="1" outline="0" fieldPosition="0">
        <references count="11">
          <reference field="0" count="1" selected="0">
            <x v="15"/>
          </reference>
          <reference field="1" count="1">
            <x v="7520"/>
          </reference>
          <reference field="3" count="1" selected="0">
            <x v="0"/>
          </reference>
          <reference field="5" count="1" selected="0">
            <x v="76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501">
      <pivotArea outline="0" collapsedLevelsAreSubtotals="1" fieldPosition="0"/>
    </format>
    <format dxfId="8500">
      <pivotArea dataOnly="0" labelOnly="1" outline="0" axis="axisValues" fieldPosition="0"/>
    </format>
    <format dxfId="8499">
      <pivotArea dataOnly="0" outline="0" fieldPosition="0">
        <references count="1">
          <reference field="12" count="0" defaultSubtotal="1"/>
        </references>
      </pivotArea>
    </format>
    <format dxfId="8498">
      <pivotArea outline="0" collapsedLevelsAreSubtotals="1" fieldPosition="0"/>
    </format>
    <format dxfId="8497">
      <pivotArea dataOnly="0" labelOnly="1" outline="0" axis="axisValues" fieldPosition="0"/>
    </format>
    <format dxfId="8496">
      <pivotArea outline="0" collapsedLevelsAreSubtotals="1" fieldPosition="0"/>
    </format>
    <format dxfId="8495">
      <pivotArea dataOnly="0" labelOnly="1" outline="0" axis="axisValues" fieldPosition="0"/>
    </format>
    <format dxfId="8494">
      <pivotArea dataOnly="0" labelOnly="1" outline="0" axis="axisValues" fieldPosition="0"/>
    </format>
    <format dxfId="8493">
      <pivotArea outline="0" collapsedLevelsAreSubtotals="1" fieldPosition="0"/>
    </format>
    <format dxfId="8492">
      <pivotArea field="12" type="button" dataOnly="0" labelOnly="1" outline="0" axis="axisRow" fieldPosition="2"/>
    </format>
    <format dxfId="8491">
      <pivotArea field="10" type="button" dataOnly="0" labelOnly="1" outline="0" axis="axisRow" fieldPosition="3"/>
    </format>
    <format dxfId="8490">
      <pivotArea field="16" type="button" dataOnly="0" labelOnly="1" outline="0" axis="axisRow" fieldPosition="4"/>
    </format>
    <format dxfId="8489">
      <pivotArea field="18" type="button" dataOnly="0" labelOnly="1" outline="0" axis="axisRow" fieldPosition="5"/>
    </format>
    <format dxfId="8488">
      <pivotArea field="5" type="button" dataOnly="0" labelOnly="1" outline="0" axis="axisRow" fieldPosition="6"/>
    </format>
    <format dxfId="8487">
      <pivotArea field="9" type="button" dataOnly="0" labelOnly="1" outline="0" axis="axisRow" fieldPosition="7"/>
    </format>
    <format dxfId="8486">
      <pivotArea field="3" type="button" dataOnly="0" labelOnly="1" outline="0" axis="axisRow" fieldPosition="8"/>
    </format>
    <format dxfId="8485">
      <pivotArea field="7" type="button" dataOnly="0" labelOnly="1" outline="0" axis="axisRow" fieldPosition="9"/>
    </format>
    <format dxfId="8484">
      <pivotArea field="1" type="button" dataOnly="0" labelOnly="1" outline="0" axis="axisRow" fieldPosition="10"/>
    </format>
    <format dxfId="8483">
      <pivotArea dataOnly="0" labelOnly="1" outline="0" axis="axisValues" fieldPosition="0"/>
    </format>
    <format dxfId="8482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0"/>
          </reference>
        </references>
      </pivotArea>
    </format>
    <format dxfId="8481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0"/>
          </reference>
        </references>
      </pivotArea>
    </format>
    <format dxfId="8480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847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8478">
      <pivotArea dataOnly="0" labelOnly="1" outline="0" fieldPosition="0">
        <references count="3">
          <reference field="0" count="1" selected="0">
            <x v="2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8477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847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47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47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47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7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47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70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8469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846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46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6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846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0"/>
          </reference>
        </references>
      </pivotArea>
    </format>
    <format dxfId="846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84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846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46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46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5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5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4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45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454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4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45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4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4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4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4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44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4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44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4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4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84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44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844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8439">
      <pivotArea dataOnly="0" labelOnly="1" outline="0" fieldPosition="0">
        <references count="4">
          <reference field="0" count="1" selected="0">
            <x v="15"/>
          </reference>
          <reference field="10" count="5">
            <x v="1"/>
            <x v="8"/>
            <x v="21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3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43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43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43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3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3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4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1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1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840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40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8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40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4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40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5"/>
            <x v="66"/>
          </reference>
        </references>
      </pivotArea>
    </format>
    <format dxfId="84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84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84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4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8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8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8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2"/>
          </reference>
        </references>
      </pivotArea>
    </format>
    <format dxfId="8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8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8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83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83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83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3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8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3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3"/>
            <x v="36"/>
            <x v="39"/>
            <x v="41"/>
            <x v="58"/>
          </reference>
        </references>
      </pivotArea>
    </format>
    <format dxfId="83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1"/>
            <x v="43"/>
            <x v="44"/>
            <x v="46"/>
            <x v="69"/>
            <x v="73"/>
            <x v="75"/>
          </reference>
        </references>
      </pivotArea>
    </format>
    <format dxfId="83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9"/>
            <x v="71"/>
          </reference>
        </references>
      </pivotArea>
    </format>
    <format dxfId="83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2"/>
          </reference>
        </references>
      </pivotArea>
    </format>
    <format dxfId="83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8374">
      <pivotArea dataOnly="0" labelOnly="1" outline="0" fieldPosition="0">
        <references count="7">
          <reference field="0" count="1" selected="0">
            <x v="2"/>
          </reference>
          <reference field="5" count="1">
            <x v="470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373">
      <pivotArea dataOnly="0" labelOnly="1" outline="0" fieldPosition="0">
        <references count="7">
          <reference field="0" count="1" selected="0">
            <x v="2"/>
          </reference>
          <reference field="5" count="1">
            <x v="43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8372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71">
      <pivotArea dataOnly="0" labelOnly="1" outline="0" fieldPosition="0">
        <references count="7">
          <reference field="0" count="1" selected="0">
            <x v="2"/>
          </reference>
          <reference field="5" count="1">
            <x v="600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70">
      <pivotArea dataOnly="0" labelOnly="1" outline="0" fieldPosition="0">
        <references count="7">
          <reference field="0" count="1" selected="0">
            <x v="7"/>
          </reference>
          <reference field="5" count="1">
            <x v="213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369">
      <pivotArea dataOnly="0" labelOnly="1" outline="0" fieldPosition="0">
        <references count="7">
          <reference field="0" count="1" selected="0">
            <x v="12"/>
          </reference>
          <reference field="5" count="1">
            <x v="594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368">
      <pivotArea dataOnly="0" labelOnly="1" outline="0" fieldPosition="0">
        <references count="7">
          <reference field="0" count="1" selected="0">
            <x v="12"/>
          </reference>
          <reference field="5" count="1">
            <x v="769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367">
      <pivotArea dataOnly="0" labelOnly="1" outline="0" fieldPosition="0">
        <references count="7">
          <reference field="0" count="1" selected="0">
            <x v="13"/>
          </reference>
          <reference field="5" count="2">
            <x v="7148"/>
            <x v="76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366">
      <pivotArea dataOnly="0" labelOnly="1" outline="0" fieldPosition="0">
        <references count="7">
          <reference field="0" count="1" selected="0">
            <x v="13"/>
          </reference>
          <reference field="5" count="2">
            <x v="4637"/>
            <x v="75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65">
      <pivotArea dataOnly="0" labelOnly="1" outline="0" fieldPosition="0">
        <references count="7">
          <reference field="0" count="1" selected="0">
            <x v="13"/>
          </reference>
          <reference field="5" count="1">
            <x v="7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364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63">
      <pivotArea dataOnly="0" labelOnly="1" outline="0" fieldPosition="0">
        <references count="7">
          <reference field="0" count="1" selected="0">
            <x v="13"/>
          </reference>
          <reference field="5" count="2">
            <x v="2593"/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62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361">
      <pivotArea dataOnly="0" labelOnly="1" outline="0" fieldPosition="0">
        <references count="7">
          <reference field="0" count="1" selected="0">
            <x v="14"/>
          </reference>
          <reference field="5" count="1">
            <x v="7695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60">
      <pivotArea dataOnly="0" labelOnly="1" outline="0" fieldPosition="0">
        <references count="7">
          <reference field="0" count="1" selected="0">
            <x v="14"/>
          </reference>
          <reference field="5" count="1">
            <x v="554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359">
      <pivotArea dataOnly="0" labelOnly="1" outline="0" fieldPosition="0">
        <references count="7">
          <reference field="0" count="1" selected="0">
            <x v="14"/>
          </reference>
          <reference field="5" count="1">
            <x v="755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58">
      <pivotArea dataOnly="0" labelOnly="1" outline="0" fieldPosition="0">
        <references count="7">
          <reference field="0" count="1" selected="0">
            <x v="14"/>
          </reference>
          <reference field="5" count="1">
            <x v="769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57">
      <pivotArea dataOnly="0" labelOnly="1" outline="0" fieldPosition="0">
        <references count="7">
          <reference field="0" count="1" selected="0">
            <x v="14"/>
          </reference>
          <reference field="5" count="1">
            <x v="7609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356">
      <pivotArea dataOnly="0" labelOnly="1" outline="0" fieldPosition="0">
        <references count="7">
          <reference field="0" count="1" selected="0">
            <x v="14"/>
          </reference>
          <reference field="5" count="1">
            <x v="7612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355">
      <pivotArea dataOnly="0" labelOnly="1" outline="0" fieldPosition="0">
        <references count="7">
          <reference field="0" count="1" selected="0">
            <x v="14"/>
          </reference>
          <reference field="5" count="1">
            <x v="768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54">
      <pivotArea dataOnly="0" labelOnly="1" outline="0" fieldPosition="0">
        <references count="7">
          <reference field="0" count="1" selected="0">
            <x v="14"/>
          </reference>
          <reference field="5" count="1">
            <x v="7693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353">
      <pivotArea dataOnly="0" labelOnly="1" outline="0" fieldPosition="0">
        <references count="7">
          <reference field="0" count="1" selected="0">
            <x v="14"/>
          </reference>
          <reference field="5" count="1">
            <x v="7692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8352">
      <pivotArea dataOnly="0" labelOnly="1" outline="0" fieldPosition="0">
        <references count="7">
          <reference field="0" count="1" selected="0">
            <x v="14"/>
          </reference>
          <reference field="5" count="1">
            <x v="3988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351">
      <pivotArea dataOnly="0" labelOnly="1" outline="0" fieldPosition="0">
        <references count="7">
          <reference field="0" count="1" selected="0">
            <x v="14"/>
          </reference>
          <reference field="5" count="1">
            <x v="3475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50">
      <pivotArea dataOnly="0" labelOnly="1" outline="0" fieldPosition="0">
        <references count="7">
          <reference field="0" count="1" selected="0">
            <x v="14"/>
          </reference>
          <reference field="5" count="2">
            <x v="5943"/>
            <x v="6567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349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348">
      <pivotArea dataOnly="0" labelOnly="1" outline="0" fieldPosition="0">
        <references count="7">
          <reference field="0" count="1" selected="0">
            <x v="14"/>
          </reference>
          <reference field="5" count="1">
            <x v="2353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347">
      <pivotArea dataOnly="0" labelOnly="1" outline="0" fieldPosition="0">
        <references count="7">
          <reference field="0" count="1" selected="0">
            <x v="15"/>
          </reference>
          <reference field="5" count="1">
            <x v="19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346">
      <pivotArea dataOnly="0" labelOnly="1" outline="0" fieldPosition="0">
        <references count="7">
          <reference field="0" count="1" selected="0">
            <x v="15"/>
          </reference>
          <reference field="5" count="1">
            <x v="76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345">
      <pivotArea dataOnly="0" labelOnly="1" outline="0" fieldPosition="0">
        <references count="7">
          <reference field="0" count="1" selected="0">
            <x v="15"/>
          </reference>
          <reference field="5" count="1"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344">
      <pivotArea dataOnly="0" labelOnly="1" outline="0" fieldPosition="0">
        <references count="7">
          <reference field="0" count="1" selected="0">
            <x v="15"/>
          </reference>
          <reference field="5" count="1">
            <x v="769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8343">
      <pivotArea dataOnly="0" labelOnly="1" outline="0" fieldPosition="0">
        <references count="7">
          <reference field="0" count="1" selected="0">
            <x v="15"/>
          </reference>
          <reference field="5" count="1">
            <x v="768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342">
      <pivotArea dataOnly="0" labelOnly="1" outline="0" fieldPosition="0">
        <references count="7">
          <reference field="0" count="1" selected="0">
            <x v="15"/>
          </reference>
          <reference field="5" count="1">
            <x v="313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8341">
      <pivotArea dataOnly="0" labelOnly="1" outline="0" fieldPosition="0">
        <references count="7">
          <reference field="0" count="1" selected="0">
            <x v="15"/>
          </reference>
          <reference field="5" count="1">
            <x v="768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8340">
      <pivotArea dataOnly="0" labelOnly="1" outline="0" fieldPosition="0">
        <references count="7">
          <reference field="0" count="1" selected="0">
            <x v="15"/>
          </reference>
          <reference field="5" count="1">
            <x v="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8339">
      <pivotArea dataOnly="0" labelOnly="1" outline="0" fieldPosition="0">
        <references count="7">
          <reference field="0" count="1" selected="0">
            <x v="15"/>
          </reference>
          <reference field="5" count="1">
            <x v="145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33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7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33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83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3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0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33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4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33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9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3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3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3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4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3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83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3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3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5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31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31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316">
      <pivotArea dataOnly="0" labelOnly="1" outline="0" fieldPosition="0">
        <references count="9">
          <reference field="0" count="1" selected="0">
            <x v="2"/>
          </reference>
          <reference field="3" count="1">
            <x v="7720"/>
          </reference>
          <reference field="5" count="1" selected="0">
            <x v="47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315">
      <pivotArea dataOnly="0" labelOnly="1" outline="0" fieldPosition="0">
        <references count="9">
          <reference field="0" count="1" selected="0">
            <x v="2"/>
          </reference>
          <reference field="3" count="1">
            <x v="7722"/>
          </reference>
          <reference field="5" count="1" selected="0">
            <x v="43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83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13">
      <pivotArea dataOnly="0" labelOnly="1" outline="0" fieldPosition="0">
        <references count="9">
          <reference field="0" count="1" selected="0">
            <x v="2"/>
          </reference>
          <reference field="3" count="1">
            <x v="7719"/>
          </reference>
          <reference field="5" count="1" selected="0">
            <x v="60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12">
      <pivotArea dataOnly="0" labelOnly="1" outline="0" fieldPosition="0">
        <references count="9">
          <reference field="0" count="1" selected="0">
            <x v="7"/>
          </reference>
          <reference field="3" count="1">
            <x v="7333"/>
          </reference>
          <reference field="5" count="1" selected="0">
            <x v="21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31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4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310">
      <pivotArea dataOnly="0" labelOnly="1" outline="0" fieldPosition="0">
        <references count="9">
          <reference field="0" count="1" selected="0">
            <x v="12"/>
          </reference>
          <reference field="3" count="1">
            <x v="7674"/>
          </reference>
          <reference field="5" count="1" selected="0">
            <x v="769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30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3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07">
      <pivotArea dataOnly="0" labelOnly="1" outline="0" fieldPosition="0">
        <references count="9">
          <reference field="0" count="1" selected="0">
            <x v="14"/>
          </reference>
          <reference field="3" count="1">
            <x v="2926"/>
          </reference>
          <reference field="5" count="1" selected="0">
            <x v="55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3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4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04">
      <pivotArea dataOnly="0" labelOnly="1" outline="0" fieldPosition="0">
        <references count="9">
          <reference field="0" count="1" selected="0">
            <x v="14"/>
          </reference>
          <reference field="3" count="1">
            <x v="7618"/>
          </reference>
          <reference field="5" count="1" selected="0">
            <x v="76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303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76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302">
      <pivotArea dataOnly="0" labelOnly="1" outline="0" fieldPosition="0">
        <references count="9">
          <reference field="0" count="1" selected="0">
            <x v="14"/>
          </reference>
          <reference field="3" count="1">
            <x v="1390"/>
          </reference>
          <reference field="5" count="1" selected="0">
            <x v="768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01">
      <pivotArea dataOnly="0" labelOnly="1" outline="0" fieldPosition="0">
        <references count="9">
          <reference field="0" count="1" selected="0">
            <x v="14"/>
          </reference>
          <reference field="3" count="1">
            <x v="7720"/>
          </reference>
          <reference field="5" count="1" selected="0">
            <x v="769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300">
      <pivotArea dataOnly="0" labelOnly="1" outline="0" fieldPosition="0">
        <references count="9">
          <reference field="0" count="1" selected="0">
            <x v="14"/>
          </reference>
          <reference field="3" count="1">
            <x v="7509"/>
          </reference>
          <reference field="5" count="1" selected="0">
            <x v="769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8299">
      <pivotArea dataOnly="0" labelOnly="1" outline="0" fieldPosition="0">
        <references count="9">
          <reference field="0" count="1" selected="0">
            <x v="14"/>
          </reference>
          <reference field="3" count="1">
            <x v="7540"/>
          </reference>
          <reference field="5" count="1" selected="0">
            <x v="398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298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34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97">
      <pivotArea dataOnly="0" labelOnly="1" outline="0" fieldPosition="0">
        <references count="9">
          <reference field="0" count="1" selected="0">
            <x v="14"/>
          </reference>
          <reference field="3" count="1">
            <x v="7710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296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295">
      <pivotArea dataOnly="0" labelOnly="1" outline="0" fieldPosition="0">
        <references count="9">
          <reference field="0" count="1" selected="0">
            <x v="14"/>
          </reference>
          <reference field="3" count="1">
            <x v="7708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294">
      <pivotArea dataOnly="0" labelOnly="1" outline="0" fieldPosition="0">
        <references count="9">
          <reference field="0" count="1" selected="0">
            <x v="14"/>
          </reference>
          <reference field="3" count="1">
            <x v="7721"/>
          </reference>
          <reference field="5" count="1" selected="0">
            <x v="235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293">
      <pivotArea dataOnly="0" labelOnly="1" outline="0" fieldPosition="0">
        <references count="9">
          <reference field="0" count="1" selected="0">
            <x v="15"/>
          </reference>
          <reference field="3" count="1">
            <x v="7616"/>
          </reference>
          <reference field="5" count="1" selected="0">
            <x v="19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292">
      <pivotArea dataOnly="0" labelOnly="1" outline="0" fieldPosition="0">
        <references count="9">
          <reference field="0" count="1" selected="0">
            <x v="15"/>
          </reference>
          <reference field="3" count="1">
            <x v="7706"/>
          </reference>
          <reference field="5" count="1" selected="0">
            <x v="76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291">
      <pivotArea dataOnly="0" labelOnly="1" outline="0" fieldPosition="0">
        <references count="9">
          <reference field="0" count="1" selected="0">
            <x v="15"/>
          </reference>
          <reference field="3" count="1">
            <x v="7717"/>
          </reference>
          <reference field="5" count="1" selected="0">
            <x v="8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829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20"/>
          </reference>
          <reference field="5" count="1" selected="0">
            <x v="47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28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22"/>
          </reference>
          <reference field="5" count="1" selected="0">
            <x v="43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82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8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19"/>
          </reference>
          <reference field="5" count="1" selected="0">
            <x v="60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2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3"/>
          </reference>
          <reference field="5" count="1" selected="0">
            <x v="21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28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28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2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26"/>
          </reference>
          <reference field="5" count="1" selected="0">
            <x v="55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2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8"/>
          </reference>
          <reference field="5" count="1" selected="0">
            <x v="76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2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76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2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90"/>
          </reference>
          <reference field="5" count="1" selected="0">
            <x v="76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9"/>
          </reference>
          <reference field="5" count="1" selected="0">
            <x v="769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82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0"/>
          </reference>
          <reference field="5" count="1" selected="0">
            <x v="39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2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3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0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2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1"/>
          </reference>
          <reference field="5" count="1" selected="0">
            <x v="23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2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6"/>
          </reference>
          <reference field="5" count="1" selected="0">
            <x v="19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2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06"/>
          </reference>
          <reference field="5" count="1" selected="0">
            <x v="76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2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7"/>
          </reference>
          <reference field="5" count="1" selected="0">
            <x v="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8268">
      <pivotArea dataOnly="0" labelOnly="1" outline="0" fieldPosition="0">
        <references count="11">
          <reference field="0" count="1" selected="0">
            <x v="2"/>
          </reference>
          <reference field="1" count="1">
            <x v="7548"/>
          </reference>
          <reference field="3" count="1" selected="0">
            <x v="7720"/>
          </reference>
          <reference field="5" count="1" selected="0">
            <x v="47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267">
      <pivotArea dataOnly="0" labelOnly="1" outline="0" fieldPosition="0">
        <references count="11">
          <reference field="0" count="1" selected="0">
            <x v="2"/>
          </reference>
          <reference field="1" count="1">
            <x v="7547"/>
          </reference>
          <reference field="3" count="1" selected="0">
            <x v="7722"/>
          </reference>
          <reference field="5" count="1" selected="0">
            <x v="43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8266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61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65">
      <pivotArea dataOnly="0" labelOnly="1" outline="0" fieldPosition="0">
        <references count="11">
          <reference field="0" count="1" selected="0">
            <x v="7"/>
          </reference>
          <reference field="1" count="1">
            <x v="7546"/>
          </reference>
          <reference field="3" count="1" selected="0">
            <x v="7333"/>
          </reference>
          <reference field="5" count="1" selected="0">
            <x v="21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264">
      <pivotArea dataOnly="0" labelOnly="1" outline="0" fieldPosition="0">
        <references count="11">
          <reference field="0" count="1" selected="0">
            <x v="12"/>
          </reference>
          <reference field="1" count="1">
            <x v="7458"/>
          </reference>
          <reference field="3" count="1" selected="0">
            <x v="0"/>
          </reference>
          <reference field="5" count="1" selected="0">
            <x v="59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263">
      <pivotArea dataOnly="0" labelOnly="1" outline="0" fieldPosition="0">
        <references count="11">
          <reference field="0" count="1" selected="0">
            <x v="12"/>
          </reference>
          <reference field="1" count="1">
            <x v="7545"/>
          </reference>
          <reference field="3" count="1" selected="0">
            <x v="7674"/>
          </reference>
          <reference field="5" count="1" selected="0">
            <x v="76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262">
      <pivotArea dataOnly="0" labelOnly="1" outline="0" fieldPosition="0">
        <references count="11">
          <reference field="0" count="1" selected="0">
            <x v="13"/>
          </reference>
          <reference field="1" count="1">
            <x v="7446"/>
          </reference>
          <reference field="3" count="1" selected="0">
            <x v="0"/>
          </reference>
          <reference field="5" count="1" selected="0">
            <x v="554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261">
      <pivotArea dataOnly="0" labelOnly="1" outline="0" fieldPosition="0">
        <references count="11">
          <reference field="0" count="1" selected="0">
            <x v="14"/>
          </reference>
          <reference field="1" count="1">
            <x v="7543"/>
          </reference>
          <reference field="3" count="1" selected="0">
            <x v="2926"/>
          </reference>
          <reference field="5" count="1" selected="0">
            <x v="55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260">
      <pivotArea dataOnly="0" labelOnly="1" outline="0" fieldPosition="0">
        <references count="11">
          <reference field="0" count="1" selected="0">
            <x v="14"/>
          </reference>
          <reference field="1" count="1">
            <x v="7539"/>
          </reference>
          <reference field="3" count="1" selected="0">
            <x v="7618"/>
          </reference>
          <reference field="5" count="1" selected="0">
            <x v="760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259">
      <pivotArea dataOnly="0" labelOnly="1" outline="0" fieldPosition="0">
        <references count="11">
          <reference field="0" count="1" selected="0">
            <x v="14"/>
          </reference>
          <reference field="1" count="1">
            <x v="7540"/>
          </reference>
          <reference field="3" count="1" selected="0">
            <x v="1390"/>
          </reference>
          <reference field="5" count="1" selected="0">
            <x v="76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58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708"/>
          </reference>
          <reference field="5" count="1" selected="0">
            <x v="4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257">
      <pivotArea dataOnly="0" labelOnly="1" outline="0" fieldPosition="0">
        <references count="11">
          <reference field="0" count="1" selected="0">
            <x v="14"/>
          </reference>
          <reference field="1" count="1">
            <x v="7544"/>
          </reference>
          <reference field="3" count="1" selected="0">
            <x v="7721"/>
          </reference>
          <reference field="5" count="1" selected="0">
            <x v="23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256">
      <pivotArea dataOnly="0" labelOnly="1" outline="0" fieldPosition="0">
        <references count="11">
          <reference field="0" count="1" selected="0">
            <x v="15"/>
          </reference>
          <reference field="1" count="1">
            <x v="7522"/>
          </reference>
          <reference field="3" count="1" selected="0">
            <x v="7706"/>
          </reference>
          <reference field="5" count="1" selected="0">
            <x v="762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255">
      <pivotArea dataOnly="0" labelOnly="1" outline="0" fieldPosition="0">
        <references count="11">
          <reference field="0" count="1" selected="0">
            <x v="15"/>
          </reference>
          <reference field="1" count="1">
            <x v="7521"/>
          </reference>
          <reference field="3" count="1" selected="0">
            <x v="0"/>
          </reference>
          <reference field="5" count="1" selected="0">
            <x v="14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254">
      <pivotArea outline="0" collapsedLevelsAreSubtotals="1" fieldPosition="0"/>
    </format>
    <format dxfId="8253">
      <pivotArea dataOnly="0" labelOnly="1" outline="0" axis="axisValues" fieldPosition="0"/>
    </format>
    <format dxfId="8252">
      <pivotArea dataOnly="0" outline="0" fieldPosition="0">
        <references count="1">
          <reference field="12" count="0" defaultSubtotal="1"/>
        </references>
      </pivotArea>
    </format>
    <format dxfId="8251">
      <pivotArea outline="0" collapsedLevelsAreSubtotals="1" fieldPosition="0"/>
    </format>
    <format dxfId="8250">
      <pivotArea dataOnly="0" labelOnly="1" outline="0" axis="axisValues" fieldPosition="0"/>
    </format>
    <format dxfId="8249">
      <pivotArea outline="0" collapsedLevelsAreSubtotals="1" fieldPosition="0"/>
    </format>
    <format dxfId="8248">
      <pivotArea dataOnly="0" labelOnly="1" outline="0" axis="axisValues" fieldPosition="0"/>
    </format>
    <format dxfId="8247">
      <pivotArea dataOnly="0" labelOnly="1" outline="0" axis="axisValues" fieldPosition="0"/>
    </format>
    <format dxfId="8246">
      <pivotArea outline="0" collapsedLevelsAreSubtotals="1" fieldPosition="0"/>
    </format>
    <format dxfId="8245">
      <pivotArea field="12" type="button" dataOnly="0" labelOnly="1" outline="0" axis="axisRow" fieldPosition="2"/>
    </format>
    <format dxfId="8244">
      <pivotArea field="10" type="button" dataOnly="0" labelOnly="1" outline="0" axis="axisRow" fieldPosition="3"/>
    </format>
    <format dxfId="8243">
      <pivotArea field="16" type="button" dataOnly="0" labelOnly="1" outline="0" axis="axisRow" fieldPosition="4"/>
    </format>
    <format dxfId="8242">
      <pivotArea field="18" type="button" dataOnly="0" labelOnly="1" outline="0" axis="axisRow" fieldPosition="5"/>
    </format>
    <format dxfId="8241">
      <pivotArea field="5" type="button" dataOnly="0" labelOnly="1" outline="0" axis="axisRow" fieldPosition="6"/>
    </format>
    <format dxfId="8240">
      <pivotArea field="9" type="button" dataOnly="0" labelOnly="1" outline="0" axis="axisRow" fieldPosition="7"/>
    </format>
    <format dxfId="8239">
      <pivotArea field="3" type="button" dataOnly="0" labelOnly="1" outline="0" axis="axisRow" fieldPosition="8"/>
    </format>
    <format dxfId="8238">
      <pivotArea field="7" type="button" dataOnly="0" labelOnly="1" outline="0" axis="axisRow" fieldPosition="9"/>
    </format>
    <format dxfId="8237">
      <pivotArea field="1" type="button" dataOnly="0" labelOnly="1" outline="0" axis="axisRow" fieldPosition="10"/>
    </format>
    <format dxfId="8236">
      <pivotArea dataOnly="0" labelOnly="1" outline="0" axis="axisValues" fieldPosition="0"/>
    </format>
    <format dxfId="8235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823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8233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8232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823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3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2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2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2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2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2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822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822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2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822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21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21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1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1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1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1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21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2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21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21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20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2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82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20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2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82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20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2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20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20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19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9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9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9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7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817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817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42"/>
            <x v="63"/>
          </reference>
        </references>
      </pivotArea>
    </format>
    <format dxfId="81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17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81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81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81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1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1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1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8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9"/>
          </reference>
        </references>
      </pivotArea>
    </format>
    <format dxfId="8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8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8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81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81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1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81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9"/>
            <x v="41"/>
            <x v="58"/>
          </reference>
        </references>
      </pivotArea>
    </format>
    <format dxfId="81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3"/>
          </reference>
        </references>
      </pivotArea>
    </format>
    <format dxfId="8148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147">
      <pivotArea dataOnly="0" labelOnly="1" outline="0" fieldPosition="0">
        <references count="7">
          <reference field="0" count="1" selected="0">
            <x v="0"/>
          </reference>
          <reference field="5" count="2">
            <x v="2015"/>
            <x v="566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146">
      <pivotArea dataOnly="0" labelOnly="1" outline="0" fieldPosition="0">
        <references count="7">
          <reference field="0" count="1" selected="0">
            <x v="0"/>
          </reference>
          <reference field="5" count="1">
            <x v="596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145">
      <pivotArea dataOnly="0" labelOnly="1" outline="0" fieldPosition="0">
        <references count="7">
          <reference field="0" count="1" selected="0">
            <x v="0"/>
          </reference>
          <reference field="5" count="1">
            <x v="200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144">
      <pivotArea dataOnly="0" labelOnly="1" outline="0" fieldPosition="0">
        <references count="7">
          <reference field="0" count="1" selected="0">
            <x v="7"/>
          </reference>
          <reference field="5" count="1">
            <x v="213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143">
      <pivotArea dataOnly="0" labelOnly="1" outline="0" fieldPosition="0">
        <references count="7">
          <reference field="0" count="1" selected="0">
            <x v="12"/>
          </reference>
          <reference field="5" count="2">
            <x v="7702"/>
            <x v="77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42">
      <pivotArea dataOnly="0" labelOnly="1" outline="0" fieldPosition="0">
        <references count="7">
          <reference field="0" count="1" selected="0">
            <x v="12"/>
          </reference>
          <reference field="5" count="1">
            <x v="665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141">
      <pivotArea dataOnly="0" labelOnly="1" outline="0" fieldPosition="0">
        <references count="7">
          <reference field="0" count="1" selected="0">
            <x v="13"/>
          </reference>
          <reference field="5" count="2">
            <x v="7148"/>
            <x v="76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140">
      <pivotArea dataOnly="0" labelOnly="1" outline="0" fieldPosition="0">
        <references count="7">
          <reference field="0" count="1" selected="0">
            <x v="13"/>
          </reference>
          <reference field="5" count="2">
            <x v="4637"/>
            <x v="75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39">
      <pivotArea dataOnly="0" labelOnly="1" outline="0" fieldPosition="0">
        <references count="7">
          <reference field="0" count="1" selected="0">
            <x v="13"/>
          </reference>
          <reference field="5" count="1">
            <x v="7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138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37">
      <pivotArea dataOnly="0" labelOnly="1" outline="0" fieldPosition="0">
        <references count="7">
          <reference field="0" count="1" selected="0">
            <x v="13"/>
          </reference>
          <reference field="5" count="2">
            <x v="2593"/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36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135">
      <pivotArea dataOnly="0" labelOnly="1" outline="0" fieldPosition="0">
        <references count="7">
          <reference field="0" count="1" selected="0">
            <x v="14"/>
          </reference>
          <reference field="5" count="1">
            <x v="769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34">
      <pivotArea dataOnly="0" labelOnly="1" outline="0" fieldPosition="0">
        <references count="7">
          <reference field="0" count="1" selected="0">
            <x v="14"/>
          </reference>
          <reference field="5" count="1">
            <x v="433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33">
      <pivotArea dataOnly="0" labelOnly="1" outline="0" fieldPosition="0">
        <references count="7">
          <reference field="0" count="1" selected="0">
            <x v="14"/>
          </reference>
          <reference field="5" count="1">
            <x v="343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132">
      <pivotArea dataOnly="0" labelOnly="1" outline="0" fieldPosition="0">
        <references count="7">
          <reference field="0" count="1" selected="0">
            <x v="14"/>
          </reference>
          <reference field="5" count="1">
            <x v="770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131">
      <pivotArea dataOnly="0" labelOnly="1" outline="0" fieldPosition="0">
        <references count="7">
          <reference field="0" count="1" selected="0">
            <x v="14"/>
          </reference>
          <reference field="5" count="1">
            <x v="755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30">
      <pivotArea dataOnly="0" labelOnly="1" outline="0" fieldPosition="0">
        <references count="7">
          <reference field="0" count="1" selected="0">
            <x v="14"/>
          </reference>
          <reference field="5" count="1">
            <x v="610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129">
      <pivotArea dataOnly="0" labelOnly="1" outline="0" fieldPosition="0">
        <references count="7">
          <reference field="0" count="1" selected="0">
            <x v="14"/>
          </reference>
          <reference field="5" count="1">
            <x v="3475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28">
      <pivotArea dataOnly="0" labelOnly="1" outline="0" fieldPosition="0">
        <references count="7">
          <reference field="0" count="1" selected="0">
            <x v="14"/>
          </reference>
          <reference field="5" count="2">
            <x v="5943"/>
            <x v="656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127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126">
      <pivotArea dataOnly="0" labelOnly="1" outline="0" fieldPosition="0">
        <references count="7">
          <reference field="0" count="1" selected="0">
            <x v="15"/>
          </reference>
          <reference field="5" count="1">
            <x v="76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125">
      <pivotArea dataOnly="0" labelOnly="1" outline="0" fieldPosition="0">
        <references count="7">
          <reference field="0" count="1" selected="0">
            <x v="15"/>
          </reference>
          <reference field="5" count="1"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124">
      <pivotArea dataOnly="0" labelOnly="1" outline="0" fieldPosition="0">
        <references count="7">
          <reference field="0" count="1" selected="0">
            <x v="15"/>
          </reference>
          <reference field="5" count="1">
            <x v="770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1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122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1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12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0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1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0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1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3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3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1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1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1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1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107">
      <pivotArea dataOnly="0" labelOnly="1" outline="0" fieldPosition="0">
        <references count="9">
          <reference field="0" count="1" selected="0">
            <x v="0"/>
          </reference>
          <reference field="3" count="1">
            <x v="7224"/>
          </reference>
          <reference field="5" count="1" selected="0">
            <x v="20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106">
      <pivotArea dataOnly="0" labelOnly="1" outline="0" fieldPosition="0">
        <references count="9">
          <reference field="0" count="1" selected="0">
            <x v="0"/>
          </reference>
          <reference field="3" count="1">
            <x v="7225"/>
          </reference>
          <reference field="5" count="1" selected="0">
            <x v="56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105">
      <pivotArea dataOnly="0" labelOnly="1" outline="0" fieldPosition="0">
        <references count="9">
          <reference field="0" count="1" selected="0">
            <x v="0"/>
          </reference>
          <reference field="3" count="1">
            <x v="7581"/>
          </reference>
          <reference field="5" count="1" selected="0">
            <x v="59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104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103">
      <pivotArea dataOnly="0" labelOnly="1" outline="0" fieldPosition="0">
        <references count="9">
          <reference field="0" count="1" selected="0">
            <x v="7"/>
          </reference>
          <reference field="3" count="1">
            <x v="7333"/>
          </reference>
          <reference field="5" count="1" selected="0">
            <x v="21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10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0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1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99">
      <pivotArea dataOnly="0" labelOnly="1" outline="0" fieldPosition="0">
        <references count="9">
          <reference field="0" count="1" selected="0">
            <x v="14"/>
          </reference>
          <reference field="3" count="1">
            <x v="7366"/>
          </reference>
          <reference field="5" count="1" selected="0">
            <x v="433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98">
      <pivotArea dataOnly="0" labelOnly="1" outline="0" fieldPosition="0">
        <references count="9">
          <reference field="0" count="1" selected="0">
            <x v="14"/>
          </reference>
          <reference field="3" count="1">
            <x v="7517"/>
          </reference>
          <reference field="5" count="1" selected="0">
            <x v="343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097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770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95">
      <pivotArea dataOnly="0" labelOnly="1" outline="0" fieldPosition="0">
        <references count="9">
          <reference field="0" count="1" selected="0">
            <x v="14"/>
          </reference>
          <reference field="3" count="1">
            <x v="7226"/>
          </reference>
          <reference field="5" count="1" selected="0">
            <x v="61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094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34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93">
      <pivotArea dataOnly="0" labelOnly="1" outline="0" fieldPosition="0">
        <references count="9">
          <reference field="0" count="1" selected="0">
            <x v="14"/>
          </reference>
          <reference field="3" count="1">
            <x v="7710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092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091">
      <pivotArea dataOnly="0" labelOnly="1" outline="0" fieldPosition="0">
        <references count="9">
          <reference field="0" count="1" selected="0">
            <x v="14"/>
          </reference>
          <reference field="3" count="1">
            <x v="7708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090">
      <pivotArea dataOnly="0" labelOnly="1" outline="0" fieldPosition="0">
        <references count="9">
          <reference field="0" count="1" selected="0">
            <x v="15"/>
          </reference>
          <reference field="3" count="1">
            <x v="7706"/>
          </reference>
          <reference field="5" count="1" selected="0">
            <x v="76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08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224"/>
          </reference>
          <reference field="5" count="1" selected="0">
            <x v="20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8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0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3"/>
          </reference>
          <reference field="5" count="1" selected="0">
            <x v="21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08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8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0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6"/>
          </reference>
          <reference field="5" count="1" selected="0">
            <x v="43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7"/>
          </reference>
          <reference field="5" count="1" selected="0">
            <x v="34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0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6"/>
          </reference>
          <reference field="5" count="1" selected="0">
            <x v="61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0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3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0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0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06"/>
          </reference>
          <reference field="5" count="1" selected="0">
            <x v="76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75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61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074">
      <pivotArea dataOnly="0" labelOnly="1" outline="0" fieldPosition="0">
        <references count="11">
          <reference field="0" count="1" selected="0">
            <x v="0"/>
          </reference>
          <reference field="1" count="1">
            <x v="6258"/>
          </reference>
          <reference field="3" count="1" selected="0">
            <x v="0"/>
          </reference>
          <reference field="5" count="1" selected="0">
            <x v="200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073">
      <pivotArea dataOnly="0" labelOnly="1" outline="0" fieldPosition="0">
        <references count="11">
          <reference field="0" count="1" selected="0">
            <x v="7"/>
          </reference>
          <reference field="1" count="1">
            <x v="7546"/>
          </reference>
          <reference field="3" count="1" selected="0">
            <x v="7333"/>
          </reference>
          <reference field="5" count="1" selected="0">
            <x v="21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072">
      <pivotArea dataOnly="0" labelOnly="1" outline="0" fieldPosition="0">
        <references count="11">
          <reference field="0" count="1" selected="0">
            <x v="12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770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71">
      <pivotArea dataOnly="0" labelOnly="1" outline="0" fieldPosition="0">
        <references count="11">
          <reference field="0" count="1" selected="0">
            <x v="12"/>
          </reference>
          <reference field="1" count="1">
            <x v="7558"/>
          </reference>
          <reference field="3" count="1" selected="0">
            <x v="0"/>
          </reference>
          <reference field="5" count="1" selected="0">
            <x v="770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70">
      <pivotArea dataOnly="0" labelOnly="1" outline="0" fieldPosition="0">
        <references count="11">
          <reference field="0" count="1" selected="0">
            <x v="13"/>
          </reference>
          <reference field="1" count="1">
            <x v="7446"/>
          </reference>
          <reference field="3" count="1" selected="0">
            <x v="0"/>
          </reference>
          <reference field="5" count="1" selected="0">
            <x v="554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069">
      <pivotArea dataOnly="0" labelOnly="1" outline="0" fieldPosition="0">
        <references count="11">
          <reference field="0" count="1" selected="0">
            <x v="14"/>
          </reference>
          <reference field="1" count="1">
            <x v="7554"/>
          </reference>
          <reference field="3" count="1" selected="0">
            <x v="7716"/>
          </reference>
          <reference field="5" count="1" selected="0">
            <x v="770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68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708"/>
          </reference>
          <reference field="5" count="1" selected="0">
            <x v="4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067">
      <pivotArea dataOnly="0" labelOnly="1" outline="0" fieldPosition="0">
        <references count="11">
          <reference field="0" count="1" selected="0">
            <x v="15"/>
          </reference>
          <reference field="1" count="1">
            <x v="7522"/>
          </reference>
          <reference field="3" count="1" selected="0">
            <x v="7706"/>
          </reference>
          <reference field="5" count="1" selected="0">
            <x v="762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66">
      <pivotArea outline="0" collapsedLevelsAreSubtotals="1" fieldPosition="0"/>
    </format>
    <format dxfId="8065">
      <pivotArea dataOnly="0" labelOnly="1" outline="0" axis="axisValues" fieldPosition="0"/>
    </format>
    <format dxfId="8064">
      <pivotArea dataOnly="0" outline="0" fieldPosition="0">
        <references count="1">
          <reference field="12" count="0" defaultSubtotal="1"/>
        </references>
      </pivotArea>
    </format>
    <format dxfId="8063">
      <pivotArea outline="0" collapsedLevelsAreSubtotals="1" fieldPosition="0"/>
    </format>
    <format dxfId="8062">
      <pivotArea dataOnly="0" labelOnly="1" outline="0" axis="axisValues" fieldPosition="0"/>
    </format>
    <format dxfId="8061">
      <pivotArea outline="0" collapsedLevelsAreSubtotals="1" fieldPosition="0"/>
    </format>
    <format dxfId="8060">
      <pivotArea dataOnly="0" labelOnly="1" outline="0" axis="axisValues" fieldPosition="0"/>
    </format>
    <format dxfId="8059">
      <pivotArea dataOnly="0" labelOnly="1" outline="0" axis="axisValues" fieldPosition="0"/>
    </format>
    <format dxfId="8058">
      <pivotArea outline="0" collapsedLevelsAreSubtotals="1" fieldPosition="0"/>
    </format>
    <format dxfId="8057">
      <pivotArea field="12" type="button" dataOnly="0" labelOnly="1" outline="0" axis="axisRow" fieldPosition="2"/>
    </format>
    <format dxfId="8056">
      <pivotArea field="10" type="button" dataOnly="0" labelOnly="1" outline="0" axis="axisRow" fieldPosition="3"/>
    </format>
    <format dxfId="8055">
      <pivotArea field="16" type="button" dataOnly="0" labelOnly="1" outline="0" axis="axisRow" fieldPosition="4"/>
    </format>
    <format dxfId="8054">
      <pivotArea field="18" type="button" dataOnly="0" labelOnly="1" outline="0" axis="axisRow" fieldPosition="5"/>
    </format>
    <format dxfId="8053">
      <pivotArea field="5" type="button" dataOnly="0" labelOnly="1" outline="0" axis="axisRow" fieldPosition="6"/>
    </format>
    <format dxfId="8052">
      <pivotArea field="9" type="button" dataOnly="0" labelOnly="1" outline="0" axis="axisRow" fieldPosition="7"/>
    </format>
    <format dxfId="8051">
      <pivotArea field="3" type="button" dataOnly="0" labelOnly="1" outline="0" axis="axisRow" fieldPosition="8"/>
    </format>
    <format dxfId="8050">
      <pivotArea field="7" type="button" dataOnly="0" labelOnly="1" outline="0" axis="axisRow" fieldPosition="9"/>
    </format>
    <format dxfId="8049">
      <pivotArea field="1" type="button" dataOnly="0" labelOnly="1" outline="0" axis="axisRow" fieldPosition="10"/>
    </format>
    <format dxfId="8048">
      <pivotArea dataOnly="0" labelOnly="1" outline="0" axis="axisValues" fieldPosition="0"/>
    </format>
    <format dxfId="8047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804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8045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8044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804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4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41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8040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803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3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803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03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03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3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3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0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03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0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02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802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0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0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0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802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02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0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02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801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01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01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0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1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9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9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9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9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79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79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9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9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9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7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7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7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2"/>
          </reference>
        </references>
      </pivotArea>
    </format>
    <format dxfId="7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5"/>
          </reference>
        </references>
      </pivotArea>
    </format>
    <format dxfId="7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79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79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79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9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9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79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9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9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9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9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6"/>
            <x v="37"/>
            <x v="39"/>
            <x v="41"/>
            <x v="58"/>
            <x v="130"/>
          </reference>
        </references>
      </pivotArea>
    </format>
    <format dxfId="79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8"/>
          </reference>
        </references>
      </pivotArea>
    </format>
    <format dxfId="79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7964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63">
      <pivotArea dataOnly="0" labelOnly="1" outline="0" fieldPosition="0">
        <references count="7">
          <reference field="0" count="1" selected="0">
            <x v="7"/>
          </reference>
          <reference field="5" count="1">
            <x v="7593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962">
      <pivotArea dataOnly="0" labelOnly="1" outline="0" fieldPosition="0">
        <references count="7">
          <reference field="0" count="1" selected="0">
            <x v="7"/>
          </reference>
          <reference field="5" count="1">
            <x v="213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961">
      <pivotArea dataOnly="0" labelOnly="1" outline="0" fieldPosition="0">
        <references count="7">
          <reference field="0" count="1" selected="0">
            <x v="13"/>
          </reference>
          <reference field="5" count="2">
            <x v="7148"/>
            <x v="76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960">
      <pivotArea dataOnly="0" labelOnly="1" outline="0" fieldPosition="0">
        <references count="7">
          <reference field="0" count="1" selected="0">
            <x v="13"/>
          </reference>
          <reference field="5" count="2">
            <x v="4637"/>
            <x v="75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59">
      <pivotArea dataOnly="0" labelOnly="1" outline="0" fieldPosition="0">
        <references count="7">
          <reference field="0" count="1" selected="0">
            <x v="13"/>
          </reference>
          <reference field="5" count="1">
            <x v="7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958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57">
      <pivotArea dataOnly="0" labelOnly="1" outline="0" fieldPosition="0">
        <references count="7">
          <reference field="0" count="1" selected="0">
            <x v="13"/>
          </reference>
          <reference field="5" count="2">
            <x v="2593"/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56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955">
      <pivotArea dataOnly="0" labelOnly="1" outline="0" fieldPosition="0">
        <references count="7">
          <reference field="0" count="1" selected="0">
            <x v="14"/>
          </reference>
          <reference field="5" count="1">
            <x v="769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54">
      <pivotArea dataOnly="0" labelOnly="1" outline="0" fieldPosition="0">
        <references count="7">
          <reference field="0" count="1" selected="0">
            <x v="14"/>
          </reference>
          <reference field="5" count="1">
            <x v="272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953">
      <pivotArea dataOnly="0" labelOnly="1" outline="0" fieldPosition="0">
        <references count="7">
          <reference field="0" count="1" selected="0">
            <x v="14"/>
          </reference>
          <reference field="5" count="1">
            <x v="7553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952">
      <pivotArea dataOnly="0" labelOnly="1" outline="0" fieldPosition="0">
        <references count="7">
          <reference field="0" count="1" selected="0">
            <x v="14"/>
          </reference>
          <reference field="5" count="1">
            <x v="4335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7951">
      <pivotArea dataOnly="0" labelOnly="1" outline="0" fieldPosition="0">
        <references count="7">
          <reference field="0" count="1" selected="0">
            <x v="14"/>
          </reference>
          <reference field="5" count="1">
            <x v="3475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50">
      <pivotArea dataOnly="0" labelOnly="1" outline="0" fieldPosition="0">
        <references count="7">
          <reference field="0" count="1" selected="0">
            <x v="14"/>
          </reference>
          <reference field="5" count="1">
            <x v="5082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949">
      <pivotArea dataOnly="0" labelOnly="1" outline="0" fieldPosition="0">
        <references count="7">
          <reference field="0" count="1" selected="0">
            <x v="14"/>
          </reference>
          <reference field="5" count="1">
            <x v="7685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48">
      <pivotArea dataOnly="0" labelOnly="1" outline="0" fieldPosition="0">
        <references count="7">
          <reference field="0" count="1" selected="0">
            <x v="14"/>
          </reference>
          <reference field="5" count="1">
            <x v="377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7947">
      <pivotArea dataOnly="0" labelOnly="1" outline="0" fieldPosition="0">
        <references count="7">
          <reference field="0" count="1" selected="0">
            <x v="14"/>
          </reference>
          <reference field="5" count="2">
            <x v="5943"/>
            <x v="656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946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945">
      <pivotArea dataOnly="0" labelOnly="1" outline="0" fieldPosition="0">
        <references count="7">
          <reference field="0" count="1" selected="0">
            <x v="14"/>
          </reference>
          <reference field="5" count="1">
            <x v="235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944">
      <pivotArea dataOnly="0" labelOnly="1" outline="0" fieldPosition="0">
        <references count="7">
          <reference field="0" count="1" selected="0">
            <x v="15"/>
          </reference>
          <reference field="5" count="1">
            <x v="19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943">
      <pivotArea dataOnly="0" labelOnly="1" outline="0" fieldPosition="0">
        <references count="7">
          <reference field="0" count="1" selected="0">
            <x v="15"/>
          </reference>
          <reference field="5" count="1">
            <x v="753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942">
      <pivotArea dataOnly="0" labelOnly="1" outline="0" fieldPosition="0">
        <references count="7">
          <reference field="0" count="1" selected="0">
            <x v="15"/>
          </reference>
          <reference field="5" count="1">
            <x v="76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41">
      <pivotArea dataOnly="0" labelOnly="1" outline="0" fieldPosition="0">
        <references count="7">
          <reference field="0" count="1" selected="0">
            <x v="15"/>
          </reference>
          <reference field="5" count="1"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940">
      <pivotArea dataOnly="0" labelOnly="1" outline="0" fieldPosition="0">
        <references count="7">
          <reference field="0" count="1" selected="0">
            <x v="15"/>
          </reference>
          <reference field="5" count="1">
            <x v="38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7939">
      <pivotArea dataOnly="0" labelOnly="1" outline="0" fieldPosition="0">
        <references count="7">
          <reference field="0" count="1" selected="0">
            <x v="15"/>
          </reference>
          <reference field="5" count="1">
            <x v="111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7938">
      <pivotArea dataOnly="0" labelOnly="1" outline="0" fieldPosition="0">
        <references count="7">
          <reference field="0" count="1" selected="0">
            <x v="15"/>
          </reference>
          <reference field="5" count="1">
            <x v="77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9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9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93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9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9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9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9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79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9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5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9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9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9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10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79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19">
      <pivotArea dataOnly="0" labelOnly="1" outline="0" fieldPosition="0">
        <references count="9">
          <reference field="0" count="1" selected="0">
            <x v="7"/>
          </reference>
          <reference field="3" count="1">
            <x v="7586"/>
          </reference>
          <reference field="5" count="1" selected="0">
            <x v="759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918">
      <pivotArea dataOnly="0" labelOnly="1" outline="0" fieldPosition="0">
        <references count="9">
          <reference field="0" count="1" selected="0">
            <x v="7"/>
          </reference>
          <reference field="3" count="1">
            <x v="7333"/>
          </reference>
          <reference field="5" count="1" selected="0">
            <x v="21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91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9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15">
      <pivotArea dataOnly="0" labelOnly="1" outline="0" fieldPosition="0">
        <references count="9">
          <reference field="0" count="1" selected="0">
            <x v="14"/>
          </reference>
          <reference field="3" count="1">
            <x v="7731"/>
          </reference>
          <reference field="5" count="1" selected="0">
            <x v="27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9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913">
      <pivotArea dataOnly="0" labelOnly="1" outline="0" fieldPosition="0">
        <references count="9">
          <reference field="0" count="1" selected="0">
            <x v="14"/>
          </reference>
          <reference field="3" count="1">
            <x v="7366"/>
          </reference>
          <reference field="5" count="1" selected="0">
            <x v="433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7912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34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11">
      <pivotArea dataOnly="0" labelOnly="1" outline="0" fieldPosition="0">
        <references count="9">
          <reference field="0" count="1" selected="0">
            <x v="14"/>
          </reference>
          <reference field="3" count="1">
            <x v="1390"/>
          </reference>
          <reference field="5" count="1" selected="0">
            <x v="768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10">
      <pivotArea dataOnly="0" labelOnly="1" outline="0" fieldPosition="0">
        <references count="9">
          <reference field="0" count="1" selected="0">
            <x v="14"/>
          </reference>
          <reference field="3" count="1">
            <x v="7730"/>
          </reference>
          <reference field="5" count="1" selected="0">
            <x v="377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7909">
      <pivotArea dataOnly="0" labelOnly="1" outline="0" fieldPosition="0">
        <references count="9">
          <reference field="0" count="1" selected="0">
            <x v="14"/>
          </reference>
          <reference field="3" count="1">
            <x v="7710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908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907">
      <pivotArea dataOnly="0" labelOnly="1" outline="0" fieldPosition="0">
        <references count="9">
          <reference field="0" count="1" selected="0">
            <x v="14"/>
          </reference>
          <reference field="3" count="1">
            <x v="7708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906">
      <pivotArea dataOnly="0" labelOnly="1" outline="0" fieldPosition="0">
        <references count="9">
          <reference field="0" count="1" selected="0">
            <x v="14"/>
          </reference>
          <reference field="3" count="1">
            <x v="7732"/>
          </reference>
          <reference field="5" count="1" selected="0">
            <x v="235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905">
      <pivotArea dataOnly="0" labelOnly="1" outline="0" fieldPosition="0">
        <references count="9">
          <reference field="0" count="1" selected="0">
            <x v="15"/>
          </reference>
          <reference field="3" count="1">
            <x v="7616"/>
          </reference>
          <reference field="5" count="1" selected="0">
            <x v="19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904">
      <pivotArea dataOnly="0" labelOnly="1" outline="0" fieldPosition="0">
        <references count="9">
          <reference field="0" count="1" selected="0">
            <x v="15"/>
          </reference>
          <reference field="3" count="1">
            <x v="7729"/>
          </reference>
          <reference field="5" count="1" selected="0">
            <x v="753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903">
      <pivotArea dataOnly="0" labelOnly="1" outline="0" fieldPosition="0">
        <references count="9">
          <reference field="0" count="1" selected="0">
            <x v="15"/>
          </reference>
          <reference field="3" count="1">
            <x v="7706"/>
          </reference>
          <reference field="5" count="1" selected="0">
            <x v="76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02">
      <pivotArea dataOnly="0" labelOnly="1" outline="0" fieldPosition="0">
        <references count="9">
          <reference field="0" count="1" selected="0">
            <x v="15"/>
          </reference>
          <reference field="3" count="1">
            <x v="7728"/>
          </reference>
          <reference field="5" count="1" selected="0">
            <x v="38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7901">
      <pivotArea dataOnly="0" labelOnly="1" outline="0" fieldPosition="0">
        <references count="9">
          <reference field="0" count="1" selected="0">
            <x v="15"/>
          </reference>
          <reference field="3" count="1">
            <x v="7727"/>
          </reference>
          <reference field="5" count="1" selected="0">
            <x v="111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790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0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8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86"/>
          </reference>
          <reference field="5" count="1" selected="0">
            <x v="759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8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3"/>
          </reference>
          <reference field="5" count="1" selected="0">
            <x v="21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89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8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1"/>
          </reference>
          <reference field="5" count="1" selected="0">
            <x v="27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8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8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6"/>
          </reference>
          <reference field="5" count="1" selected="0">
            <x v="43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78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3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90"/>
          </reference>
          <reference field="5" count="1" selected="0">
            <x v="76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0"/>
          </reference>
          <reference field="5" count="1" selected="0">
            <x v="37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78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0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8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2"/>
          </reference>
          <reference field="5" count="1" selected="0">
            <x v="23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8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6"/>
          </reference>
          <reference field="5" count="1" selected="0">
            <x v="19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8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29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8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28"/>
          </reference>
          <reference field="5" count="1" selected="0">
            <x v="38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78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882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61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81">
      <pivotArea dataOnly="0" labelOnly="1" outline="0" fieldPosition="0">
        <references count="11">
          <reference field="0" count="1" selected="0">
            <x v="7"/>
          </reference>
          <reference field="1" count="1">
            <x v="7546"/>
          </reference>
          <reference field="3" count="1" selected="0">
            <x v="7333"/>
          </reference>
          <reference field="5" count="1" selected="0">
            <x v="21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880">
      <pivotArea dataOnly="0" labelOnly="1" outline="0" fieldPosition="0">
        <references count="11">
          <reference field="0" count="1" selected="0">
            <x v="13"/>
          </reference>
          <reference field="1" count="1">
            <x v="7446"/>
          </reference>
          <reference field="3" count="1" selected="0">
            <x v="0"/>
          </reference>
          <reference field="5" count="1" selected="0">
            <x v="554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879">
      <pivotArea dataOnly="0" labelOnly="1" outline="0" fieldPosition="0">
        <references count="11">
          <reference field="0" count="1" selected="0">
            <x v="14"/>
          </reference>
          <reference field="1" count="1">
            <x v="7564"/>
          </reference>
          <reference field="3" count="1" selected="0">
            <x v="1390"/>
          </reference>
          <reference field="5" count="1" selected="0">
            <x v="76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78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708"/>
          </reference>
          <reference field="5" count="1" selected="0">
            <x v="4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877">
      <pivotArea dataOnly="0" labelOnly="1" outline="0" fieldPosition="0">
        <references count="11">
          <reference field="0" count="1" selected="0">
            <x v="15"/>
          </reference>
          <reference field="1" count="1">
            <x v="7522"/>
          </reference>
          <reference field="3" count="1" selected="0">
            <x v="7706"/>
          </reference>
          <reference field="5" count="1" selected="0">
            <x v="762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876">
      <pivotArea dataOnly="0" labelOnly="1" outline="0" fieldPosition="0">
        <references count="11">
          <reference field="0" count="1" selected="0">
            <x v="15"/>
          </reference>
          <reference field="1" count="1">
            <x v="7562"/>
          </reference>
          <reference field="3" count="1" selected="0">
            <x v="7728"/>
          </reference>
          <reference field="5" count="1" selected="0">
            <x v="382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7875">
      <pivotArea dataOnly="0" labelOnly="1" outline="0" fieldPosition="0">
        <references count="11">
          <reference field="0" count="1" selected="0">
            <x v="15"/>
          </reference>
          <reference field="1" count="1">
            <x v="7560"/>
          </reference>
          <reference field="3" count="1" selected="0">
            <x v="7727"/>
          </reference>
          <reference field="5" count="1" selected="0">
            <x v="111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7874">
      <pivotArea outline="0" collapsedLevelsAreSubtotals="1" fieldPosition="0"/>
    </format>
    <format dxfId="7873">
      <pivotArea dataOnly="0" labelOnly="1" outline="0" axis="axisValues" fieldPosition="0"/>
    </format>
    <format dxfId="7872">
      <pivotArea dataOnly="0" outline="0" fieldPosition="0">
        <references count="1">
          <reference field="12" count="0" defaultSubtotal="1"/>
        </references>
      </pivotArea>
    </format>
    <format dxfId="7871">
      <pivotArea outline="0" collapsedLevelsAreSubtotals="1" fieldPosition="0"/>
    </format>
    <format dxfId="7870">
      <pivotArea dataOnly="0" labelOnly="1" outline="0" axis="axisValues" fieldPosition="0"/>
    </format>
    <format dxfId="7869">
      <pivotArea outline="0" collapsedLevelsAreSubtotals="1" fieldPosition="0"/>
    </format>
    <format dxfId="7868">
      <pivotArea dataOnly="0" labelOnly="1" outline="0" axis="axisValues" fieldPosition="0"/>
    </format>
    <format dxfId="7867">
      <pivotArea dataOnly="0" labelOnly="1" outline="0" axis="axisValues" fieldPosition="0"/>
    </format>
    <format dxfId="7866">
      <pivotArea outline="0" collapsedLevelsAreSubtotals="1" fieldPosition="0"/>
    </format>
    <format dxfId="7865">
      <pivotArea field="12" type="button" dataOnly="0" labelOnly="1" outline="0" axis="axisRow" fieldPosition="2"/>
    </format>
    <format dxfId="7864">
      <pivotArea field="10" type="button" dataOnly="0" labelOnly="1" outline="0" axis="axisRow" fieldPosition="3"/>
    </format>
    <format dxfId="7863">
      <pivotArea field="16" type="button" dataOnly="0" labelOnly="1" outline="0" axis="axisRow" fieldPosition="4"/>
    </format>
    <format dxfId="7862">
      <pivotArea field="18" type="button" dataOnly="0" labelOnly="1" outline="0" axis="axisRow" fieldPosition="5"/>
    </format>
    <format dxfId="7861">
      <pivotArea field="5" type="button" dataOnly="0" labelOnly="1" outline="0" axis="axisRow" fieldPosition="6"/>
    </format>
    <format dxfId="7860">
      <pivotArea field="9" type="button" dataOnly="0" labelOnly="1" outline="0" axis="axisRow" fieldPosition="7"/>
    </format>
    <format dxfId="7859">
      <pivotArea field="3" type="button" dataOnly="0" labelOnly="1" outline="0" axis="axisRow" fieldPosition="8"/>
    </format>
    <format dxfId="7858">
      <pivotArea field="7" type="button" dataOnly="0" labelOnly="1" outline="0" axis="axisRow" fieldPosition="9"/>
    </format>
    <format dxfId="7857">
      <pivotArea field="1" type="button" dataOnly="0" labelOnly="1" outline="0" axis="axisRow" fieldPosition="10"/>
    </format>
    <format dxfId="7856">
      <pivotArea dataOnly="0" labelOnly="1" outline="0" axis="axisValues" fieldPosition="0"/>
    </format>
    <format dxfId="7855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785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785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85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851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50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84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4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84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4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84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784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784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4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8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784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839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3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3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3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3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8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8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83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8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83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8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8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82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82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8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8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82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82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82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8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8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8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8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80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7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797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779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7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77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77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7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7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7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77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7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7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7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7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7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109"/>
          </reference>
        </references>
      </pivotArea>
    </format>
    <format dxfId="7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7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77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37"/>
            <x v="39"/>
            <x v="41"/>
            <x v="58"/>
          </reference>
        </references>
      </pivotArea>
    </format>
    <format dxfId="77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3"/>
            <x v="44"/>
            <x v="46"/>
            <x v="71"/>
            <x v="73"/>
            <x v="75"/>
          </reference>
        </references>
      </pivotArea>
    </format>
    <format dxfId="77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65"/>
            <x v="70"/>
          </reference>
        </references>
      </pivotArea>
    </format>
    <format dxfId="7770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69">
      <pivotArea dataOnly="0" labelOnly="1" outline="0" fieldPosition="0">
        <references count="7">
          <reference field="0" count="1" selected="0">
            <x v="7"/>
          </reference>
          <reference field="5" count="1">
            <x v="213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768">
      <pivotArea dataOnly="0" labelOnly="1" outline="0" fieldPosition="0">
        <references count="7">
          <reference field="0" count="1" selected="0">
            <x v="13"/>
          </reference>
          <reference field="5" count="2">
            <x v="7148"/>
            <x v="76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767">
      <pivotArea dataOnly="0" labelOnly="1" outline="0" fieldPosition="0">
        <references count="7">
          <reference field="0" count="1" selected="0">
            <x v="13"/>
          </reference>
          <reference field="5" count="2">
            <x v="4637"/>
            <x v="75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66">
      <pivotArea dataOnly="0" labelOnly="1" outline="0" fieldPosition="0">
        <references count="7">
          <reference field="0" count="1" selected="0">
            <x v="13"/>
          </reference>
          <reference field="5" count="1">
            <x v="7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765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64">
      <pivotArea dataOnly="0" labelOnly="1" outline="0" fieldPosition="0">
        <references count="7">
          <reference field="0" count="1" selected="0">
            <x v="13"/>
          </reference>
          <reference field="5" count="2">
            <x v="2593"/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63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762">
      <pivotArea dataOnly="0" labelOnly="1" outline="0" fieldPosition="0">
        <references count="7">
          <reference field="0" count="1" selected="0">
            <x v="14"/>
          </reference>
          <reference field="5" count="1">
            <x v="554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761">
      <pivotArea dataOnly="0" labelOnly="1" outline="0" fieldPosition="0">
        <references count="7">
          <reference field="0" count="1" selected="0">
            <x v="14"/>
          </reference>
          <reference field="5" count="1">
            <x v="272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760">
      <pivotArea dataOnly="0" labelOnly="1" outline="0" fieldPosition="0">
        <references count="7">
          <reference field="0" count="1" selected="0">
            <x v="14"/>
          </reference>
          <reference field="5" count="1">
            <x v="7553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759">
      <pivotArea dataOnly="0" labelOnly="1" outline="0" fieldPosition="0">
        <references count="7">
          <reference field="0" count="1" selected="0">
            <x v="14"/>
          </reference>
          <reference field="5" count="1">
            <x v="171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58">
      <pivotArea dataOnly="0" labelOnly="1" outline="0" fieldPosition="0">
        <references count="7">
          <reference field="0" count="1" selected="0">
            <x v="14"/>
          </reference>
          <reference field="5" count="1">
            <x v="3855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757">
      <pivotArea dataOnly="0" labelOnly="1" outline="0" fieldPosition="0">
        <references count="7">
          <reference field="0" count="1" selected="0">
            <x v="14"/>
          </reference>
          <reference field="5" count="1">
            <x v="7685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56">
      <pivotArea dataOnly="0" labelOnly="1" outline="0" fieldPosition="0">
        <references count="7">
          <reference field="0" count="1" selected="0">
            <x v="14"/>
          </reference>
          <reference field="5" count="1">
            <x v="110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755">
      <pivotArea dataOnly="0" labelOnly="1" outline="0" fieldPosition="0">
        <references count="7">
          <reference field="0" count="1" selected="0">
            <x v="14"/>
          </reference>
          <reference field="5" count="1">
            <x v="145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54">
      <pivotArea dataOnly="0" labelOnly="1" outline="0" fieldPosition="0">
        <references count="7">
          <reference field="0" count="1" selected="0">
            <x v="14"/>
          </reference>
          <reference field="5" count="1">
            <x v="3988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753">
      <pivotArea dataOnly="0" labelOnly="1" outline="0" fieldPosition="0">
        <references count="7">
          <reference field="0" count="1" selected="0">
            <x v="14"/>
          </reference>
          <reference field="5" count="1">
            <x v="3475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52">
      <pivotArea dataOnly="0" labelOnly="1" outline="0" fieldPosition="0">
        <references count="7">
          <reference field="0" count="1" selected="0">
            <x v="14"/>
          </reference>
          <reference field="5" count="2">
            <x v="5943"/>
            <x v="656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751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750">
      <pivotArea dataOnly="0" labelOnly="1" outline="0" fieldPosition="0">
        <references count="7">
          <reference field="0" count="1" selected="0">
            <x v="14"/>
          </reference>
          <reference field="5" count="1">
            <x v="769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749">
      <pivotArea dataOnly="0" labelOnly="1" outline="0" fieldPosition="0">
        <references count="7">
          <reference field="0" count="1" selected="0">
            <x v="15"/>
          </reference>
          <reference field="5" count="2">
            <x v="7539"/>
            <x v="77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748">
      <pivotArea dataOnly="0" labelOnly="1" outline="0" fieldPosition="0">
        <references count="7">
          <reference field="0" count="1" selected="0">
            <x v="15"/>
          </reference>
          <reference field="5" count="1">
            <x v="76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747">
      <pivotArea dataOnly="0" labelOnly="1" outline="0" fieldPosition="0">
        <references count="7">
          <reference field="0" count="1" selected="0">
            <x v="15"/>
          </reference>
          <reference field="5" count="1"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746">
      <pivotArea dataOnly="0" labelOnly="1" outline="0" fieldPosition="0">
        <references count="7">
          <reference field="0" count="1" selected="0">
            <x v="15"/>
          </reference>
          <reference field="5" count="1">
            <x v="768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745">
      <pivotArea dataOnly="0" labelOnly="1" outline="0" fieldPosition="0">
        <references count="7">
          <reference field="0" count="1" selected="0">
            <x v="15"/>
          </reference>
          <reference field="5" count="1">
            <x v="313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744">
      <pivotArea dataOnly="0" labelOnly="1" outline="0" fieldPosition="0">
        <references count="7">
          <reference field="0" count="1" selected="0">
            <x v="15"/>
          </reference>
          <reference field="5" count="1">
            <x v="30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7743">
      <pivotArea dataOnly="0" labelOnly="1" outline="0" fieldPosition="0">
        <references count="7">
          <reference field="0" count="1" selected="0">
            <x v="15"/>
          </reference>
          <reference field="5" count="1">
            <x v="768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7742">
      <pivotArea dataOnly="0" labelOnly="1" outline="0" fieldPosition="0">
        <references count="7">
          <reference field="0" count="1" selected="0">
            <x v="15"/>
          </reference>
          <reference field="5" count="1">
            <x v="770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7741">
      <pivotArea dataOnly="0" labelOnly="1" outline="0" fieldPosition="0">
        <references count="7">
          <reference field="0" count="1" selected="0">
            <x v="15"/>
          </reference>
          <reference field="5" count="1">
            <x v="770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7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7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7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7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7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7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1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7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0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7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5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7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7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7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23">
      <pivotArea dataOnly="0" labelOnly="1" outline="0" fieldPosition="0">
        <references count="9">
          <reference field="0" count="1" selected="0">
            <x v="7"/>
          </reference>
          <reference field="3" count="1">
            <x v="7333"/>
          </reference>
          <reference field="5" count="1" selected="0">
            <x v="21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72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721">
      <pivotArea dataOnly="0" labelOnly="1" outline="0" fieldPosition="0">
        <references count="9">
          <reference field="0" count="1" selected="0">
            <x v="14"/>
          </reference>
          <reference field="3" count="1">
            <x v="2926"/>
          </reference>
          <reference field="5" count="1" selected="0">
            <x v="55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720">
      <pivotArea dataOnly="0" labelOnly="1" outline="0" fieldPosition="0">
        <references count="9">
          <reference field="0" count="1" selected="0">
            <x v="14"/>
          </reference>
          <reference field="3" count="1">
            <x v="7731"/>
          </reference>
          <reference field="5" count="1" selected="0">
            <x v="27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7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718">
      <pivotArea dataOnly="0" labelOnly="1" outline="0" fieldPosition="0">
        <references count="9">
          <reference field="0" count="1" selected="0">
            <x v="14"/>
          </reference>
          <reference field="3" count="1">
            <x v="7735"/>
          </reference>
          <reference field="5" count="1" selected="0">
            <x v="171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17">
      <pivotArea dataOnly="0" labelOnly="1" outline="0" fieldPosition="0">
        <references count="9">
          <reference field="0" count="1" selected="0">
            <x v="14"/>
          </reference>
          <reference field="3" count="1">
            <x v="7529"/>
          </reference>
          <reference field="5" count="1" selected="0">
            <x v="3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716">
      <pivotArea dataOnly="0" labelOnly="1" outline="0" fieldPosition="0">
        <references count="9">
          <reference field="0" count="1" selected="0">
            <x v="14"/>
          </reference>
          <reference field="3" count="1">
            <x v="1390"/>
          </reference>
          <reference field="5" count="1" selected="0">
            <x v="768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15">
      <pivotArea dataOnly="0" labelOnly="1" outline="0" fieldPosition="0">
        <references count="9">
          <reference field="0" count="1" selected="0">
            <x v="14"/>
          </reference>
          <reference field="3" count="1">
            <x v="7734"/>
          </reference>
          <reference field="5" count="1" selected="0">
            <x v="110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714">
      <pivotArea dataOnly="0" labelOnly="1" outline="0" fieldPosition="0">
        <references count="9">
          <reference field="0" count="1" selected="0">
            <x v="14"/>
          </reference>
          <reference field="3" count="1">
            <x v="2923"/>
          </reference>
          <reference field="5" count="1" selected="0">
            <x v="145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13">
      <pivotArea dataOnly="0" labelOnly="1" outline="0" fieldPosition="0">
        <references count="9">
          <reference field="0" count="1" selected="0">
            <x v="14"/>
          </reference>
          <reference field="3" count="1">
            <x v="7540"/>
          </reference>
          <reference field="5" count="1" selected="0">
            <x v="398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712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34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11">
      <pivotArea dataOnly="0" labelOnly="1" outline="0" fieldPosition="0">
        <references count="9">
          <reference field="0" count="1" selected="0">
            <x v="14"/>
          </reference>
          <reference field="3" count="1">
            <x v="7710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710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709">
      <pivotArea dataOnly="0" labelOnly="1" outline="0" fieldPosition="0">
        <references count="9">
          <reference field="0" count="1" selected="0">
            <x v="14"/>
          </reference>
          <reference field="3" count="1">
            <x v="7708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7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707">
      <pivotArea dataOnly="0" labelOnly="1" outline="0" fieldPosition="0">
        <references count="9">
          <reference field="0" count="1" selected="0">
            <x v="15"/>
          </reference>
          <reference field="3" count="1">
            <x v="7729"/>
          </reference>
          <reference field="5" count="1" selected="0">
            <x v="753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706">
      <pivotArea dataOnly="0" labelOnly="1" outline="0" fieldPosition="0">
        <references count="9">
          <reference field="0" count="1" selected="0">
            <x v="15"/>
          </reference>
          <reference field="3" count="1">
            <x v="2923"/>
          </reference>
          <reference field="5" count="1" selected="0">
            <x v="770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705">
      <pivotArea dataOnly="0" labelOnly="1" outline="0" fieldPosition="0">
        <references count="9">
          <reference field="0" count="1" selected="0">
            <x v="15"/>
          </reference>
          <reference field="3" count="1">
            <x v="7706"/>
          </reference>
          <reference field="5" count="1" selected="0">
            <x v="76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70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0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7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3"/>
          </reference>
          <reference field="5" count="1" selected="0">
            <x v="21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70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7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26"/>
          </reference>
          <reference field="5" count="1" selected="0">
            <x v="55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6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1"/>
          </reference>
          <reference field="5" count="1" selected="0">
            <x v="27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6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6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5"/>
          </reference>
          <reference field="5" count="1" selected="0">
            <x v="17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9"/>
          </reference>
          <reference field="5" count="1" selected="0">
            <x v="38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6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90"/>
          </reference>
          <reference field="5" count="1" selected="0">
            <x v="76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4"/>
          </reference>
          <reference field="5" count="1" selected="0">
            <x v="11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6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23"/>
          </reference>
          <reference field="5" count="1" selected="0">
            <x v="14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3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0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6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6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29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6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687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61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86">
      <pivotArea dataOnly="0" labelOnly="1" outline="0" fieldPosition="0">
        <references count="11">
          <reference field="0" count="1" selected="0">
            <x v="7"/>
          </reference>
          <reference field="1" count="1">
            <x v="7546"/>
          </reference>
          <reference field="3" count="1" selected="0">
            <x v="7333"/>
          </reference>
          <reference field="5" count="1" selected="0">
            <x v="21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685">
      <pivotArea dataOnly="0" labelOnly="1" outline="0" fieldPosition="0">
        <references count="11">
          <reference field="0" count="1" selected="0">
            <x v="13"/>
          </reference>
          <reference field="1" count="1">
            <x v="7446"/>
          </reference>
          <reference field="3" count="1" selected="0">
            <x v="0"/>
          </reference>
          <reference field="5" count="1" selected="0">
            <x v="554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84">
      <pivotArea dataOnly="0" labelOnly="1" outline="0" fieldPosition="0">
        <references count="11">
          <reference field="0" count="1" selected="0">
            <x v="14"/>
          </reference>
          <reference field="1" count="1">
            <x v="7577"/>
          </reference>
          <reference field="3" count="1" selected="0">
            <x v="2926"/>
          </reference>
          <reference field="5" count="1" selected="0">
            <x v="55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683">
      <pivotArea dataOnly="0" labelOnly="1" outline="0" fieldPosition="0">
        <references count="11">
          <reference field="0" count="1" selected="0">
            <x v="14"/>
          </reference>
          <reference field="1" count="1">
            <x v="7578"/>
          </reference>
          <reference field="3" count="1" selected="0">
            <x v="7735"/>
          </reference>
          <reference field="5" count="1" selected="0">
            <x v="17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82">
      <pivotArea dataOnly="0" labelOnly="1" outline="0" fieldPosition="0">
        <references count="11">
          <reference field="0" count="1" selected="0">
            <x v="14"/>
          </reference>
          <reference field="1" count="1">
            <x v="7306"/>
          </reference>
          <reference field="3" count="1" selected="0">
            <x v="7529"/>
          </reference>
          <reference field="5" count="1" selected="0">
            <x v="385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681">
      <pivotArea dataOnly="0" labelOnly="1" outline="0" fieldPosition="0">
        <references count="11">
          <reference field="0" count="1" selected="0">
            <x v="14"/>
          </reference>
          <reference field="1" count="1">
            <x v="7564"/>
          </reference>
          <reference field="3" count="1" selected="0">
            <x v="1390"/>
          </reference>
          <reference field="5" count="1" selected="0">
            <x v="76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80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708"/>
          </reference>
          <reference field="5" count="1" selected="0">
            <x v="4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679">
      <pivotArea dataOnly="0" labelOnly="1" outline="0" fieldPosition="0">
        <references count="11">
          <reference field="0" count="1" selected="0">
            <x v="15"/>
          </reference>
          <reference field="1" count="1">
            <x v="7522"/>
          </reference>
          <reference field="3" count="1" selected="0">
            <x v="7706"/>
          </reference>
          <reference field="5" count="1" selected="0">
            <x v="762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678">
      <pivotArea dataOnly="0" labelOnly="1" outline="0" fieldPosition="0">
        <references count="11">
          <reference field="0" count="1" selected="0">
            <x v="15"/>
          </reference>
          <reference field="1" count="1">
            <x v="7572"/>
          </reference>
          <reference field="3" count="1" selected="0">
            <x v="0"/>
          </reference>
          <reference field="5" count="1" selected="0">
            <x v="31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677">
      <pivotArea dataOnly="0" labelOnly="1" outline="0" fieldPosition="0">
        <references count="11">
          <reference field="0" count="1" selected="0">
            <x v="15"/>
          </reference>
          <reference field="1" count="1">
            <x v="7576"/>
          </reference>
          <reference field="3" count="1" selected="0">
            <x v="0"/>
          </reference>
          <reference field="5" count="1" selected="0">
            <x v="77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676">
      <pivotArea outline="0" collapsedLevelsAreSubtotals="1" fieldPosition="0"/>
    </format>
    <format dxfId="7675">
      <pivotArea dataOnly="0" labelOnly="1" outline="0" axis="axisValues" fieldPosition="0"/>
    </format>
    <format dxfId="7674">
      <pivotArea dataOnly="0" outline="0" fieldPosition="0">
        <references count="1">
          <reference field="12" count="0" defaultSubtotal="1"/>
        </references>
      </pivotArea>
    </format>
    <format dxfId="7673">
      <pivotArea outline="0" collapsedLevelsAreSubtotals="1" fieldPosition="0"/>
    </format>
    <format dxfId="7672">
      <pivotArea dataOnly="0" labelOnly="1" outline="0" axis="axisValues" fieldPosition="0"/>
    </format>
    <format dxfId="7671">
      <pivotArea outline="0" collapsedLevelsAreSubtotals="1" fieldPosition="0"/>
    </format>
    <format dxfId="7670">
      <pivotArea dataOnly="0" labelOnly="1" outline="0" axis="axisValues" fieldPosition="0"/>
    </format>
    <format dxfId="7669">
      <pivotArea dataOnly="0" labelOnly="1" outline="0" axis="axisValues" fieldPosition="0"/>
    </format>
    <format dxfId="7668">
      <pivotArea outline="0" collapsedLevelsAreSubtotals="1" fieldPosition="0"/>
    </format>
    <format dxfId="7667">
      <pivotArea field="12" type="button" dataOnly="0" labelOnly="1" outline="0" axis="axisRow" fieldPosition="2"/>
    </format>
    <format dxfId="7666">
      <pivotArea field="10" type="button" dataOnly="0" labelOnly="1" outline="0" axis="axisRow" fieldPosition="3"/>
    </format>
    <format dxfId="7665">
      <pivotArea field="16" type="button" dataOnly="0" labelOnly="1" outline="0" axis="axisRow" fieldPosition="4"/>
    </format>
    <format dxfId="7664">
      <pivotArea field="18" type="button" dataOnly="0" labelOnly="1" outline="0" axis="axisRow" fieldPosition="5"/>
    </format>
    <format dxfId="7663">
      <pivotArea field="5" type="button" dataOnly="0" labelOnly="1" outline="0" axis="axisRow" fieldPosition="6"/>
    </format>
    <format dxfId="7662">
      <pivotArea field="9" type="button" dataOnly="0" labelOnly="1" outline="0" axis="axisRow" fieldPosition="7"/>
    </format>
    <format dxfId="7661">
      <pivotArea field="3" type="button" dataOnly="0" labelOnly="1" outline="0" axis="axisRow" fieldPosition="8"/>
    </format>
    <format dxfId="7660">
      <pivotArea field="7" type="button" dataOnly="0" labelOnly="1" outline="0" axis="axisRow" fieldPosition="9"/>
    </format>
    <format dxfId="7659">
      <pivotArea field="1" type="button" dataOnly="0" labelOnly="1" outline="0" axis="axisRow" fieldPosition="10"/>
    </format>
    <format dxfId="7658">
      <pivotArea dataOnly="0" labelOnly="1" outline="0" axis="axisValues" fieldPosition="0"/>
    </format>
    <format dxfId="7657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765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765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65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653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652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65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65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64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64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647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7646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764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64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6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764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4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4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63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63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63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63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63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63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3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32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3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6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6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62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627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626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76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62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6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762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6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762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61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76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61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61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761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61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61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761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761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60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60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76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7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7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7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7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7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7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7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7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759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75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759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759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758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42"/>
            <x v="59"/>
            <x v="63"/>
          </reference>
        </references>
      </pivotArea>
    </format>
    <format dxfId="758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35"/>
            <x v="85"/>
          </reference>
        </references>
      </pivotArea>
    </format>
    <format dxfId="758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758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758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58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75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75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75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75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75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5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75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5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7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7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7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7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87"/>
          </reference>
        </references>
      </pivotArea>
    </format>
    <format dxfId="7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87"/>
          </reference>
        </references>
      </pivotArea>
    </format>
    <format dxfId="7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7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35"/>
            <x v="42"/>
          </reference>
        </references>
      </pivotArea>
    </format>
    <format dxfId="7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7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75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7">
            <x v="33"/>
            <x v="36"/>
            <x v="37"/>
            <x v="39"/>
            <x v="41"/>
            <x v="43"/>
            <x v="58"/>
          </reference>
        </references>
      </pivotArea>
    </format>
    <format dxfId="75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4"/>
            <x v="46"/>
            <x v="73"/>
            <x v="76"/>
          </reference>
        </references>
      </pivotArea>
    </format>
    <format dxfId="75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7558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557">
      <pivotArea dataOnly="0" labelOnly="1" outline="0" fieldPosition="0">
        <references count="7">
          <reference field="0" count="1" selected="0">
            <x v="7"/>
          </reference>
          <reference field="5" count="1">
            <x v="213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556">
      <pivotArea dataOnly="0" labelOnly="1" outline="0" fieldPosition="0">
        <references count="7">
          <reference field="0" count="1" selected="0">
            <x v="11"/>
          </reference>
          <reference field="5" count="1">
            <x v="709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555">
      <pivotArea dataOnly="0" labelOnly="1" outline="0" fieldPosition="0">
        <references count="7">
          <reference field="0" count="1" selected="0">
            <x v="11"/>
          </reference>
          <reference field="5" count="1">
            <x v="718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554">
      <pivotArea dataOnly="0" labelOnly="1" outline="0" fieldPosition="0">
        <references count="7">
          <reference field="0" count="1" selected="0">
            <x v="11"/>
          </reference>
          <reference field="5" count="1">
            <x v="528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553">
      <pivotArea dataOnly="0" labelOnly="1" outline="0" fieldPosition="0">
        <references count="7">
          <reference field="0" count="1" selected="0">
            <x v="11"/>
          </reference>
          <reference field="5" count="1">
            <x v="619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7552">
      <pivotArea dataOnly="0" labelOnly="1" outline="0" fieldPosition="0">
        <references count="7">
          <reference field="0" count="1" selected="0">
            <x v="11"/>
          </reference>
          <reference field="5" count="1">
            <x v="509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551">
      <pivotArea dataOnly="0" labelOnly="1" outline="0" fieldPosition="0">
        <references count="7">
          <reference field="0" count="1" selected="0">
            <x v="11"/>
          </reference>
          <reference field="5" count="1">
            <x v="495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550">
      <pivotArea dataOnly="0" labelOnly="1" outline="0" fieldPosition="0">
        <references count="7">
          <reference field="0" count="1" selected="0">
            <x v="12"/>
          </reference>
          <reference field="5" count="1">
            <x v="594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7549">
      <pivotArea dataOnly="0" labelOnly="1" outline="0" fieldPosition="0">
        <references count="7">
          <reference field="0" count="1" selected="0">
            <x v="13"/>
          </reference>
          <reference field="5" count="2">
            <x v="7148"/>
            <x v="76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548">
      <pivotArea dataOnly="0" labelOnly="1" outline="0" fieldPosition="0">
        <references count="7">
          <reference field="0" count="1" selected="0">
            <x v="13"/>
          </reference>
          <reference field="5" count="2">
            <x v="4637"/>
            <x v="754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547">
      <pivotArea dataOnly="0" labelOnly="1" outline="0" fieldPosition="0">
        <references count="7">
          <reference field="0" count="1" selected="0">
            <x v="13"/>
          </reference>
          <reference field="5" count="1">
            <x v="7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546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545">
      <pivotArea dataOnly="0" labelOnly="1" outline="0" fieldPosition="0">
        <references count="7">
          <reference field="0" count="1" selected="0">
            <x v="13"/>
          </reference>
          <reference field="5" count="2">
            <x v="2593"/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544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543">
      <pivotArea dataOnly="0" labelOnly="1" outline="0" fieldPosition="0">
        <references count="7">
          <reference field="0" count="1" selected="0">
            <x v="14"/>
          </reference>
          <reference field="5" count="1">
            <x v="347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42">
      <pivotArea dataOnly="0" labelOnly="1" outline="0" fieldPosition="0">
        <references count="7">
          <reference field="0" count="1" selected="0">
            <x v="14"/>
          </reference>
          <reference field="5" count="1">
            <x v="769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41">
      <pivotArea dataOnly="0" labelOnly="1" outline="0" fieldPosition="0">
        <references count="7">
          <reference field="0" count="1" selected="0">
            <x v="14"/>
          </reference>
          <reference field="5" count="1">
            <x v="7715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540">
      <pivotArea dataOnly="0" labelOnly="1" outline="0" fieldPosition="0">
        <references count="7">
          <reference field="0" count="1" selected="0">
            <x v="14"/>
          </reference>
          <reference field="5" count="1">
            <x v="7713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539">
      <pivotArea dataOnly="0" labelOnly="1" outline="0" fieldPosition="0">
        <references count="7">
          <reference field="0" count="1" selected="0">
            <x v="14"/>
          </reference>
          <reference field="5" count="1">
            <x v="5082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538">
      <pivotArea dataOnly="0" labelOnly="1" outline="0" fieldPosition="0">
        <references count="7">
          <reference field="0" count="1" selected="0">
            <x v="14"/>
          </reference>
          <reference field="5" count="1">
            <x v="4409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37">
      <pivotArea dataOnly="0" labelOnly="1" outline="0" fieldPosition="0">
        <references count="7">
          <reference field="0" count="1" selected="0">
            <x v="14"/>
          </reference>
          <reference field="5" count="1">
            <x v="145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536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535">
      <pivotArea dataOnly="0" labelOnly="1" outline="0" fieldPosition="0">
        <references count="7">
          <reference field="0" count="1" selected="0">
            <x v="14"/>
          </reference>
          <reference field="5" count="2">
            <x v="5943"/>
            <x v="656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534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533">
      <pivotArea dataOnly="0" labelOnly="1" outline="0" fieldPosition="0">
        <references count="7">
          <reference field="0" count="1" selected="0">
            <x v="15"/>
          </reference>
          <reference field="5" count="1">
            <x v="19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532">
      <pivotArea dataOnly="0" labelOnly="1" outline="0" fieldPosition="0">
        <references count="7">
          <reference field="0" count="1" selected="0">
            <x v="15"/>
          </reference>
          <reference field="5" count="1">
            <x v="77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531">
      <pivotArea dataOnly="0" labelOnly="1" outline="0" fieldPosition="0">
        <references count="7">
          <reference field="0" count="1" selected="0">
            <x v="15"/>
          </reference>
          <reference field="5" count="2">
            <x v="7539"/>
            <x v="77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530">
      <pivotArea dataOnly="0" labelOnly="1" outline="0" fieldPosition="0">
        <references count="7">
          <reference field="0" count="1" selected="0">
            <x v="15"/>
          </reference>
          <reference field="5" count="1">
            <x v="76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529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528">
      <pivotArea dataOnly="0" labelOnly="1" outline="0" fieldPosition="0">
        <references count="7">
          <reference field="0" count="1" selected="0">
            <x v="15"/>
          </reference>
          <reference field="5" count="1">
            <x v="30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7527">
      <pivotArea dataOnly="0" labelOnly="1" outline="0" fieldPosition="0">
        <references count="7">
          <reference field="0" count="1" selected="0">
            <x v="15"/>
          </reference>
          <reference field="5" count="1">
            <x v="771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3"/>
          </reference>
        </references>
      </pivotArea>
    </format>
    <format dxfId="7526">
      <pivotArea dataOnly="0" labelOnly="1" outline="0" fieldPosition="0">
        <references count="7">
          <reference field="0" count="1" selected="0">
            <x v="15"/>
          </reference>
          <reference field="5" count="1">
            <x v="771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5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5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52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52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4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752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5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5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4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5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5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0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5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5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5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5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510">
      <pivotArea dataOnly="0" labelOnly="1" outline="0" fieldPosition="0">
        <references count="9">
          <reference field="0" count="1" selected="0">
            <x v="7"/>
          </reference>
          <reference field="3" count="1">
            <x v="7333"/>
          </reference>
          <reference field="5" count="1" selected="0">
            <x v="21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509">
      <pivotArea dataOnly="0" labelOnly="1" outline="0" fieldPosition="0">
        <references count="9">
          <reference field="0" count="1" selected="0">
            <x v="11"/>
          </reference>
          <reference field="3" count="1">
            <x v="7409"/>
          </reference>
          <reference field="5" count="1" selected="0">
            <x v="70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508">
      <pivotArea dataOnly="0" labelOnly="1" outline="0" fieldPosition="0">
        <references count="9">
          <reference field="0" count="1" selected="0">
            <x v="11"/>
          </reference>
          <reference field="3" count="1">
            <x v="7744"/>
          </reference>
          <reference field="5" count="1" selected="0">
            <x v="71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507">
      <pivotArea dataOnly="0" labelOnly="1" outline="0" fieldPosition="0">
        <references count="9">
          <reference field="0" count="1" selected="0">
            <x v="11"/>
          </reference>
          <reference field="3" count="1">
            <x v="7743"/>
          </reference>
          <reference field="5" count="1" selected="0">
            <x v="52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506">
      <pivotArea dataOnly="0" labelOnly="1" outline="0" fieldPosition="0">
        <references count="9">
          <reference field="0" count="1" selected="0">
            <x v="11"/>
          </reference>
          <reference field="3" count="1">
            <x v="7745"/>
          </reference>
          <reference field="5" count="1" selected="0">
            <x v="61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7505">
      <pivotArea dataOnly="0" labelOnly="1" outline="0" fieldPosition="0">
        <references count="9">
          <reference field="0" count="1" selected="0">
            <x v="11"/>
          </reference>
          <reference field="3" count="1">
            <x v="7641"/>
          </reference>
          <reference field="5" count="1" selected="0">
            <x v="50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504">
      <pivotArea dataOnly="0" labelOnly="1" outline="0" fieldPosition="0">
        <references count="9">
          <reference field="0" count="1" selected="0">
            <x v="11"/>
          </reference>
          <reference field="3" count="1">
            <x v="7318"/>
          </reference>
          <reference field="5" count="1" selected="0">
            <x v="49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50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4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75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501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34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4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499">
      <pivotArea dataOnly="0" labelOnly="1" outline="0" fieldPosition="0">
        <references count="9">
          <reference field="0" count="1" selected="0">
            <x v="14"/>
          </reference>
          <reference field="3" count="1">
            <x v="7739"/>
          </reference>
          <reference field="5" count="1" selected="0">
            <x v="771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49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1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497">
      <pivotArea dataOnly="0" labelOnly="1" outline="0" fieldPosition="0">
        <references count="9">
          <reference field="0" count="1" selected="0">
            <x v="14"/>
          </reference>
          <reference field="3" count="1">
            <x v="7713"/>
          </reference>
          <reference field="5" count="1" selected="0">
            <x v="440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496">
      <pivotArea dataOnly="0" labelOnly="1" outline="0" fieldPosition="0">
        <references count="9">
          <reference field="0" count="1" selected="0">
            <x v="14"/>
          </reference>
          <reference field="3" count="1">
            <x v="2923"/>
          </reference>
          <reference field="5" count="1" selected="0">
            <x v="145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49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494">
      <pivotArea dataOnly="0" labelOnly="1" outline="0" fieldPosition="0">
        <references count="9">
          <reference field="0" count="1" selected="0">
            <x v="14"/>
          </reference>
          <reference field="3" count="1">
            <x v="7710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493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492">
      <pivotArea dataOnly="0" labelOnly="1" outline="0" fieldPosition="0">
        <references count="9">
          <reference field="0" count="1" selected="0">
            <x v="14"/>
          </reference>
          <reference field="3" count="1">
            <x v="7708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491">
      <pivotArea dataOnly="0" labelOnly="1" outline="0" fieldPosition="0">
        <references count="9">
          <reference field="0" count="1" selected="0">
            <x v="15"/>
          </reference>
          <reference field="3" count="1">
            <x v="7616"/>
          </reference>
          <reference field="5" count="1" selected="0">
            <x v="19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490">
      <pivotArea dataOnly="0" labelOnly="1" outline="0" fieldPosition="0">
        <references count="9">
          <reference field="0" count="1" selected="0">
            <x v="15"/>
          </reference>
          <reference field="3" count="1">
            <x v="7729"/>
          </reference>
          <reference field="5" count="1" selected="0">
            <x v="753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489">
      <pivotArea dataOnly="0" labelOnly="1" outline="0" fieldPosition="0">
        <references count="9">
          <reference field="0" count="1" selected="0">
            <x v="15"/>
          </reference>
          <reference field="3" count="1">
            <x v="2923"/>
          </reference>
          <reference field="5" count="1" selected="0">
            <x v="770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488">
      <pivotArea dataOnly="0" labelOnly="1" outline="0" fieldPosition="0">
        <references count="9">
          <reference field="0" count="1" selected="0">
            <x v="15"/>
          </reference>
          <reference field="3" count="1">
            <x v="7706"/>
          </reference>
          <reference field="5" count="1" selected="0">
            <x v="76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487">
      <pivotArea dataOnly="0" labelOnly="1" outline="0" fieldPosition="0">
        <references count="9">
          <reference field="0" count="1" selected="0">
            <x v="15"/>
          </reference>
          <reference field="3" count="1">
            <x v="7736"/>
          </reference>
          <reference field="5" count="1" selected="0">
            <x v="771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4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4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3"/>
          </reference>
          <reference field="5" count="1" selected="0">
            <x v="21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48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41"/>
          </reference>
          <reference field="5" count="1" selected="0">
            <x v="50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48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748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4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3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4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4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9"/>
          </reference>
          <reference field="5" count="1" selected="0">
            <x v="771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4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1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4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3"/>
          </reference>
          <reference field="5" count="1" selected="0">
            <x v="44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4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23"/>
          </reference>
          <reference field="5" count="1" selected="0">
            <x v="14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4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4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0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4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6"/>
          </reference>
          <reference field="5" count="1" selected="0">
            <x v="19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4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6"/>
          </reference>
          <reference field="5" count="1" selected="0">
            <x v="771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471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61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470">
      <pivotArea dataOnly="0" labelOnly="1" outline="0" fieldPosition="0">
        <references count="11">
          <reference field="0" count="1" selected="0">
            <x v="7"/>
          </reference>
          <reference field="1" count="1">
            <x v="7546"/>
          </reference>
          <reference field="3" count="1" selected="0">
            <x v="7333"/>
          </reference>
          <reference field="5" count="1" selected="0">
            <x v="21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469">
      <pivotArea dataOnly="0" labelOnly="1" outline="0" fieldPosition="0">
        <references count="11">
          <reference field="0" count="1" selected="0">
            <x v="11"/>
          </reference>
          <reference field="1" count="1">
            <x v="7589"/>
          </reference>
          <reference field="3" count="1" selected="0">
            <x v="7743"/>
          </reference>
          <reference field="5" count="1" selected="0">
            <x v="52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468">
      <pivotArea dataOnly="0" labelOnly="1" outline="0" fieldPosition="0">
        <references count="11">
          <reference field="0" count="1" selected="0">
            <x v="11"/>
          </reference>
          <reference field="1" count="1">
            <x v="7587"/>
          </reference>
          <reference field="3" count="1" selected="0">
            <x v="7641"/>
          </reference>
          <reference field="5" count="1" selected="0">
            <x v="50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467">
      <pivotArea dataOnly="0" labelOnly="1" outline="0" fieldPosition="0">
        <references count="11">
          <reference field="0" count="1" selected="0">
            <x v="12"/>
          </reference>
          <reference field="1" count="1">
            <x v="7458"/>
          </reference>
          <reference field="3" count="1" selected="0">
            <x v="0"/>
          </reference>
          <reference field="5" count="1" selected="0">
            <x v="59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7466">
      <pivotArea dataOnly="0" labelOnly="1" outline="0" fieldPosition="0">
        <references count="11">
          <reference field="0" count="1" selected="0">
            <x v="13"/>
          </reference>
          <reference field="1" count="1">
            <x v="7446"/>
          </reference>
          <reference field="3" count="1" selected="0">
            <x v="0"/>
          </reference>
          <reference field="5" count="1" selected="0">
            <x v="554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465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708"/>
          </reference>
          <reference field="5" count="1" selected="0">
            <x v="4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464">
      <pivotArea dataOnly="0" labelOnly="1" outline="0" fieldPosition="0">
        <references count="11">
          <reference field="0" count="1" selected="0">
            <x v="15"/>
          </reference>
          <reference field="1" count="1">
            <x v="7522"/>
          </reference>
          <reference field="3" count="1" selected="0">
            <x v="7706"/>
          </reference>
          <reference field="5" count="1" selected="0">
            <x v="762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463">
      <pivotArea dataOnly="0" labelOnly="1" outline="0" fieldPosition="0">
        <references count="11">
          <reference field="0" count="1" selected="0">
            <x v="15"/>
          </reference>
          <reference field="1" count="1">
            <x v="7584"/>
          </reference>
          <reference field="3" count="1" selected="0">
            <x v="7736"/>
          </reference>
          <reference field="5" count="1" selected="0">
            <x v="771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462">
      <pivotArea outline="0" collapsedLevelsAreSubtotals="1" fieldPosition="0"/>
    </format>
    <format dxfId="7461">
      <pivotArea dataOnly="0" labelOnly="1" outline="0" axis="axisValues" fieldPosition="0"/>
    </format>
    <format dxfId="7460">
      <pivotArea dataOnly="0" outline="0" fieldPosition="0">
        <references count="1">
          <reference field="12" count="0" defaultSubtotal="1"/>
        </references>
      </pivotArea>
    </format>
    <format dxfId="7459">
      <pivotArea outline="0" collapsedLevelsAreSubtotals="1" fieldPosition="0"/>
    </format>
    <format dxfId="7458">
      <pivotArea dataOnly="0" labelOnly="1" outline="0" axis="axisValues" fieldPosition="0"/>
    </format>
    <format dxfId="7457">
      <pivotArea outline="0" collapsedLevelsAreSubtotals="1" fieldPosition="0"/>
    </format>
    <format dxfId="7456">
      <pivotArea dataOnly="0" labelOnly="1" outline="0" axis="axisValues" fieldPosition="0"/>
    </format>
    <format dxfId="7455">
      <pivotArea dataOnly="0" labelOnly="1" outline="0" axis="axisValues" fieldPosition="0"/>
    </format>
    <format dxfId="7454">
      <pivotArea outline="0" collapsedLevelsAreSubtotals="1" fieldPosition="0"/>
    </format>
    <format dxfId="7453">
      <pivotArea field="12" type="button" dataOnly="0" labelOnly="1" outline="0" axis="axisRow" fieldPosition="2"/>
    </format>
    <format dxfId="7452">
      <pivotArea field="10" type="button" dataOnly="0" labelOnly="1" outline="0" axis="axisRow" fieldPosition="3"/>
    </format>
    <format dxfId="7451">
      <pivotArea field="16" type="button" dataOnly="0" labelOnly="1" outline="0" axis="axisRow" fieldPosition="4"/>
    </format>
    <format dxfId="7450">
      <pivotArea field="18" type="button" dataOnly="0" labelOnly="1" outline="0" axis="axisRow" fieldPosition="5"/>
    </format>
    <format dxfId="7449">
      <pivotArea field="5" type="button" dataOnly="0" labelOnly="1" outline="0" axis="axisRow" fieldPosition="6"/>
    </format>
    <format dxfId="7448">
      <pivotArea field="9" type="button" dataOnly="0" labelOnly="1" outline="0" axis="axisRow" fieldPosition="7"/>
    </format>
    <format dxfId="7447">
      <pivotArea field="3" type="button" dataOnly="0" labelOnly="1" outline="0" axis="axisRow" fieldPosition="8"/>
    </format>
    <format dxfId="7446">
      <pivotArea field="7" type="button" dataOnly="0" labelOnly="1" outline="0" axis="axisRow" fieldPosition="9"/>
    </format>
    <format dxfId="7445">
      <pivotArea field="1" type="button" dataOnly="0" labelOnly="1" outline="0" axis="axisRow" fieldPosition="10"/>
    </format>
    <format dxfId="7444">
      <pivotArea dataOnly="0" labelOnly="1" outline="0" axis="axisValues" fieldPosition="0"/>
    </format>
    <format dxfId="7443">
      <pivotArea dataOnly="0" labelOnly="1" outline="0" fieldPosition="0">
        <references count="3">
          <reference field="0" count="1" selected="0">
            <x v="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442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441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6"/>
          </reference>
          <reference field="13" count="1" selected="0">
            <x v="0"/>
          </reference>
        </references>
      </pivotArea>
    </format>
    <format dxfId="744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6"/>
          </reference>
          <reference field="13" count="1" selected="0">
            <x v="0"/>
          </reference>
        </references>
      </pivotArea>
    </format>
    <format dxfId="7439">
      <pivotArea dataOnly="0" labelOnly="1" outline="0" fieldPosition="0">
        <references count="3">
          <reference field="0" count="1" selected="0">
            <x v="7"/>
          </reference>
          <reference field="12" count="2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7438">
      <pivotArea dataOnly="0" labelOnly="1" outline="0" fieldPosition="0">
        <references count="3">
          <reference field="0" count="1" selected="0">
            <x v="7"/>
          </reference>
          <reference field="12" count="21" defaultSubtotal="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743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43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43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43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433">
      <pivotArea dataOnly="0" labelOnly="1" outline="0" fieldPosition="0">
        <references count="3">
          <reference field="0" count="1" selected="0">
            <x v="14"/>
          </reference>
          <reference field="12" count="23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7432">
      <pivotArea dataOnly="0" labelOnly="1" outline="0" fieldPosition="0">
        <references count="3">
          <reference field="0" count="1" selected="0">
            <x v="14"/>
          </reference>
          <reference field="12" count="23" defaultSubtotal="1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743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43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429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4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742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742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4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4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4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4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4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4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4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4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4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4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4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74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4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74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4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74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4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4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4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740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0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03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0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4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4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39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398">
      <pivotArea dataOnly="0" labelOnly="1" outline="0" fieldPosition="0">
        <references count="4">
          <reference field="0" count="1" selected="0">
            <x v="14"/>
          </reference>
          <reference field="10" count="3">
            <x v="0"/>
            <x v="33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39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39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39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39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39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39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739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3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73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3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73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7386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3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3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73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8"/>
          </reference>
          <reference field="13" count="1" selected="0">
            <x v="2"/>
          </reference>
        </references>
      </pivotArea>
    </format>
    <format dxfId="738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73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738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79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3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73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3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5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5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33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29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3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73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3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3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3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3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3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7"/>
            <x v="109"/>
          </reference>
        </references>
      </pivotArea>
    </format>
    <format dxfId="73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3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1"/>
          </reference>
        </references>
      </pivotArea>
    </format>
    <format dxfId="73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3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3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3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3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3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7"/>
            <x v="109"/>
          </reference>
        </references>
      </pivotArea>
    </format>
    <format dxfId="73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9"/>
            <x v="63"/>
            <x v="109"/>
            <x v="111"/>
          </reference>
        </references>
      </pivotArea>
    </format>
    <format dxfId="73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09"/>
          </reference>
        </references>
      </pivotArea>
    </format>
    <format dxfId="73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3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7"/>
            <x v="109"/>
          </reference>
        </references>
      </pivotArea>
    </format>
    <format dxfId="73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6"/>
            <x v="111"/>
          </reference>
        </references>
      </pivotArea>
    </format>
    <format dxfId="73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9"/>
          </reference>
        </references>
      </pivotArea>
    </format>
    <format dxfId="73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3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30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73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73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73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3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3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2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72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2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2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2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09"/>
          </reference>
        </references>
      </pivotArea>
    </format>
    <format dxfId="72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6"/>
          </reference>
        </references>
      </pivotArea>
    </format>
    <format dxfId="72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72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72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72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6"/>
          </reference>
        </references>
      </pivotArea>
    </format>
    <format dxfId="72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7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2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2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2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2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7"/>
            <x v="114"/>
          </reference>
        </references>
      </pivotArea>
    </format>
    <format dxfId="72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72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2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2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2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2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59"/>
            <x v="63"/>
          </reference>
        </references>
      </pivotArea>
    </format>
    <format dxfId="72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2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72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2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72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37"/>
            <x v="41"/>
            <x v="58"/>
            <x v="88"/>
          </reference>
        </references>
      </pivotArea>
    </format>
    <format dxfId="72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44"/>
            <x v="46"/>
          </reference>
        </references>
      </pivotArea>
    </format>
    <format dxfId="72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9"/>
            <x v="82"/>
          </reference>
        </references>
      </pivotArea>
    </format>
    <format dxfId="72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1"/>
          </reference>
        </references>
      </pivotArea>
    </format>
    <format dxfId="7264">
      <pivotArea dataOnly="0" labelOnly="1" outline="0" fieldPosition="0">
        <references count="7">
          <reference field="0" count="1" selected="0">
            <x v="5"/>
          </reference>
          <reference field="5" count="1">
            <x v="774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63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262">
      <pivotArea dataOnly="0" labelOnly="1" outline="0" fieldPosition="0">
        <references count="7">
          <reference field="0" count="1" selected="0">
            <x v="7"/>
          </reference>
          <reference field="5" count="1">
            <x v="213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261">
      <pivotArea dataOnly="0" labelOnly="1" outline="0" fieldPosition="0">
        <references count="7">
          <reference field="0" count="1" selected="0">
            <x v="7"/>
          </reference>
          <reference field="5" count="1">
            <x v="773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260">
      <pivotArea dataOnly="0" labelOnly="1" outline="0" fieldPosition="0">
        <references count="7">
          <reference field="0" count="1" selected="0">
            <x v="7"/>
          </reference>
          <reference field="5" count="1">
            <x v="773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259">
      <pivotArea dataOnly="0" labelOnly="1" outline="0" fieldPosition="0">
        <references count="7">
          <reference field="0" count="1" selected="0">
            <x v="7"/>
          </reference>
          <reference field="5" count="1">
            <x v="773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258">
      <pivotArea dataOnly="0" labelOnly="1" outline="0" fieldPosition="0">
        <references count="7">
          <reference field="0" count="1" selected="0">
            <x v="7"/>
          </reference>
          <reference field="5" count="1">
            <x v="773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257">
      <pivotArea dataOnly="0" labelOnly="1" outline="0" fieldPosition="0">
        <references count="7">
          <reference field="0" count="1" selected="0">
            <x v="7"/>
          </reference>
          <reference field="5" count="1">
            <x v="774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256">
      <pivotArea dataOnly="0" labelOnly="1" outline="0" fieldPosition="0">
        <references count="7">
          <reference field="0" count="1" selected="0">
            <x v="7"/>
          </reference>
          <reference field="5" count="1">
            <x v="772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55">
      <pivotArea dataOnly="0" labelOnly="1" outline="0" fieldPosition="0">
        <references count="7">
          <reference field="0" count="1" selected="0">
            <x v="7"/>
          </reference>
          <reference field="5" count="1">
            <x v="774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254">
      <pivotArea dataOnly="0" labelOnly="1" outline="0" fieldPosition="0">
        <references count="7">
          <reference field="0" count="1" selected="0">
            <x v="7"/>
          </reference>
          <reference field="5" count="1">
            <x v="494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253">
      <pivotArea dataOnly="0" labelOnly="1" outline="0" fieldPosition="0">
        <references count="7">
          <reference field="0" count="1" selected="0">
            <x v="7"/>
          </reference>
          <reference field="5" count="1">
            <x v="7740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52">
      <pivotArea dataOnly="0" labelOnly="1" outline="0" fieldPosition="0">
        <references count="7">
          <reference field="0" count="1" selected="0">
            <x v="7"/>
          </reference>
          <reference field="5" count="1">
            <x v="774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51">
      <pivotArea dataOnly="0" labelOnly="1" outline="0" fieldPosition="0">
        <references count="7">
          <reference field="0" count="1" selected="0">
            <x v="7"/>
          </reference>
          <reference field="5" count="1">
            <x v="7728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250">
      <pivotArea dataOnly="0" labelOnly="1" outline="0" fieldPosition="0">
        <references count="7">
          <reference field="0" count="1" selected="0">
            <x v="7"/>
          </reference>
          <reference field="5" count="1">
            <x v="7733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249">
      <pivotArea dataOnly="0" labelOnly="1" outline="0" fieldPosition="0">
        <references count="7">
          <reference field="0" count="1" selected="0">
            <x v="7"/>
          </reference>
          <reference field="5" count="1">
            <x v="7738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48">
      <pivotArea dataOnly="0" labelOnly="1" outline="0" fieldPosition="0">
        <references count="7">
          <reference field="0" count="1" selected="0">
            <x v="7"/>
          </reference>
          <reference field="5" count="1">
            <x v="7734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7247">
      <pivotArea dataOnly="0" labelOnly="1" outline="0" fieldPosition="0">
        <references count="7">
          <reference field="0" count="1" selected="0">
            <x v="7"/>
          </reference>
          <reference field="5" count="1">
            <x v="2044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246">
      <pivotArea dataOnly="0" labelOnly="1" outline="0" fieldPosition="0">
        <references count="7">
          <reference field="0" count="1" selected="0">
            <x v="7"/>
          </reference>
          <reference field="5" count="1">
            <x v="772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245">
      <pivotArea dataOnly="0" labelOnly="1" outline="0" fieldPosition="0">
        <references count="7">
          <reference field="0" count="1" selected="0">
            <x v="7"/>
          </reference>
          <reference field="5" count="2">
            <x v="7731"/>
            <x v="7735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244">
      <pivotArea dataOnly="0" labelOnly="1" outline="0" fieldPosition="0">
        <references count="7">
          <reference field="0" count="1" selected="0">
            <x v="7"/>
          </reference>
          <reference field="5" count="1">
            <x v="2288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243">
      <pivotArea dataOnly="0" labelOnly="1" outline="0" fieldPosition="0">
        <references count="7">
          <reference field="0" count="1" selected="0">
            <x v="7"/>
          </reference>
          <reference field="5" count="1">
            <x v="7214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242">
      <pivotArea dataOnly="0" labelOnly="1" outline="0" fieldPosition="0">
        <references count="7">
          <reference field="0" count="1" selected="0">
            <x v="7"/>
          </reference>
          <reference field="5" count="2">
            <x v="7726"/>
            <x v="7729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241">
      <pivotArea dataOnly="0" labelOnly="1" outline="0" fieldPosition="0">
        <references count="7">
          <reference field="0" count="1" selected="0">
            <x v="7"/>
          </reference>
          <reference field="5" count="1">
            <x v="7732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40">
      <pivotArea dataOnly="0" labelOnly="1" outline="0" fieldPosition="0">
        <references count="7">
          <reference field="0" count="1" selected="0">
            <x v="12"/>
          </reference>
          <reference field="5" count="2">
            <x v="7723"/>
            <x v="77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239">
      <pivotArea dataOnly="0" labelOnly="1" outline="0" fieldPosition="0">
        <references count="7">
          <reference field="0" count="1" selected="0">
            <x v="12"/>
          </reference>
          <reference field="5" count="1">
            <x v="772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238">
      <pivotArea dataOnly="0" labelOnly="1" outline="0" fieldPosition="0">
        <references count="7">
          <reference field="0" count="1" selected="0">
            <x v="13"/>
          </reference>
          <reference field="5" count="2">
            <x v="7148"/>
            <x v="76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237">
      <pivotArea dataOnly="0" labelOnly="1" outline="0" fieldPosition="0">
        <references count="7">
          <reference field="0" count="1" selected="0">
            <x v="13"/>
          </reference>
          <reference field="5" count="1">
            <x v="4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236">
      <pivotArea dataOnly="0" labelOnly="1" outline="0" fieldPosition="0">
        <references count="7">
          <reference field="0" count="1" selected="0">
            <x v="13"/>
          </reference>
          <reference field="5" count="1">
            <x v="7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235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234">
      <pivotArea dataOnly="0" labelOnly="1" outline="0" fieldPosition="0">
        <references count="7">
          <reference field="0" count="1" selected="0">
            <x v="13"/>
          </reference>
          <reference field="5" count="2">
            <x v="2593"/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233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232">
      <pivotArea dataOnly="0" labelOnly="1" outline="0" fieldPosition="0">
        <references count="7">
          <reference field="0" count="1" selected="0">
            <x v="14"/>
          </reference>
          <reference field="5" count="1">
            <x v="347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31">
      <pivotArea dataOnly="0" labelOnly="1" outline="0" fieldPosition="0">
        <references count="7">
          <reference field="0" count="1" selected="0">
            <x v="14"/>
          </reference>
          <reference field="5" count="1">
            <x v="770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230">
      <pivotArea dataOnly="0" labelOnly="1" outline="0" fieldPosition="0">
        <references count="7">
          <reference field="0" count="1" selected="0">
            <x v="14"/>
          </reference>
          <reference field="5" count="1">
            <x v="554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229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7228">
      <pivotArea dataOnly="0" labelOnly="1" outline="0" fieldPosition="0">
        <references count="7">
          <reference field="0" count="1" selected="0">
            <x v="14"/>
          </reference>
          <reference field="5" count="1">
            <x v="610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227">
      <pivotArea dataOnly="0" labelOnly="1" outline="0" fieldPosition="0">
        <references count="7">
          <reference field="0" count="1" selected="0">
            <x v="14"/>
          </reference>
          <reference field="5" count="1">
            <x v="521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226">
      <pivotArea dataOnly="0" labelOnly="1" outline="0" fieldPosition="0">
        <references count="7">
          <reference field="0" count="1" selected="0">
            <x v="14"/>
          </reference>
          <reference field="5" count="1">
            <x v="7553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25">
      <pivotArea dataOnly="0" labelOnly="1" outline="0" fieldPosition="0">
        <references count="7">
          <reference field="0" count="1" selected="0">
            <x v="14"/>
          </reference>
          <reference field="5" count="2">
            <x v="1891"/>
            <x v="369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24">
      <pivotArea dataOnly="0" labelOnly="1" outline="0" fieldPosition="0">
        <references count="7">
          <reference field="0" count="1" selected="0">
            <x v="14"/>
          </reference>
          <reference field="5" count="1">
            <x v="7720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23">
      <pivotArea dataOnly="0" labelOnly="1" outline="0" fieldPosition="0">
        <references count="7">
          <reference field="0" count="1" selected="0">
            <x v="14"/>
          </reference>
          <reference field="5" count="1">
            <x v="7685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22">
      <pivotArea dataOnly="0" labelOnly="1" outline="0" fieldPosition="0">
        <references count="7">
          <reference field="0" count="1" selected="0">
            <x v="14"/>
          </reference>
          <reference field="5" count="1">
            <x v="7713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221">
      <pivotArea dataOnly="0" labelOnly="1" outline="0" fieldPosition="0">
        <references count="7">
          <reference field="0" count="1" selected="0">
            <x v="14"/>
          </reference>
          <reference field="5" count="1">
            <x v="3855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220">
      <pivotArea dataOnly="0" labelOnly="1" outline="0" fieldPosition="0">
        <references count="7">
          <reference field="0" count="1" selected="0">
            <x v="14"/>
          </reference>
          <reference field="5" count="1">
            <x v="4409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19">
      <pivotArea dataOnly="0" labelOnly="1" outline="0" fieldPosition="0">
        <references count="7">
          <reference field="0" count="1" selected="0">
            <x v="14"/>
          </reference>
          <reference field="5" count="1">
            <x v="3988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218">
      <pivotArea dataOnly="0" labelOnly="1" outline="0" fieldPosition="0">
        <references count="7">
          <reference field="0" count="1" selected="0">
            <x v="14"/>
          </reference>
          <reference field="5" count="1">
            <x v="6543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17">
      <pivotArea dataOnly="0" labelOnly="1" outline="0" fieldPosition="0">
        <references count="7">
          <reference field="0" count="1" selected="0">
            <x v="14"/>
          </reference>
          <reference field="5" count="1">
            <x v="772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216">
      <pivotArea dataOnly="0" labelOnly="1" outline="0" fieldPosition="0">
        <references count="7">
          <reference field="0" count="1" selected="0">
            <x v="14"/>
          </reference>
          <reference field="5" count="1">
            <x v="6890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215">
      <pivotArea dataOnly="0" labelOnly="1" outline="0" fieldPosition="0">
        <references count="7">
          <reference field="0" count="1" selected="0">
            <x v="14"/>
          </reference>
          <reference field="5" count="2">
            <x v="5943"/>
            <x v="6567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214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213">
      <pivotArea dataOnly="0" labelOnly="1" outline="0" fieldPosition="0">
        <references count="7">
          <reference field="0" count="1" selected="0">
            <x v="15"/>
          </reference>
          <reference field="5" count="2">
            <x v="7539"/>
            <x v="77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212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211">
      <pivotArea dataOnly="0" labelOnly="1" outline="0" fieldPosition="0">
        <references count="7">
          <reference field="0" count="1" selected="0">
            <x v="15"/>
          </reference>
          <reference field="5" count="1">
            <x v="77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7210">
      <pivotArea dataOnly="0" labelOnly="1" outline="0" fieldPosition="0">
        <references count="7">
          <reference field="0" count="1" selected="0">
            <x v="15"/>
          </reference>
          <reference field="5" count="1">
            <x v="313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209">
      <pivotArea dataOnly="0" labelOnly="1" outline="0" fieldPosition="0">
        <references count="7">
          <reference field="0" count="1" selected="0">
            <x v="15"/>
          </reference>
          <reference field="5" count="1">
            <x v="30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7208">
      <pivotArea dataOnly="0" labelOnly="1" outline="0" fieldPosition="0">
        <references count="7">
          <reference field="0" count="1" selected="0">
            <x v="15"/>
          </reference>
          <reference field="5" count="1">
            <x v="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7207">
      <pivotArea dataOnly="0" labelOnly="1" outline="0" fieldPosition="0">
        <references count="7">
          <reference field="0" count="1" selected="0">
            <x v="15"/>
          </reference>
          <reference field="5" count="1">
            <x v="1944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7206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7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2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2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2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2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2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1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1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71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27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1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1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1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19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23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1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1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1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1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1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89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0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1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4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1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176">
      <pivotArea dataOnly="0" labelOnly="1" outline="0" fieldPosition="0">
        <references count="9">
          <reference field="0" count="1" selected="0">
            <x v="5"/>
          </reference>
          <reference field="3" count="1">
            <x v="7787"/>
          </reference>
          <reference field="5" count="1" selected="0">
            <x v="77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174">
      <pivotArea dataOnly="0" labelOnly="1" outline="0" fieldPosition="0">
        <references count="9">
          <reference field="0" count="1" selected="0">
            <x v="7"/>
          </reference>
          <reference field="3" count="1">
            <x v="7333"/>
          </reference>
          <reference field="5" count="1" selected="0">
            <x v="21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173">
      <pivotArea dataOnly="0" labelOnly="1" outline="0" fieldPosition="0">
        <references count="9">
          <reference field="0" count="1" selected="0">
            <x v="7"/>
          </reference>
          <reference field="3" count="1">
            <x v="7768"/>
          </reference>
          <reference field="5" count="1" selected="0">
            <x v="77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172">
      <pivotArea dataOnly="0" labelOnly="1" outline="0" fieldPosition="0">
        <references count="9">
          <reference field="0" count="1" selected="0">
            <x v="7"/>
          </reference>
          <reference field="3" count="1">
            <x v="7781"/>
          </reference>
          <reference field="5" count="1" selected="0">
            <x v="77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171">
      <pivotArea dataOnly="0" labelOnly="1" outline="0" fieldPosition="0">
        <references count="9">
          <reference field="0" count="1" selected="0">
            <x v="7"/>
          </reference>
          <reference field="3" count="1">
            <x v="7780"/>
          </reference>
          <reference field="5" count="1" selected="0">
            <x v="77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170">
      <pivotArea dataOnly="0" labelOnly="1" outline="0" fieldPosition="0">
        <references count="9">
          <reference field="0" count="1" selected="0">
            <x v="7"/>
          </reference>
          <reference field="3" count="1">
            <x v="7783"/>
          </reference>
          <reference field="5" count="1" selected="0">
            <x v="77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169">
      <pivotArea dataOnly="0" labelOnly="1" outline="0" fieldPosition="0">
        <references count="9">
          <reference field="0" count="1" selected="0">
            <x v="7"/>
          </reference>
          <reference field="3" count="1">
            <x v="7763"/>
          </reference>
          <reference field="5" count="1" selected="0">
            <x v="77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68">
      <pivotArea dataOnly="0" labelOnly="1" outline="0" fieldPosition="0">
        <references count="9">
          <reference field="0" count="1" selected="0">
            <x v="7"/>
          </reference>
          <reference field="3" count="1">
            <x v="2923"/>
          </reference>
          <reference field="5" count="1" selected="0">
            <x v="77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167">
      <pivotArea dataOnly="0" labelOnly="1" outline="0" fieldPosition="0">
        <references count="9">
          <reference field="0" count="1" selected="0">
            <x v="7"/>
          </reference>
          <reference field="3" count="1">
            <x v="7766"/>
          </reference>
          <reference field="5" count="1" selected="0">
            <x v="49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166">
      <pivotArea dataOnly="0" labelOnly="1" outline="0" fieldPosition="0">
        <references count="9">
          <reference field="0" count="1" selected="0">
            <x v="7"/>
          </reference>
          <reference field="3" count="1">
            <x v="7782"/>
          </reference>
          <reference field="5" count="1" selected="0">
            <x v="77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65">
      <pivotArea dataOnly="0" labelOnly="1" outline="0" fieldPosition="0">
        <references count="9">
          <reference field="0" count="1" selected="0">
            <x v="7"/>
          </reference>
          <reference field="3" count="1">
            <x v="7785"/>
          </reference>
          <reference field="5" count="1" selected="0">
            <x v="77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64">
      <pivotArea dataOnly="0" labelOnly="1" outline="0" fieldPosition="0">
        <references count="9">
          <reference field="0" count="1" selected="0">
            <x v="7"/>
          </reference>
          <reference field="3" count="1">
            <x v="7765"/>
          </reference>
          <reference field="5" count="1" selected="0">
            <x v="77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163">
      <pivotArea dataOnly="0" labelOnly="1" outline="0" fieldPosition="0">
        <references count="9">
          <reference field="0" count="1" selected="0">
            <x v="7"/>
          </reference>
          <reference field="3" count="1">
            <x v="7774"/>
          </reference>
          <reference field="5" count="1" selected="0">
            <x v="77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162">
      <pivotArea dataOnly="0" labelOnly="1" outline="0" fieldPosition="0">
        <references count="9">
          <reference field="0" count="1" selected="0">
            <x v="7"/>
          </reference>
          <reference field="3" count="1">
            <x v="7777"/>
          </reference>
          <reference field="5" count="1" selected="0">
            <x v="77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7161">
      <pivotArea dataOnly="0" labelOnly="1" outline="0" fieldPosition="0">
        <references count="9">
          <reference field="0" count="1" selected="0">
            <x v="7"/>
          </reference>
          <reference field="3" count="1">
            <x v="1387"/>
          </reference>
          <reference field="5" count="1" selected="0">
            <x v="20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16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27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159">
      <pivotArea dataOnly="0" labelOnly="1" outline="0" fieldPosition="0">
        <references count="9">
          <reference field="0" count="1" selected="0">
            <x v="7"/>
          </reference>
          <reference field="3" count="1">
            <x v="7769"/>
          </reference>
          <reference field="5" count="1" selected="0">
            <x v="77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158">
      <pivotArea dataOnly="0" labelOnly="1" outline="0" fieldPosition="0">
        <references count="9">
          <reference field="0" count="1" selected="0">
            <x v="7"/>
          </reference>
          <reference field="3" count="1">
            <x v="7778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157">
      <pivotArea dataOnly="0" labelOnly="1" outline="0" fieldPosition="0">
        <references count="9">
          <reference field="0" count="1" selected="0">
            <x v="7"/>
          </reference>
          <reference field="3" count="1">
            <x v="7784"/>
          </reference>
          <reference field="5" count="1" selected="0">
            <x v="22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156">
      <pivotArea dataOnly="0" labelOnly="1" outline="0" fieldPosition="0">
        <references count="9">
          <reference field="0" count="1" selected="0">
            <x v="7"/>
          </reference>
          <reference field="3" count="1">
            <x v="7767"/>
          </reference>
          <reference field="5" count="1" selected="0">
            <x v="72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155">
      <pivotArea dataOnly="0" labelOnly="1" outline="0" fieldPosition="0">
        <references count="9">
          <reference field="0" count="1" selected="0">
            <x v="7"/>
          </reference>
          <reference field="3" count="1">
            <x v="7764"/>
          </reference>
          <reference field="5" count="1" selected="0">
            <x v="77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15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153">
      <pivotArea dataOnly="0" labelOnly="1" outline="0" fieldPosition="0">
        <references count="9">
          <reference field="0" count="1" selected="0">
            <x v="7"/>
          </reference>
          <reference field="3" count="1">
            <x v="7773"/>
          </reference>
          <reference field="5" count="1" selected="0">
            <x v="77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52">
      <pivotArea dataOnly="0" labelOnly="1" outline="0" fieldPosition="0">
        <references count="9">
          <reference field="0" count="1" selected="0">
            <x v="12"/>
          </reference>
          <reference field="3" count="1">
            <x v="7761"/>
          </reference>
          <reference field="5" count="1" selected="0">
            <x v="7723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151">
      <pivotArea dataOnly="0" labelOnly="1" outline="0" fieldPosition="0">
        <references count="9">
          <reference field="0" count="1" selected="0">
            <x v="12"/>
          </reference>
          <reference field="3" count="1">
            <x v="7762"/>
          </reference>
          <reference field="5" count="1" selected="0">
            <x v="7724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15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2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4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148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34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47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770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146">
      <pivotArea dataOnly="0" labelOnly="1" outline="0" fieldPosition="0">
        <references count="9">
          <reference field="0" count="1" selected="0">
            <x v="14"/>
          </reference>
          <reference field="3" count="1">
            <x v="2926"/>
          </reference>
          <reference field="5" count="1" selected="0">
            <x v="55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145">
      <pivotArea dataOnly="0" labelOnly="1" outline="0" fieldPosition="0">
        <references count="9">
          <reference field="0" count="1" selected="0">
            <x v="14"/>
          </reference>
          <reference field="3" count="1">
            <x v="7226"/>
          </reference>
          <reference field="5" count="1" selected="0">
            <x v="61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144">
      <pivotArea dataOnly="0" labelOnly="1" outline="0" fieldPosition="0">
        <references count="9">
          <reference field="0" count="1" selected="0">
            <x v="14"/>
          </reference>
          <reference field="3" count="1">
            <x v="7757"/>
          </reference>
          <reference field="5" count="1" selected="0">
            <x v="52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1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3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42">
      <pivotArea dataOnly="0" labelOnly="1" outline="0" fieldPosition="0">
        <references count="9">
          <reference field="0" count="1" selected="0">
            <x v="14"/>
          </reference>
          <reference field="3" count="1">
            <x v="7753"/>
          </reference>
          <reference field="5" count="1" selected="0">
            <x v="189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41">
      <pivotArea dataOnly="0" labelOnly="1" outline="0" fieldPosition="0">
        <references count="9">
          <reference field="0" count="1" selected="0">
            <x v="14"/>
          </reference>
          <reference field="3" count="1">
            <x v="7752"/>
          </reference>
          <reference field="5" count="1" selected="0">
            <x v="369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40">
      <pivotArea dataOnly="0" labelOnly="1" outline="0" fieldPosition="0">
        <references count="9">
          <reference field="0" count="1" selected="0">
            <x v="14"/>
          </reference>
          <reference field="3" count="1">
            <x v="7754"/>
          </reference>
          <reference field="5" count="1" selected="0">
            <x v="772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39">
      <pivotArea dataOnly="0" labelOnly="1" outline="0" fieldPosition="0">
        <references count="9">
          <reference field="0" count="1" selected="0">
            <x v="14"/>
          </reference>
          <reference field="3" count="1">
            <x v="1390"/>
          </reference>
          <reference field="5" count="1" selected="0">
            <x v="768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3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1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37">
      <pivotArea dataOnly="0" labelOnly="1" outline="0" fieldPosition="0">
        <references count="9">
          <reference field="0" count="1" selected="0">
            <x v="14"/>
          </reference>
          <reference field="3" count="1">
            <x v="7529"/>
          </reference>
          <reference field="5" count="1" selected="0">
            <x v="3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136">
      <pivotArea dataOnly="0" labelOnly="1" outline="0" fieldPosition="0">
        <references count="9">
          <reference field="0" count="1" selected="0">
            <x v="14"/>
          </reference>
          <reference field="3" count="1">
            <x v="7713"/>
          </reference>
          <reference field="5" count="1" selected="0">
            <x v="440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35">
      <pivotArea dataOnly="0" labelOnly="1" outline="0" fieldPosition="0">
        <references count="9">
          <reference field="0" count="1" selected="0">
            <x v="14"/>
          </reference>
          <reference field="3" count="1">
            <x v="7750"/>
          </reference>
          <reference field="5" count="1" selected="0">
            <x v="398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134">
      <pivotArea dataOnly="0" labelOnly="1" outline="0" fieldPosition="0">
        <references count="9">
          <reference field="0" count="1" selected="0">
            <x v="14"/>
          </reference>
          <reference field="3" count="1">
            <x v="7756"/>
          </reference>
          <reference field="5" count="1" selected="0">
            <x v="772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133">
      <pivotArea dataOnly="0" labelOnly="1" outline="0" fieldPosition="0">
        <references count="9">
          <reference field="0" count="1" selected="0">
            <x v="14"/>
          </reference>
          <reference field="3" count="1">
            <x v="7710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132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131">
      <pivotArea dataOnly="0" labelOnly="1" outline="0" fieldPosition="0">
        <references count="9">
          <reference field="0" count="1" selected="0">
            <x v="14"/>
          </reference>
          <reference field="3" count="1">
            <x v="7708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130">
      <pivotArea dataOnly="0" labelOnly="1" outline="0" fieldPosition="0">
        <references count="9">
          <reference field="0" count="1" selected="0">
            <x v="15"/>
          </reference>
          <reference field="3" count="1">
            <x v="7729"/>
          </reference>
          <reference field="5" count="1" selected="0">
            <x v="753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129">
      <pivotArea dataOnly="0" labelOnly="1" outline="0" fieldPosition="0">
        <references count="9">
          <reference field="0" count="1" selected="0">
            <x v="15"/>
          </reference>
          <reference field="3" count="1">
            <x v="2923"/>
          </reference>
          <reference field="5" count="1" selected="0">
            <x v="770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128">
      <pivotArea dataOnly="0" labelOnly="1" outline="0" fieldPosition="0">
        <references count="9">
          <reference field="0" count="1" selected="0">
            <x v="15"/>
          </reference>
          <reference field="3" count="1">
            <x v="7749"/>
          </reference>
          <reference field="5" count="1" selected="0">
            <x v="77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712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313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126">
      <pivotArea dataOnly="0" labelOnly="1" outline="0" fieldPosition="0">
        <references count="9">
          <reference field="0" count="1" selected="0">
            <x v="15"/>
          </reference>
          <reference field="3" count="1">
            <x v="7717"/>
          </reference>
          <reference field="5" count="1" selected="0">
            <x v="8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7125">
      <pivotArea dataOnly="0" labelOnly="1" outline="0" fieldPosition="0">
        <references count="9">
          <reference field="0" count="1" selected="0">
            <x v="15"/>
          </reference>
          <reference field="3" count="1">
            <x v="7748"/>
          </reference>
          <reference field="5" count="1" selected="0">
            <x v="1944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7124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787"/>
          </reference>
          <reference field="5" count="1" selected="0">
            <x v="77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1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3"/>
          </reference>
          <reference field="5" count="1" selected="0">
            <x v="21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1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8"/>
          </reference>
          <reference field="5" count="1" selected="0">
            <x v="77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1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1"/>
          </reference>
          <reference field="5" count="1" selected="0">
            <x v="77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1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0"/>
          </reference>
          <reference field="5" count="1" selected="0">
            <x v="77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1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3"/>
          </reference>
          <reference field="5" count="1" selected="0">
            <x v="77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5"/>
          </reference>
          <reference field="5" count="1" selected="0">
            <x v="77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4"/>
          </reference>
          <reference field="5" count="1" selected="0">
            <x v="77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1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7"/>
          </reference>
          <reference field="5" count="1" selected="0">
            <x v="77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71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1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9"/>
          </reference>
          <reference field="5" count="1" selected="0">
            <x v="77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1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4"/>
          </reference>
          <reference field="5" count="1" selected="0">
            <x v="22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1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4"/>
          </reference>
          <reference field="5" count="1" selected="0">
            <x v="77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1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1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3"/>
          </reference>
          <reference field="5" count="1" selected="0">
            <x v="77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0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61"/>
          </reference>
          <reference field="5" count="1" selected="0">
            <x v="77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10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1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3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770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1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6"/>
          </reference>
          <reference field="5" count="1" selected="0">
            <x v="61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1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7"/>
          </reference>
          <reference field="5" count="1" selected="0">
            <x v="52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1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3"/>
          </reference>
          <reference field="5" count="1" selected="0">
            <x v="18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90"/>
          </reference>
          <reference field="5" count="1" selected="0">
            <x v="76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0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1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9"/>
          </reference>
          <reference field="5" count="1" selected="0">
            <x v="38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0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3"/>
          </reference>
          <reference field="5" count="1" selected="0">
            <x v="44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0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0"/>
          </reference>
          <reference field="5" count="1" selected="0">
            <x v="39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0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6"/>
          </reference>
          <reference field="5" count="1" selected="0">
            <x v="77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0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0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0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29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0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49"/>
          </reference>
          <reference field="5" count="1" selected="0">
            <x v="77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70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31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0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7"/>
          </reference>
          <reference field="5" count="1" selected="0">
            <x v="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7089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61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088">
      <pivotArea dataOnly="0" labelOnly="1" outline="0" fieldPosition="0">
        <references count="11">
          <reference field="0" count="1" selected="0">
            <x v="7"/>
          </reference>
          <reference field="1" count="1">
            <x v="7546"/>
          </reference>
          <reference field="3" count="1" selected="0">
            <x v="7333"/>
          </reference>
          <reference field="5" count="1" selected="0">
            <x v="21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087">
      <pivotArea dataOnly="0" labelOnly="1" outline="0" fieldPosition="0">
        <references count="11">
          <reference field="0" count="1" selected="0">
            <x v="7"/>
          </reference>
          <reference field="1" count="1">
            <x v="7609"/>
          </reference>
          <reference field="3" count="1" selected="0">
            <x v="7781"/>
          </reference>
          <reference field="5" count="1" selected="0">
            <x v="77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086">
      <pivotArea dataOnly="0" labelOnly="1" outline="0" fieldPosition="0">
        <references count="11">
          <reference field="0" count="1" selected="0">
            <x v="7"/>
          </reference>
          <reference field="1" count="1">
            <x v="7610"/>
          </reference>
          <reference field="3" count="1" selected="0">
            <x v="7782"/>
          </reference>
          <reference field="5" count="1" selected="0">
            <x v="77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085">
      <pivotArea dataOnly="0" labelOnly="1" outline="0" fieldPosition="0">
        <references count="11">
          <reference field="0" count="1" selected="0">
            <x v="7"/>
          </reference>
          <reference field="1" count="1">
            <x v="7607"/>
          </reference>
          <reference field="3" count="1" selected="0">
            <x v="7777"/>
          </reference>
          <reference field="5" count="1" selected="0">
            <x v="77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7084">
      <pivotArea dataOnly="0" labelOnly="1" outline="0" fieldPosition="0">
        <references count="11">
          <reference field="0" count="1" selected="0">
            <x v="7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77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083">
      <pivotArea dataOnly="0" labelOnly="1" outline="0" fieldPosition="0">
        <references count="11">
          <reference field="0" count="1" selected="0">
            <x v="7"/>
          </reference>
          <reference field="1" count="1">
            <x v="7604"/>
          </reference>
          <reference field="3" count="1" selected="0">
            <x v="7769"/>
          </reference>
          <reference field="5" count="1" selected="0">
            <x v="77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082">
      <pivotArea dataOnly="0" labelOnly="1" outline="0" fieldPosition="0">
        <references count="11">
          <reference field="0" count="1" selected="0">
            <x v="7"/>
          </reference>
          <reference field="1" count="1">
            <x v="7599"/>
          </reference>
          <reference field="3" count="1" selected="0">
            <x v="7764"/>
          </reference>
          <reference field="5" count="1" selected="0">
            <x v="77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081">
      <pivotArea dataOnly="0" labelOnly="1" outline="0" fieldPosition="0">
        <references count="11">
          <reference field="0" count="1" selected="0">
            <x v="13"/>
          </reference>
          <reference field="1" count="1">
            <x v="7446"/>
          </reference>
          <reference field="3" count="1" selected="0">
            <x v="0"/>
          </reference>
          <reference field="5" count="1" selected="0">
            <x v="554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080">
      <pivotArea dataOnly="0" labelOnly="1" outline="0" fieldPosition="0">
        <references count="11">
          <reference field="0" count="1" selected="0">
            <x v="14"/>
          </reference>
          <reference field="1" count="1">
            <x v="7554"/>
          </reference>
          <reference field="3" count="1" selected="0">
            <x v="7716"/>
          </reference>
          <reference field="5" count="1" selected="0">
            <x v="770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079">
      <pivotArea dataOnly="0" labelOnly="1" outline="0" fieldPosition="0">
        <references count="11">
          <reference field="0" count="1" selected="0">
            <x v="14"/>
          </reference>
          <reference field="1" count="1">
            <x v="7577"/>
          </reference>
          <reference field="3" count="1" selected="0">
            <x v="2926"/>
          </reference>
          <reference field="5" count="1" selected="0">
            <x v="55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078">
      <pivotArea dataOnly="0" labelOnly="1" outline="0" fieldPosition="0">
        <references count="11">
          <reference field="0" count="1" selected="0">
            <x v="14"/>
          </reference>
          <reference field="1" count="1">
            <x v="7596"/>
          </reference>
          <reference field="3" count="1" selected="0">
            <x v="7753"/>
          </reference>
          <reference field="5" count="1" selected="0">
            <x v="18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077">
      <pivotArea dataOnly="0" labelOnly="1" outline="0" fieldPosition="0">
        <references count="11">
          <reference field="0" count="1" selected="0">
            <x v="14"/>
          </reference>
          <reference field="1" count="1">
            <x v="7595"/>
          </reference>
          <reference field="3" count="1" selected="0">
            <x v="7752"/>
          </reference>
          <reference field="5" count="1" selected="0">
            <x v="36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076">
      <pivotArea dataOnly="0" labelOnly="1" outline="0" fieldPosition="0">
        <references count="11">
          <reference field="0" count="1" selected="0">
            <x v="14"/>
          </reference>
          <reference field="1" count="1">
            <x v="7564"/>
          </reference>
          <reference field="3" count="1" selected="0">
            <x v="1390"/>
          </reference>
          <reference field="5" count="1" selected="0">
            <x v="76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075">
      <pivotArea dataOnly="0" labelOnly="1" outline="0" fieldPosition="0">
        <references count="11">
          <reference field="0" count="1" selected="0">
            <x v="14"/>
          </reference>
          <reference field="1" count="1">
            <x v="7306"/>
          </reference>
          <reference field="3" count="1" selected="0">
            <x v="7529"/>
          </reference>
          <reference field="5" count="1" selected="0">
            <x v="385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074">
      <pivotArea dataOnly="0" labelOnly="1" outline="0" fieldPosition="0">
        <references count="11">
          <reference field="0" count="1" selected="0">
            <x v="14"/>
          </reference>
          <reference field="1" count="1">
            <x v="7598"/>
          </reference>
          <reference field="3" count="1" selected="0">
            <x v="7756"/>
          </reference>
          <reference field="5" count="1" selected="0">
            <x v="77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073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708"/>
          </reference>
          <reference field="5" count="1" selected="0">
            <x v="4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072">
      <pivotArea dataOnly="0" labelOnly="1" outline="0" fieldPosition="0">
        <references count="11">
          <reference field="0" count="1" selected="0">
            <x v="15"/>
          </reference>
          <reference field="1" count="1">
            <x v="7572"/>
          </reference>
          <reference field="3" count="1" selected="0">
            <x v="0"/>
          </reference>
          <reference field="5" count="1" selected="0">
            <x v="31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071">
      <pivotArea dataOnly="0" labelOnly="1" outline="0" fieldPosition="0">
        <references count="11">
          <reference field="0" count="1" selected="0">
            <x v="15"/>
          </reference>
          <reference field="1" count="1">
            <x v="7591"/>
          </reference>
          <reference field="3" count="1" selected="0">
            <x v="7748"/>
          </reference>
          <reference field="5" count="1" selected="0">
            <x v="194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7070">
      <pivotArea outline="0" collapsedLevelsAreSubtotals="1" fieldPosition="0"/>
    </format>
    <format dxfId="7069">
      <pivotArea dataOnly="0" labelOnly="1" outline="0" axis="axisValues" fieldPosition="0"/>
    </format>
    <format dxfId="7068">
      <pivotArea dataOnly="0" outline="0" fieldPosition="0">
        <references count="1">
          <reference field="12" count="0" defaultSubtotal="1"/>
        </references>
      </pivotArea>
    </format>
    <format dxfId="7067">
      <pivotArea outline="0" collapsedLevelsAreSubtotals="1" fieldPosition="0"/>
    </format>
    <format dxfId="7066">
      <pivotArea dataOnly="0" labelOnly="1" outline="0" axis="axisValues" fieldPosition="0"/>
    </format>
    <format dxfId="7065">
      <pivotArea outline="0" collapsedLevelsAreSubtotals="1" fieldPosition="0"/>
    </format>
    <format dxfId="7064">
      <pivotArea dataOnly="0" labelOnly="1" outline="0" axis="axisValues" fieldPosition="0"/>
    </format>
    <format dxfId="7063">
      <pivotArea dataOnly="0" labelOnly="1" outline="0" axis="axisValues" fieldPosition="0"/>
    </format>
    <format dxfId="7062">
      <pivotArea outline="0" collapsedLevelsAreSubtotals="1" fieldPosition="0"/>
    </format>
    <format dxfId="7061">
      <pivotArea field="12" type="button" dataOnly="0" labelOnly="1" outline="0" axis="axisRow" fieldPosition="2"/>
    </format>
    <format dxfId="7060">
      <pivotArea field="10" type="button" dataOnly="0" labelOnly="1" outline="0" axis="axisRow" fieldPosition="3"/>
    </format>
    <format dxfId="7059">
      <pivotArea field="16" type="button" dataOnly="0" labelOnly="1" outline="0" axis="axisRow" fieldPosition="4"/>
    </format>
    <format dxfId="7058">
      <pivotArea field="18" type="button" dataOnly="0" labelOnly="1" outline="0" axis="axisRow" fieldPosition="5"/>
    </format>
    <format dxfId="7057">
      <pivotArea field="5" type="button" dataOnly="0" labelOnly="1" outline="0" axis="axisRow" fieldPosition="6"/>
    </format>
    <format dxfId="7056">
      <pivotArea field="9" type="button" dataOnly="0" labelOnly="1" outline="0" axis="axisRow" fieldPosition="7"/>
    </format>
    <format dxfId="7055">
      <pivotArea field="3" type="button" dataOnly="0" labelOnly="1" outline="0" axis="axisRow" fieldPosition="8"/>
    </format>
    <format dxfId="7054">
      <pivotArea field="7" type="button" dataOnly="0" labelOnly="1" outline="0" axis="axisRow" fieldPosition="9"/>
    </format>
    <format dxfId="7053">
      <pivotArea field="1" type="button" dataOnly="0" labelOnly="1" outline="0" axis="axisRow" fieldPosition="10"/>
    </format>
    <format dxfId="7052">
      <pivotArea dataOnly="0" labelOnly="1" outline="0" axis="axisValues" fieldPosition="0"/>
    </format>
    <format dxfId="7051">
      <pivotArea dataOnly="0" labelOnly="1" outline="0" fieldPosition="0">
        <references count="3">
          <reference field="0" count="1" selected="0">
            <x v="10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7050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7049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7048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7047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7046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7045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7044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704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4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4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4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39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7038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703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3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3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703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0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703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703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03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02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02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02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02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02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02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02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02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2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2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1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0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01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0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01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0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0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70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0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70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00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00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00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0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7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0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00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9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9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9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9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9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9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9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9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9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7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7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9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1"/>
          </reference>
        </references>
      </pivotArea>
    </format>
    <format dxfId="69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69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9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69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697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97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6"/>
          </reference>
        </references>
      </pivotArea>
    </format>
    <format dxfId="696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696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96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696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59"/>
            <x v="63"/>
          </reference>
        </references>
      </pivotArea>
    </format>
    <format dxfId="696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6"/>
          </reference>
        </references>
      </pivotArea>
    </format>
    <format dxfId="696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69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69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69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9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9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9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6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9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9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69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9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69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6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6"/>
          </reference>
        </references>
      </pivotArea>
    </format>
    <format dxfId="6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69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9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7"/>
            <x v="41"/>
            <x v="58"/>
            <x v="88"/>
          </reference>
        </references>
      </pivotArea>
    </format>
    <format dxfId="69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4"/>
            <x v="76"/>
            <x v="78"/>
          </reference>
        </references>
      </pivotArea>
    </format>
    <format dxfId="69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9"/>
          </reference>
        </references>
      </pivotArea>
    </format>
    <format dxfId="69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4"/>
          </reference>
        </references>
      </pivotArea>
    </format>
    <format dxfId="6939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938">
      <pivotArea dataOnly="0" labelOnly="1" outline="0" fieldPosition="0">
        <references count="7">
          <reference field="0" count="1" selected="0">
            <x v="14"/>
          </reference>
          <reference field="5" count="1">
            <x v="7748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37">
      <pivotArea dataOnly="0" labelOnly="1" outline="0" fieldPosition="0">
        <references count="7">
          <reference field="0" count="1" selected="0">
            <x v="7"/>
          </reference>
          <reference field="5" count="1">
            <x v="774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936">
      <pivotArea dataOnly="0" labelOnly="1" outline="0" fieldPosition="0">
        <references count="7">
          <reference field="0" count="1" selected="0">
            <x v="7"/>
          </reference>
          <reference field="5" count="1">
            <x v="213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935">
      <pivotArea dataOnly="0" labelOnly="1" outline="0" fieldPosition="0">
        <references count="7">
          <reference field="0" count="1" selected="0">
            <x v="10"/>
          </reference>
          <reference field="5" count="1">
            <x v="571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934">
      <pivotArea dataOnly="0" labelOnly="1" outline="0" fieldPosition="0">
        <references count="7">
          <reference field="0" count="1" selected="0">
            <x v="10"/>
          </reference>
          <reference field="5" count="1">
            <x v="674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33">
      <pivotArea dataOnly="0" labelOnly="1" outline="0" fieldPosition="0">
        <references count="7">
          <reference field="0" count="1" selected="0">
            <x v="10"/>
          </reference>
          <reference field="5" count="1">
            <x v="737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932">
      <pivotArea dataOnly="0" labelOnly="1" outline="0" fieldPosition="0">
        <references count="7">
          <reference field="0" count="1" selected="0">
            <x v="10"/>
          </reference>
          <reference field="5" count="1">
            <x v="195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931">
      <pivotArea dataOnly="0" labelOnly="1" outline="0" fieldPosition="0">
        <references count="7">
          <reference field="0" count="1" selected="0">
            <x v="10"/>
          </reference>
          <reference field="5" count="1">
            <x v="464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930">
      <pivotArea dataOnly="0" labelOnly="1" outline="0" fieldPosition="0">
        <references count="7">
          <reference field="0" count="1" selected="0">
            <x v="10"/>
          </reference>
          <reference field="5" count="1">
            <x v="499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929">
      <pivotArea dataOnly="0" labelOnly="1" outline="0" fieldPosition="0">
        <references count="7">
          <reference field="0" count="1" selected="0">
            <x v="13"/>
          </reference>
          <reference field="5" count="2">
            <x v="7148"/>
            <x v="76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928">
      <pivotArea dataOnly="0" labelOnly="1" outline="0" fieldPosition="0">
        <references count="7">
          <reference field="0" count="1" selected="0">
            <x v="13"/>
          </reference>
          <reference field="5" count="1">
            <x v="4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27">
      <pivotArea dataOnly="0" labelOnly="1" outline="0" fieldPosition="0">
        <references count="7">
          <reference field="0" count="1" selected="0">
            <x v="13"/>
          </reference>
          <reference field="5" count="1">
            <x v="7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926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25">
      <pivotArea dataOnly="0" labelOnly="1" outline="0" fieldPosition="0">
        <references count="7">
          <reference field="0" count="1" selected="0">
            <x v="13"/>
          </reference>
          <reference field="5" count="2">
            <x v="2593"/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924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923">
      <pivotArea dataOnly="0" labelOnly="1" outline="0" fieldPosition="0">
        <references count="7">
          <reference field="0" count="1" selected="0">
            <x v="14"/>
          </reference>
          <reference field="5" count="1">
            <x v="755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22">
      <pivotArea dataOnly="0" labelOnly="1" outline="0" fieldPosition="0">
        <references count="7">
          <reference field="0" count="1" selected="0">
            <x v="14"/>
          </reference>
          <reference field="5" count="1">
            <x v="614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921">
      <pivotArea dataOnly="0" labelOnly="1" outline="0" fieldPosition="0">
        <references count="7">
          <reference field="0" count="1" selected="0">
            <x v="14"/>
          </reference>
          <reference field="5" count="1">
            <x v="3475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20">
      <pivotArea dataOnly="0" labelOnly="1" outline="0" fieldPosition="0">
        <references count="7">
          <reference field="0" count="1" selected="0">
            <x v="14"/>
          </reference>
          <reference field="5" count="1">
            <x v="7713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919">
      <pivotArea dataOnly="0" labelOnly="1" outline="0" fieldPosition="0">
        <references count="7">
          <reference field="0" count="1" selected="0">
            <x v="14"/>
          </reference>
          <reference field="5" count="2">
            <x v="5943"/>
            <x v="656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918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917">
      <pivotArea dataOnly="0" labelOnly="1" outline="0" fieldPosition="0">
        <references count="7">
          <reference field="0" count="1" selected="0">
            <x v="15"/>
          </reference>
          <reference field="5" count="1">
            <x v="19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916">
      <pivotArea dataOnly="0" labelOnly="1" outline="0" fieldPosition="0">
        <references count="7">
          <reference field="0" count="1" selected="0">
            <x v="15"/>
          </reference>
          <reference field="5" count="2">
            <x v="7539"/>
            <x v="77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915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914">
      <pivotArea dataOnly="0" labelOnly="1" outline="0" fieldPosition="0">
        <references count="7">
          <reference field="0" count="1" selected="0">
            <x v="15"/>
          </reference>
          <reference field="5" count="1">
            <x v="77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913">
      <pivotArea dataOnly="0" labelOnly="1" outline="0" fieldPosition="0">
        <references count="7">
          <reference field="0" count="1" selected="0">
            <x v="15"/>
          </reference>
          <reference field="5" count="1">
            <x v="774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6912">
      <pivotArea dataOnly="0" labelOnly="1" outline="0" fieldPosition="0">
        <references count="7">
          <reference field="0" count="1" selected="0">
            <x v="15"/>
          </reference>
          <reference field="5" count="1">
            <x v="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6911">
      <pivotArea dataOnly="0" labelOnly="1" outline="0" fieldPosition="0">
        <references count="7">
          <reference field="0" count="1" selected="0">
            <x v="15"/>
          </reference>
          <reference field="5" count="2">
            <x v="7684"/>
            <x v="77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910">
      <pivotArea dataOnly="0" labelOnly="1" outline="0" fieldPosition="0">
        <references count="7">
          <reference field="0" count="1" selected="0">
            <x v="15"/>
          </reference>
          <reference field="5" count="1">
            <x v="774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9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9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9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90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7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0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3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90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90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9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9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90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8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8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89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8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8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891">
      <pivotArea dataOnly="0" labelOnly="1" outline="0" fieldPosition="0">
        <references count="9">
          <reference field="0" count="1" selected="0">
            <x v="14"/>
          </reference>
          <reference field="3" count="1">
            <x v="7679"/>
          </reference>
          <reference field="5" count="1" selected="0">
            <x v="774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90">
      <pivotArea dataOnly="0" labelOnly="1" outline="0" fieldPosition="0">
        <references count="9">
          <reference field="0" count="1" selected="0">
            <x v="7"/>
          </reference>
          <reference field="3" count="1">
            <x v="7549"/>
          </reference>
          <reference field="5" count="1" selected="0">
            <x v="774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889">
      <pivotArea dataOnly="0" labelOnly="1" outline="0" fieldPosition="0">
        <references count="9">
          <reference field="0" count="1" selected="0">
            <x v="7"/>
          </reference>
          <reference field="3" count="1">
            <x v="7333"/>
          </reference>
          <reference field="5" count="1" selected="0">
            <x v="21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888">
      <pivotArea dataOnly="0" labelOnly="1" outline="0" fieldPosition="0">
        <references count="9">
          <reference field="0" count="1" selected="0">
            <x v="10"/>
          </reference>
          <reference field="3" count="1">
            <x v="7351"/>
          </reference>
          <reference field="5" count="1" selected="0">
            <x v="57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887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7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86">
      <pivotArea dataOnly="0" labelOnly="1" outline="0" fieldPosition="0">
        <references count="9">
          <reference field="0" count="1" selected="0">
            <x v="10"/>
          </reference>
          <reference field="3" count="1">
            <x v="7793"/>
          </reference>
          <reference field="5" count="1" selected="0">
            <x v="73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85">
      <pivotArea dataOnly="0" labelOnly="1" outline="0" fieldPosition="0">
        <references count="9">
          <reference field="0" count="1" selected="0">
            <x v="10"/>
          </reference>
          <reference field="3" count="1">
            <x v="7796"/>
          </reference>
          <reference field="5" count="1" selected="0">
            <x v="19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884">
      <pivotArea dataOnly="0" labelOnly="1" outline="0" fieldPosition="0">
        <references count="9">
          <reference field="0" count="1" selected="0">
            <x v="10"/>
          </reference>
          <reference field="3" count="1">
            <x v="7352"/>
          </reference>
          <reference field="5" count="1" selected="0">
            <x v="46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883">
      <pivotArea dataOnly="0" labelOnly="1" outline="0" fieldPosition="0">
        <references count="9">
          <reference field="0" count="1" selected="0">
            <x v="10"/>
          </reference>
          <reference field="3" count="1">
            <x v="7788"/>
          </reference>
          <reference field="5" count="1" selected="0">
            <x v="49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88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8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8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4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879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34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7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1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77">
      <pivotArea dataOnly="0" labelOnly="1" outline="0" fieldPosition="0">
        <references count="9">
          <reference field="0" count="1" selected="0">
            <x v="14"/>
          </reference>
          <reference field="3" count="1">
            <x v="7710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876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875">
      <pivotArea dataOnly="0" labelOnly="1" outline="0" fieldPosition="0">
        <references count="9">
          <reference field="0" count="1" selected="0">
            <x v="14"/>
          </reference>
          <reference field="3" count="1">
            <x v="7708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874">
      <pivotArea dataOnly="0" labelOnly="1" outline="0" fieldPosition="0">
        <references count="9">
          <reference field="0" count="1" selected="0">
            <x v="15"/>
          </reference>
          <reference field="3" count="1">
            <x v="7616"/>
          </reference>
          <reference field="5" count="1" selected="0">
            <x v="19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873">
      <pivotArea dataOnly="0" labelOnly="1" outline="0" fieldPosition="0">
        <references count="9">
          <reference field="0" count="1" selected="0">
            <x v="15"/>
          </reference>
          <reference field="3" count="1">
            <x v="7729"/>
          </reference>
          <reference field="5" count="1" selected="0">
            <x v="753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872">
      <pivotArea dataOnly="0" labelOnly="1" outline="0" fieldPosition="0">
        <references count="9">
          <reference field="0" count="1" selected="0">
            <x v="15"/>
          </reference>
          <reference field="3" count="1">
            <x v="2923"/>
          </reference>
          <reference field="5" count="1" selected="0">
            <x v="770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871">
      <pivotArea dataOnly="0" labelOnly="1" outline="0" fieldPosition="0">
        <references count="9">
          <reference field="0" count="1" selected="0">
            <x v="15"/>
          </reference>
          <reference field="3" count="1">
            <x v="7749"/>
          </reference>
          <reference field="5" count="1" selected="0">
            <x v="77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870">
      <pivotArea dataOnly="0" labelOnly="1" outline="0" fieldPosition="0">
        <references count="9">
          <reference field="0" count="1" selected="0">
            <x v="15"/>
          </reference>
          <reference field="3" count="1">
            <x v="7717"/>
          </reference>
          <reference field="5" count="1" selected="0">
            <x v="8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686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8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8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8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9"/>
          </reference>
          <reference field="5" count="1" selected="0">
            <x v="77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9"/>
          </reference>
          <reference field="5" count="1" selected="0">
            <x v="77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8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3"/>
          </reference>
          <reference field="5" count="1" selected="0">
            <x v="21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86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74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6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93"/>
          </reference>
          <reference field="5" count="1" selected="0">
            <x v="73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6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96"/>
          </reference>
          <reference field="5" count="1" selected="0">
            <x v="19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86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88"/>
          </reference>
          <reference field="5" count="1" selected="0">
            <x v="49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86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8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8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3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1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0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8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6"/>
          </reference>
          <reference field="5" count="1" selected="0">
            <x v="19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8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29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8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49"/>
          </reference>
          <reference field="5" count="1" selected="0">
            <x v="77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8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17"/>
          </reference>
          <reference field="5" count="1" selected="0">
            <x v="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68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8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849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61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848">
      <pivotArea dataOnly="0" labelOnly="1" outline="0" fieldPosition="0">
        <references count="11">
          <reference field="0" count="1" selected="0">
            <x v="7"/>
          </reference>
          <reference field="1" count="1">
            <x v="7623"/>
          </reference>
          <reference field="3" count="1" selected="0">
            <x v="7549"/>
          </reference>
          <reference field="5" count="1" selected="0">
            <x v="77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847">
      <pivotArea dataOnly="0" labelOnly="1" outline="0" fieldPosition="0">
        <references count="11">
          <reference field="0" count="1" selected="0">
            <x v="7"/>
          </reference>
          <reference field="1" count="1">
            <x v="7622"/>
          </reference>
          <reference field="3" count="1" selected="0">
            <x v="7333"/>
          </reference>
          <reference field="5" count="1" selected="0">
            <x v="21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846">
      <pivotArea dataOnly="0" labelOnly="1" outline="0" fieldPosition="0">
        <references count="11">
          <reference field="0" count="1" selected="0">
            <x v="10"/>
          </reference>
          <reference field="1" count="1">
            <x v="7095"/>
          </reference>
          <reference field="3" count="1" selected="0">
            <x v="7352"/>
          </reference>
          <reference field="5" count="1" selected="0">
            <x v="46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845">
      <pivotArea dataOnly="0" labelOnly="1" outline="0" fieldPosition="0">
        <references count="11">
          <reference field="0" count="1" selected="0">
            <x v="10"/>
          </reference>
          <reference field="1" count="1">
            <x v="7618"/>
          </reference>
          <reference field="3" count="1" selected="0">
            <x v="7788"/>
          </reference>
          <reference field="5" count="1" selected="0">
            <x v="49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844">
      <pivotArea dataOnly="0" labelOnly="1" outline="0" fieldPosition="0">
        <references count="11">
          <reference field="0" count="1" selected="0">
            <x v="13"/>
          </reference>
          <reference field="1" count="1">
            <x v="7446"/>
          </reference>
          <reference field="3" count="1" selected="0">
            <x v="0"/>
          </reference>
          <reference field="5" count="1" selected="0">
            <x v="554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843">
      <pivotArea dataOnly="0" labelOnly="1" outline="0" fieldPosition="0">
        <references count="11">
          <reference field="0" count="1" selected="0">
            <x v="14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61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842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708"/>
          </reference>
          <reference field="5" count="1" selected="0">
            <x v="4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841">
      <pivotArea dataOnly="0" labelOnly="1" outline="0" fieldPosition="0">
        <references count="11">
          <reference field="0" count="1" selected="0">
            <x v="15"/>
          </reference>
          <reference field="1" count="1">
            <x v="7520"/>
          </reference>
          <reference field="3" count="1" selected="0">
            <x v="0"/>
          </reference>
          <reference field="5" count="1" selected="0">
            <x v="76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840">
      <pivotArea outline="0" collapsedLevelsAreSubtotals="1" fieldPosition="0"/>
    </format>
    <format dxfId="6839">
      <pivotArea dataOnly="0" labelOnly="1" outline="0" axis="axisValues" fieldPosition="0"/>
    </format>
    <format dxfId="6838">
      <pivotArea dataOnly="0" outline="0" fieldPosition="0">
        <references count="1">
          <reference field="12" count="0" defaultSubtotal="1"/>
        </references>
      </pivotArea>
    </format>
    <format dxfId="6837">
      <pivotArea outline="0" collapsedLevelsAreSubtotals="1" fieldPosition="0"/>
    </format>
    <format dxfId="6836">
      <pivotArea dataOnly="0" labelOnly="1" outline="0" axis="axisValues" fieldPosition="0"/>
    </format>
    <format dxfId="6835">
      <pivotArea outline="0" collapsedLevelsAreSubtotals="1" fieldPosition="0"/>
    </format>
    <format dxfId="6834">
      <pivotArea dataOnly="0" labelOnly="1" outline="0" axis="axisValues" fieldPosition="0"/>
    </format>
    <format dxfId="6833">
      <pivotArea dataOnly="0" labelOnly="1" outline="0" axis="axisValues" fieldPosition="0"/>
    </format>
    <format dxfId="6832">
      <pivotArea outline="0" collapsedLevelsAreSubtotals="1" fieldPosition="0"/>
    </format>
    <format dxfId="6831">
      <pivotArea field="12" type="button" dataOnly="0" labelOnly="1" outline="0" axis="axisRow" fieldPosition="2"/>
    </format>
    <format dxfId="6830">
      <pivotArea field="10" type="button" dataOnly="0" labelOnly="1" outline="0" axis="axisRow" fieldPosition="3"/>
    </format>
    <format dxfId="6829">
      <pivotArea field="16" type="button" dataOnly="0" labelOnly="1" outline="0" axis="axisRow" fieldPosition="4"/>
    </format>
    <format dxfId="6828">
      <pivotArea field="18" type="button" dataOnly="0" labelOnly="1" outline="0" axis="axisRow" fieldPosition="5"/>
    </format>
    <format dxfId="6827">
      <pivotArea field="5" type="button" dataOnly="0" labelOnly="1" outline="0" axis="axisRow" fieldPosition="6"/>
    </format>
    <format dxfId="6826">
      <pivotArea field="9" type="button" dataOnly="0" labelOnly="1" outline="0" axis="axisRow" fieldPosition="7"/>
    </format>
    <format dxfId="6825">
      <pivotArea field="3" type="button" dataOnly="0" labelOnly="1" outline="0" axis="axisRow" fieldPosition="8"/>
    </format>
    <format dxfId="6824">
      <pivotArea field="7" type="button" dataOnly="0" labelOnly="1" outline="0" axis="axisRow" fieldPosition="9"/>
    </format>
    <format dxfId="6823">
      <pivotArea field="1" type="button" dataOnly="0" labelOnly="1" outline="0" axis="axisRow" fieldPosition="10"/>
    </format>
    <format dxfId="6822">
      <pivotArea dataOnly="0" labelOnly="1" outline="0" axis="axisValues" fieldPosition="0"/>
    </format>
    <format dxfId="6821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4"/>
          </reference>
          <reference field="13" count="1" selected="0">
            <x v="0"/>
          </reference>
        </references>
      </pivotArea>
    </format>
    <format dxfId="682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4"/>
          </reference>
          <reference field="13" count="1" selected="0">
            <x v="0"/>
          </reference>
        </references>
      </pivotArea>
    </format>
    <format dxfId="6819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6818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6817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681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681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1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1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1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11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6810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680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0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680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0"/>
          </reference>
        </references>
      </pivotArea>
    </format>
    <format dxfId="680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80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80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80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80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0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79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79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7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79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7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7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7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67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7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7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7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78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7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7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78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78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678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78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7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5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7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75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70"/>
          </reference>
        </references>
      </pivotArea>
    </format>
    <format dxfId="675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77"/>
          </reference>
        </references>
      </pivotArea>
    </format>
    <format dxfId="675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67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675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9"/>
            <x v="63"/>
          </reference>
        </references>
      </pivotArea>
    </format>
    <format dxfId="67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67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67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7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7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7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6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6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6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6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6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7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7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67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6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7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7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7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5"/>
            <x v="36"/>
            <x v="37"/>
            <x v="41"/>
            <x v="42"/>
            <x v="58"/>
            <x v="88"/>
          </reference>
        </references>
      </pivotArea>
    </format>
    <format dxfId="67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1"/>
            <x v="43"/>
            <x v="44"/>
            <x v="73"/>
            <x v="76"/>
            <x v="78"/>
          </reference>
        </references>
      </pivotArea>
    </format>
    <format dxfId="67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6724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23">
      <pivotArea dataOnly="0" labelOnly="1" outline="0" fieldPosition="0">
        <references count="7">
          <reference field="0" count="1" selected="0">
            <x v="14"/>
          </reference>
          <reference field="5" count="1">
            <x v="7748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22">
      <pivotArea dataOnly="0" labelOnly="1" outline="0" fieldPosition="0">
        <references count="7">
          <reference field="0" count="1" selected="0">
            <x v="2"/>
          </reference>
          <reference field="5" count="1">
            <x v="600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21">
      <pivotArea dataOnly="0" labelOnly="1" outline="0" fieldPosition="0">
        <references count="7">
          <reference field="0" count="1" selected="0">
            <x v="2"/>
          </reference>
          <reference field="5" count="1">
            <x v="43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720">
      <pivotArea dataOnly="0" labelOnly="1" outline="0" fieldPosition="0">
        <references count="7">
          <reference field="0" count="1" selected="0">
            <x v="2"/>
          </reference>
          <reference field="5" count="1">
            <x v="470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719">
      <pivotArea dataOnly="0" labelOnly="1" outline="0" fieldPosition="0">
        <references count="7">
          <reference field="0" count="1" selected="0">
            <x v="7"/>
          </reference>
          <reference field="5" count="1">
            <x v="2130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718">
      <pivotArea dataOnly="0" labelOnly="1" outline="0" fieldPosition="0">
        <references count="7">
          <reference field="0" count="1" selected="0">
            <x v="12"/>
          </reference>
          <reference field="5" count="1">
            <x v="594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717">
      <pivotArea dataOnly="0" labelOnly="1" outline="0" fieldPosition="0">
        <references count="7">
          <reference field="0" count="1" selected="0">
            <x v="12"/>
          </reference>
          <reference field="5" count="2">
            <x v="7757"/>
            <x v="775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716">
      <pivotArea dataOnly="0" labelOnly="1" outline="0" fieldPosition="0">
        <references count="7">
          <reference field="0" count="1" selected="0">
            <x v="12"/>
          </reference>
          <reference field="5" count="1">
            <x v="775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715">
      <pivotArea dataOnly="0" labelOnly="1" outline="0" fieldPosition="0">
        <references count="7">
          <reference field="0" count="1" selected="0">
            <x v="13"/>
          </reference>
          <reference field="5" count="2">
            <x v="7148"/>
            <x v="76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714">
      <pivotArea dataOnly="0" labelOnly="1" outline="0" fieldPosition="0">
        <references count="7">
          <reference field="0" count="1" selected="0">
            <x v="13"/>
          </reference>
          <reference field="5" count="1">
            <x v="4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13">
      <pivotArea dataOnly="0" labelOnly="1" outline="0" fieldPosition="0">
        <references count="7">
          <reference field="0" count="1" selected="0">
            <x v="13"/>
          </reference>
          <reference field="5" count="1">
            <x v="7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12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11">
      <pivotArea dataOnly="0" labelOnly="1" outline="0" fieldPosition="0">
        <references count="7">
          <reference field="0" count="1" selected="0">
            <x v="13"/>
          </reference>
          <reference field="5" count="2">
            <x v="2593"/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10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09">
      <pivotArea dataOnly="0" labelOnly="1" outline="0" fieldPosition="0">
        <references count="7">
          <reference field="0" count="1" selected="0">
            <x v="14"/>
          </reference>
          <reference field="5" count="1">
            <x v="3433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6708">
      <pivotArea dataOnly="0" labelOnly="1" outline="0" fieldPosition="0">
        <references count="7">
          <reference field="0" count="1" selected="0">
            <x v="14"/>
          </reference>
          <reference field="5" count="1">
            <x v="716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707">
      <pivotArea dataOnly="0" labelOnly="1" outline="0" fieldPosition="0">
        <references count="7">
          <reference field="0" count="1" selected="0">
            <x v="14"/>
          </reference>
          <reference field="5" count="1">
            <x v="775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706">
      <pivotArea dataOnly="0" labelOnly="1" outline="0" fieldPosition="0">
        <references count="7">
          <reference field="0" count="1" selected="0">
            <x v="14"/>
          </reference>
          <reference field="5" count="1">
            <x v="7609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705">
      <pivotArea dataOnly="0" labelOnly="1" outline="0" fieldPosition="0">
        <references count="7">
          <reference field="0" count="1" selected="0">
            <x v="14"/>
          </reference>
          <reference field="5" count="1">
            <x v="3475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04">
      <pivotArea dataOnly="0" labelOnly="1" outline="0" fieldPosition="0">
        <references count="7">
          <reference field="0" count="1" selected="0">
            <x v="14"/>
          </reference>
          <reference field="5" count="1">
            <x v="3988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703">
      <pivotArea dataOnly="0" labelOnly="1" outline="0" fieldPosition="0">
        <references count="7">
          <reference field="0" count="1" selected="0">
            <x v="14"/>
          </reference>
          <reference field="5" count="2">
            <x v="5943"/>
            <x v="656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702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701">
      <pivotArea dataOnly="0" labelOnly="1" outline="0" fieldPosition="0">
        <references count="7">
          <reference field="0" count="1" selected="0">
            <x v="14"/>
          </reference>
          <reference field="5" count="1">
            <x v="2353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700">
      <pivotArea dataOnly="0" labelOnly="1" outline="0" fieldPosition="0">
        <references count="7">
          <reference field="0" count="1" selected="0">
            <x v="15"/>
          </reference>
          <reference field="5" count="1">
            <x v="77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99">
      <pivotArea dataOnly="0" labelOnly="1" outline="0" fieldPosition="0">
        <references count="7">
          <reference field="0" count="1" selected="0">
            <x v="15"/>
          </reference>
          <reference field="5" count="1">
            <x v="753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698">
      <pivotArea dataOnly="0" labelOnly="1" outline="0" fieldPosition="0">
        <references count="7">
          <reference field="0" count="1" selected="0">
            <x v="15"/>
          </reference>
          <reference field="5" count="1">
            <x v="77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697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696">
      <pivotArea dataOnly="0" labelOnly="1" outline="0" fieldPosition="0">
        <references count="7">
          <reference field="0" count="1" selected="0">
            <x v="15"/>
          </reference>
          <reference field="5" count="1">
            <x v="77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695">
      <pivotArea dataOnly="0" labelOnly="1" outline="0" fieldPosition="0">
        <references count="7">
          <reference field="0" count="1" selected="0">
            <x v="15"/>
          </reference>
          <reference field="5" count="1">
            <x v="313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694">
      <pivotArea dataOnly="0" labelOnly="1" outline="0" fieldPosition="0">
        <references count="7">
          <reference field="0" count="1" selected="0">
            <x v="15"/>
          </reference>
          <reference field="5" count="1">
            <x v="77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6693">
      <pivotArea dataOnly="0" labelOnly="1" outline="0" fieldPosition="0">
        <references count="7">
          <reference field="0" count="1" selected="0">
            <x v="15"/>
          </reference>
          <reference field="5" count="1">
            <x v="774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6692">
      <pivotArea dataOnly="0" labelOnly="1" outline="0" fieldPosition="0">
        <references count="7">
          <reference field="0" count="1" selected="0">
            <x v="15"/>
          </reference>
          <reference field="5" count="1">
            <x v="775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8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0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8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7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6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68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4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6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68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3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66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6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6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6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6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6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5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6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5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6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72">
      <pivotArea dataOnly="0" labelOnly="1" outline="0" fieldPosition="0">
        <references count="9">
          <reference field="0" count="1" selected="0">
            <x v="14"/>
          </reference>
          <reference field="3" count="1">
            <x v="7679"/>
          </reference>
          <reference field="5" count="1" selected="0">
            <x v="774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71">
      <pivotArea dataOnly="0" labelOnly="1" outline="0" fieldPosition="0">
        <references count="9">
          <reference field="0" count="1" selected="0">
            <x v="2"/>
          </reference>
          <reference field="3" count="1">
            <x v="7719"/>
          </reference>
          <reference field="5" count="1" selected="0">
            <x v="60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70">
      <pivotArea dataOnly="0" labelOnly="1" outline="0" fieldPosition="0">
        <references count="9">
          <reference field="0" count="1" selected="0">
            <x v="2"/>
          </reference>
          <reference field="3" count="1">
            <x v="7722"/>
          </reference>
          <reference field="5" count="1" selected="0">
            <x v="43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669">
      <pivotArea dataOnly="0" labelOnly="1" outline="0" fieldPosition="0">
        <references count="9">
          <reference field="0" count="1" selected="0">
            <x v="2"/>
          </reference>
          <reference field="3" count="1">
            <x v="7720"/>
          </reference>
          <reference field="5" count="1" selected="0">
            <x v="47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668">
      <pivotArea dataOnly="0" labelOnly="1" outline="0" fieldPosition="0">
        <references count="9">
          <reference field="0" count="1" selected="0">
            <x v="7"/>
          </reference>
          <reference field="3" count="1">
            <x v="7333"/>
          </reference>
          <reference field="5" count="1" selected="0">
            <x v="21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66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4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66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665">
      <pivotArea dataOnly="0" labelOnly="1" outline="0" fieldPosition="0">
        <references count="9">
          <reference field="0" count="1" selected="0">
            <x v="14"/>
          </reference>
          <reference field="3" count="1">
            <x v="7720"/>
          </reference>
          <reference field="5" count="1" selected="0">
            <x v="343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666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5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663">
      <pivotArea dataOnly="0" labelOnly="1" outline="0" fieldPosition="0">
        <references count="9">
          <reference field="0" count="1" selected="0">
            <x v="14"/>
          </reference>
          <reference field="3" count="1">
            <x v="7618"/>
          </reference>
          <reference field="5" count="1" selected="0">
            <x v="76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662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34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61">
      <pivotArea dataOnly="0" labelOnly="1" outline="0" fieldPosition="0">
        <references count="9">
          <reference field="0" count="1" selected="0">
            <x v="14"/>
          </reference>
          <reference field="3" count="1">
            <x v="7750"/>
          </reference>
          <reference field="5" count="1" selected="0">
            <x v="398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660">
      <pivotArea dataOnly="0" labelOnly="1" outline="0" fieldPosition="0">
        <references count="9">
          <reference field="0" count="1" selected="0">
            <x v="14"/>
          </reference>
          <reference field="3" count="1">
            <x v="7710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659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658">
      <pivotArea dataOnly="0" labelOnly="1" outline="0" fieldPosition="0">
        <references count="9">
          <reference field="0" count="1" selected="0">
            <x v="14"/>
          </reference>
          <reference field="3" count="1">
            <x v="7708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657">
      <pivotArea dataOnly="0" labelOnly="1" outline="0" fieldPosition="0">
        <references count="9">
          <reference field="0" count="1" selected="0">
            <x v="14"/>
          </reference>
          <reference field="3" count="1">
            <x v="7800"/>
          </reference>
          <reference field="5" count="1" selected="0">
            <x v="235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65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55">
      <pivotArea dataOnly="0" labelOnly="1" outline="0" fieldPosition="0">
        <references count="9">
          <reference field="0" count="1" selected="0">
            <x v="15"/>
          </reference>
          <reference field="3" count="1">
            <x v="7729"/>
          </reference>
          <reference field="5" count="1" selected="0">
            <x v="753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654">
      <pivotArea dataOnly="0" labelOnly="1" outline="0" fieldPosition="0">
        <references count="9">
          <reference field="0" count="1" selected="0">
            <x v="15"/>
          </reference>
          <reference field="3" count="1">
            <x v="7798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65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652">
      <pivotArea dataOnly="0" labelOnly="1" outline="0" fieldPosition="0">
        <references count="9">
          <reference field="0" count="1" selected="0">
            <x v="15"/>
          </reference>
          <reference field="3" count="1">
            <x v="7749"/>
          </reference>
          <reference field="5" count="1" selected="0">
            <x v="77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6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9"/>
          </reference>
          <reference field="5" count="1" selected="0">
            <x v="77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4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19"/>
          </reference>
          <reference field="5" count="1" selected="0">
            <x v="60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4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20"/>
          </reference>
          <reference field="5" count="1" selected="0">
            <x v="47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6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3"/>
          </reference>
          <reference field="5" count="1" selected="0">
            <x v="21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64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6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6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0"/>
          </reference>
          <reference field="5" count="1" selected="0">
            <x v="34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66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5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6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8"/>
          </reference>
          <reference field="5" count="1" selected="0">
            <x v="76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6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3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0"/>
          </reference>
          <reference field="5" count="1" selected="0">
            <x v="39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6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0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6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0"/>
          </reference>
          <reference field="5" count="1" selected="0">
            <x v="23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6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29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6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8"/>
          </reference>
          <reference field="5" count="1" selected="0">
            <x v="77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6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6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49"/>
          </reference>
          <reference field="5" count="1" selected="0">
            <x v="77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632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61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31">
      <pivotArea dataOnly="0" labelOnly="1" outline="0" fieldPosition="0">
        <references count="11">
          <reference field="0" count="1" selected="0">
            <x v="2"/>
          </reference>
          <reference field="1" count="1">
            <x v="7632"/>
          </reference>
          <reference field="3" count="1" selected="0">
            <x v="7722"/>
          </reference>
          <reference field="5" count="1" selected="0">
            <x v="43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630">
      <pivotArea dataOnly="0" labelOnly="1" outline="0" fieldPosition="0">
        <references count="11">
          <reference field="0" count="1" selected="0">
            <x v="2"/>
          </reference>
          <reference field="1" count="1">
            <x v="7633"/>
          </reference>
          <reference field="3" count="1" selected="0">
            <x v="7720"/>
          </reference>
          <reference field="5" count="1" selected="0">
            <x v="47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629">
      <pivotArea dataOnly="0" labelOnly="1" outline="0" fieldPosition="0">
        <references count="11">
          <reference field="0" count="1" selected="0">
            <x v="7"/>
          </reference>
          <reference field="1" count="1">
            <x v="7622"/>
          </reference>
          <reference field="3" count="1" selected="0">
            <x v="7333"/>
          </reference>
          <reference field="5" count="1" selected="0">
            <x v="21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628">
      <pivotArea dataOnly="0" labelOnly="1" outline="0" fieldPosition="0">
        <references count="11">
          <reference field="0" count="1" selected="0">
            <x v="12"/>
          </reference>
          <reference field="1" count="1">
            <x v="7458"/>
          </reference>
          <reference field="3" count="1" selected="0">
            <x v="0"/>
          </reference>
          <reference field="5" count="1" selected="0">
            <x v="59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627">
      <pivotArea dataOnly="0" labelOnly="1" outline="0" fieldPosition="0">
        <references count="11">
          <reference field="0" count="1" selected="0">
            <x v="12"/>
          </reference>
          <reference field="1" count="1">
            <x v="7631"/>
          </reference>
          <reference field="3" count="1" selected="0">
            <x v="0"/>
          </reference>
          <reference field="5" count="1" selected="0">
            <x v="775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626">
      <pivotArea dataOnly="0" labelOnly="1" outline="0" fieldPosition="0">
        <references count="11">
          <reference field="0" count="1" selected="0">
            <x v="13"/>
          </reference>
          <reference field="1" count="1">
            <x v="7630"/>
          </reference>
          <reference field="3" count="1" selected="0">
            <x v="0"/>
          </reference>
          <reference field="5" count="1" selected="0">
            <x v="554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25">
      <pivotArea dataOnly="0" labelOnly="1" outline="0" fieldPosition="0">
        <references count="11">
          <reference field="0" count="1" selected="0">
            <x v="14"/>
          </reference>
          <reference field="1" count="1">
            <x v="7627"/>
          </reference>
          <reference field="3" count="1" selected="0">
            <x v="7618"/>
          </reference>
          <reference field="5" count="1" selected="0">
            <x v="760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624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708"/>
          </reference>
          <reference field="5" count="1" selected="0">
            <x v="4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623">
      <pivotArea dataOnly="0" labelOnly="1" outline="0" fieldPosition="0">
        <references count="11">
          <reference field="0" count="1" selected="0">
            <x v="15"/>
          </reference>
          <reference field="1" count="1">
            <x v="7626"/>
          </reference>
          <reference field="3" count="1" selected="0">
            <x v="0"/>
          </reference>
          <reference field="5" count="1" selected="0">
            <x v="77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22">
      <pivotArea dataOnly="0" labelOnly="1" outline="0" fieldPosition="0">
        <references count="11">
          <reference field="0" count="1" selected="0">
            <x v="15"/>
          </reference>
          <reference field="1" count="1">
            <x v="7625"/>
          </reference>
          <reference field="3" count="1" selected="0">
            <x v="7798"/>
          </reference>
          <reference field="5" count="1" selected="0">
            <x v="77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621">
      <pivotArea dataOnly="0" labelOnly="1" outline="0" fieldPosition="0">
        <references count="11">
          <reference field="0" count="1" selected="0">
            <x v="15"/>
          </reference>
          <reference field="1" count="1">
            <x v="7572"/>
          </reference>
          <reference field="3" count="1" selected="0">
            <x v="0"/>
          </reference>
          <reference field="5" count="1" selected="0">
            <x v="31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620">
      <pivotArea dataOnly="0" labelOnly="1" outline="0" fieldPosition="0">
        <references count="11">
          <reference field="0" count="1" selected="0">
            <x v="15"/>
          </reference>
          <reference field="1" count="1">
            <x v="7624"/>
          </reference>
          <reference field="3" count="1" selected="0">
            <x v="0"/>
          </reference>
          <reference field="5" count="1" selected="0">
            <x v="77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19">
      <pivotArea outline="0" collapsedLevelsAreSubtotals="1" fieldPosition="0"/>
    </format>
    <format dxfId="6618">
      <pivotArea dataOnly="0" labelOnly="1" outline="0" axis="axisValues" fieldPosition="0"/>
    </format>
    <format dxfId="6617">
      <pivotArea dataOnly="0" outline="0" fieldPosition="0">
        <references count="1">
          <reference field="12" count="0" defaultSubtotal="1"/>
        </references>
      </pivotArea>
    </format>
    <format dxfId="6616">
      <pivotArea outline="0" collapsedLevelsAreSubtotals="1" fieldPosition="0"/>
    </format>
    <format dxfId="6615">
      <pivotArea dataOnly="0" labelOnly="1" outline="0" axis="axisValues" fieldPosition="0"/>
    </format>
    <format dxfId="6614">
      <pivotArea outline="0" collapsedLevelsAreSubtotals="1" fieldPosition="0"/>
    </format>
    <format dxfId="6613">
      <pivotArea dataOnly="0" labelOnly="1" outline="0" axis="axisValues" fieldPosition="0"/>
    </format>
    <format dxfId="6612">
      <pivotArea dataOnly="0" labelOnly="1" outline="0" axis="axisValues" fieldPosition="0"/>
    </format>
    <format dxfId="6611">
      <pivotArea outline="0" collapsedLevelsAreSubtotals="1" fieldPosition="0"/>
    </format>
    <format dxfId="6610">
      <pivotArea field="12" type="button" dataOnly="0" labelOnly="1" outline="0" axis="axisRow" fieldPosition="2"/>
    </format>
    <format dxfId="6609">
      <pivotArea field="10" type="button" dataOnly="0" labelOnly="1" outline="0" axis="axisRow" fieldPosition="3"/>
    </format>
    <format dxfId="6608">
      <pivotArea field="16" type="button" dataOnly="0" labelOnly="1" outline="0" axis="axisRow" fieldPosition="4"/>
    </format>
    <format dxfId="6607">
      <pivotArea field="18" type="button" dataOnly="0" labelOnly="1" outline="0" axis="axisRow" fieldPosition="5"/>
    </format>
    <format dxfId="6606">
      <pivotArea field="5" type="button" dataOnly="0" labelOnly="1" outline="0" axis="axisRow" fieldPosition="6"/>
    </format>
    <format dxfId="6605">
      <pivotArea field="9" type="button" dataOnly="0" labelOnly="1" outline="0" axis="axisRow" fieldPosition="7"/>
    </format>
    <format dxfId="6604">
      <pivotArea field="3" type="button" dataOnly="0" labelOnly="1" outline="0" axis="axisRow" fieldPosition="8"/>
    </format>
    <format dxfId="6603">
      <pivotArea field="7" type="button" dataOnly="0" labelOnly="1" outline="0" axis="axisRow" fieldPosition="9"/>
    </format>
    <format dxfId="6602">
      <pivotArea field="1" type="button" dataOnly="0" labelOnly="1" outline="0" axis="axisRow" fieldPosition="10"/>
    </format>
    <format dxfId="6601">
      <pivotArea dataOnly="0" labelOnly="1" outline="0" axis="axisValues" fieldPosition="0"/>
    </format>
    <format dxfId="6600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659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6598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6597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659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659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659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59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59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59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590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6589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658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58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5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5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658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58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58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58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8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7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7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5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57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57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5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5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65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657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57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5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56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56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5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56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6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6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6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4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65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654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654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65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654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9"/>
            <x v="63"/>
          </reference>
        </references>
      </pivotArea>
    </format>
    <format dxfId="65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65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65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5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5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65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5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5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42"/>
          </reference>
        </references>
      </pivotArea>
    </format>
    <format dxfId="65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6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5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5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65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5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6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5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5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5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5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3"/>
            <x v="35"/>
            <x v="36"/>
            <x v="37"/>
            <x v="41"/>
            <x v="42"/>
            <x v="58"/>
            <x v="88"/>
          </reference>
        </references>
      </pivotArea>
    </format>
    <format dxfId="65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6519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518">
      <pivotArea dataOnly="0" labelOnly="1" outline="0" fieldPosition="0">
        <references count="7">
          <reference field="0" count="1" selected="0">
            <x v="0"/>
          </reference>
          <reference field="5" count="1">
            <x v="201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517">
      <pivotArea dataOnly="0" labelOnly="1" outline="0" fieldPosition="0">
        <references count="7">
          <reference field="0" count="1" selected="0">
            <x v="0"/>
          </reference>
          <reference field="5" count="1">
            <x v="566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516">
      <pivotArea dataOnly="0" labelOnly="1" outline="0" fieldPosition="0">
        <references count="7">
          <reference field="0" count="1" selected="0">
            <x v="7"/>
          </reference>
          <reference field="5" count="1">
            <x v="213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515">
      <pivotArea dataOnly="0" labelOnly="1" outline="0" fieldPosition="0">
        <references count="7">
          <reference field="0" count="1" selected="0">
            <x v="12"/>
          </reference>
          <reference field="5" count="1">
            <x v="776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514">
      <pivotArea dataOnly="0" labelOnly="1" outline="0" fieldPosition="0">
        <references count="7">
          <reference field="0" count="1" selected="0">
            <x v="12"/>
          </reference>
          <reference field="5" count="1">
            <x v="776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513">
      <pivotArea dataOnly="0" labelOnly="1" outline="0" fieldPosition="0">
        <references count="7">
          <reference field="0" count="1" selected="0">
            <x v="12"/>
          </reference>
          <reference field="5" count="1">
            <x v="77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512">
      <pivotArea dataOnly="0" labelOnly="1" outline="0" fieldPosition="0">
        <references count="7">
          <reference field="0" count="1" selected="0">
            <x v="13"/>
          </reference>
          <reference field="5" count="2">
            <x v="7148"/>
            <x v="76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511">
      <pivotArea dataOnly="0" labelOnly="1" outline="0" fieldPosition="0">
        <references count="7">
          <reference field="0" count="1" selected="0">
            <x v="13"/>
          </reference>
          <reference field="5" count="1">
            <x v="7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10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09">
      <pivotArea dataOnly="0" labelOnly="1" outline="0" fieldPosition="0">
        <references count="7">
          <reference field="0" count="1" selected="0">
            <x v="13"/>
          </reference>
          <reference field="5" count="2">
            <x v="2593"/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08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07">
      <pivotArea dataOnly="0" labelOnly="1" outline="0" fieldPosition="0">
        <references count="7">
          <reference field="0" count="1" selected="0">
            <x v="14"/>
          </reference>
          <reference field="5" count="1">
            <x v="755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06">
      <pivotArea dataOnly="0" labelOnly="1" outline="0" fieldPosition="0">
        <references count="7">
          <reference field="0" count="1" selected="0">
            <x v="14"/>
          </reference>
          <reference field="5" count="1">
            <x v="433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05">
      <pivotArea dataOnly="0" labelOnly="1" outline="0" fieldPosition="0">
        <references count="7">
          <reference field="0" count="1" selected="0">
            <x v="14"/>
          </reference>
          <reference field="5" count="1">
            <x v="776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504">
      <pivotArea dataOnly="0" labelOnly="1" outline="0" fieldPosition="0">
        <references count="7">
          <reference field="0" count="1" selected="0">
            <x v="14"/>
          </reference>
          <reference field="5" count="1">
            <x v="6103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503">
      <pivotArea dataOnly="0" labelOnly="1" outline="0" fieldPosition="0">
        <references count="7">
          <reference field="0" count="1" selected="0">
            <x v="14"/>
          </reference>
          <reference field="5" count="1">
            <x v="7713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02">
      <pivotArea dataOnly="0" labelOnly="1" outline="0" fieldPosition="0">
        <references count="7">
          <reference field="0" count="1" selected="0">
            <x v="14"/>
          </reference>
          <reference field="5" count="1">
            <x v="3475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01">
      <pivotArea dataOnly="0" labelOnly="1" outline="0" fieldPosition="0">
        <references count="7">
          <reference field="0" count="1" selected="0">
            <x v="14"/>
          </reference>
          <reference field="5" count="1">
            <x v="4792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00">
      <pivotArea dataOnly="0" labelOnly="1" outline="0" fieldPosition="0">
        <references count="7">
          <reference field="0" count="1" selected="0">
            <x v="14"/>
          </reference>
          <reference field="5" count="2">
            <x v="5943"/>
            <x v="656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499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498">
      <pivotArea dataOnly="0" labelOnly="1" outline="0" fieldPosition="0">
        <references count="7">
          <reference field="0" count="1" selected="0">
            <x v="15"/>
          </reference>
          <reference field="5" count="1">
            <x v="19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97">
      <pivotArea dataOnly="0" labelOnly="1" outline="0" fieldPosition="0">
        <references count="7">
          <reference field="0" count="1" selected="0">
            <x v="15"/>
          </reference>
          <reference field="5" count="2">
            <x v="7754"/>
            <x v="77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96">
      <pivotArea dataOnly="0" labelOnly="1" outline="0" fieldPosition="0">
        <references count="7">
          <reference field="0" count="1" selected="0">
            <x v="15"/>
          </reference>
          <reference field="5" count="1">
            <x v="753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495">
      <pivotArea dataOnly="0" labelOnly="1" outline="0" fieldPosition="0">
        <references count="7">
          <reference field="0" count="1" selected="0">
            <x v="15"/>
          </reference>
          <reference field="5" count="1">
            <x v="77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494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493">
      <pivotArea dataOnly="0" labelOnly="1" outline="0" fieldPosition="0">
        <references count="7">
          <reference field="0" count="1" selected="0">
            <x v="15"/>
          </reference>
          <reference field="5" count="1">
            <x v="77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4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491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4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48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4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4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4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3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4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9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47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4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476">
      <pivotArea dataOnly="0" labelOnly="1" outline="0" fieldPosition="0">
        <references count="9">
          <reference field="0" count="1" selected="0">
            <x v="0"/>
          </reference>
          <reference field="3" count="1">
            <x v="7224"/>
          </reference>
          <reference field="5" count="1" selected="0">
            <x v="20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475">
      <pivotArea dataOnly="0" labelOnly="1" outline="0" fieldPosition="0">
        <references count="9">
          <reference field="0" count="1" selected="0">
            <x v="0"/>
          </reference>
          <reference field="3" count="1">
            <x v="7225"/>
          </reference>
          <reference field="5" count="1" selected="0">
            <x v="56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474">
      <pivotArea dataOnly="0" labelOnly="1" outline="0" fieldPosition="0">
        <references count="9">
          <reference field="0" count="1" selected="0">
            <x v="7"/>
          </reference>
          <reference field="3" count="1">
            <x v="7333"/>
          </reference>
          <reference field="5" count="1" selected="0">
            <x v="21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473">
      <pivotArea dataOnly="0" labelOnly="1" outline="0" fieldPosition="0">
        <references count="9">
          <reference field="0" count="1" selected="0">
            <x v="12"/>
          </reference>
          <reference field="3" count="1">
            <x v="7808"/>
          </reference>
          <reference field="5" count="1" selected="0">
            <x v="7764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47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47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4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69">
      <pivotArea dataOnly="0" labelOnly="1" outline="0" fieldPosition="0">
        <references count="9">
          <reference field="0" count="1" selected="0">
            <x v="14"/>
          </reference>
          <reference field="3" count="1">
            <x v="7366"/>
          </reference>
          <reference field="5" count="1" selected="0">
            <x v="433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68">
      <pivotArea dataOnly="0" labelOnly="1" outline="0" fieldPosition="0">
        <references count="9">
          <reference field="0" count="1" selected="0">
            <x v="14"/>
          </reference>
          <reference field="3" count="1">
            <x v="7804"/>
          </reference>
          <reference field="5" count="1" selected="0">
            <x v="776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467">
      <pivotArea dataOnly="0" labelOnly="1" outline="0" fieldPosition="0">
        <references count="9">
          <reference field="0" count="1" selected="0">
            <x v="14"/>
          </reference>
          <reference field="3" count="1">
            <x v="7226"/>
          </reference>
          <reference field="5" count="1" selected="0">
            <x v="61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46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1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65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34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64">
      <pivotArea dataOnly="0" labelOnly="1" outline="0" fieldPosition="0">
        <references count="9">
          <reference field="0" count="1" selected="0">
            <x v="14"/>
          </reference>
          <reference field="3" count="1">
            <x v="7710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463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462">
      <pivotArea dataOnly="0" labelOnly="1" outline="0" fieldPosition="0">
        <references count="9">
          <reference field="0" count="1" selected="0">
            <x v="14"/>
          </reference>
          <reference field="3" count="1">
            <x v="7708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461">
      <pivotArea dataOnly="0" labelOnly="1" outline="0" fieldPosition="0">
        <references count="9">
          <reference field="0" count="1" selected="0">
            <x v="15"/>
          </reference>
          <reference field="3" count="2">
            <x v="7616"/>
            <x v="7803"/>
          </reference>
          <reference field="5" count="1" selected="0">
            <x v="19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6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59">
      <pivotArea dataOnly="0" labelOnly="1" outline="0" fieldPosition="0">
        <references count="9">
          <reference field="0" count="1" selected="0">
            <x v="15"/>
          </reference>
          <reference field="3" count="1">
            <x v="7802"/>
          </reference>
          <reference field="5" count="1" selected="0">
            <x v="77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58">
      <pivotArea dataOnly="0" labelOnly="1" outline="0" fieldPosition="0">
        <references count="9">
          <reference field="0" count="1" selected="0">
            <x v="15"/>
          </reference>
          <reference field="3" count="1">
            <x v="7729"/>
          </reference>
          <reference field="5" count="1" selected="0">
            <x v="753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457">
      <pivotArea dataOnly="0" labelOnly="1" outline="0" fieldPosition="0">
        <references count="9">
          <reference field="0" count="1" selected="0">
            <x v="15"/>
          </reference>
          <reference field="3" count="1">
            <x v="7798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45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455">
      <pivotArea dataOnly="0" labelOnly="1" outline="0" fieldPosition="0">
        <references count="9">
          <reference field="0" count="1" selected="0">
            <x v="15"/>
          </reference>
          <reference field="3" count="1">
            <x v="7749"/>
          </reference>
          <reference field="5" count="1" selected="0">
            <x v="77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4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45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224"/>
          </reference>
          <reference field="5" count="1" selected="0">
            <x v="20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4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3"/>
          </reference>
          <reference field="5" count="1" selected="0">
            <x v="21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45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6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45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4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6"/>
          </reference>
          <reference field="5" count="1" selected="0">
            <x v="43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6"/>
          </reference>
          <reference field="5" count="1" selected="0">
            <x v="61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4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1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3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0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4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6"/>
          </reference>
          <reference field="5" count="1" selected="0">
            <x v="19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2"/>
          </reference>
          <reference field="5" count="1" selected="0">
            <x v="77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29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4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8"/>
          </reference>
          <reference field="5" count="1" selected="0">
            <x v="77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4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4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49"/>
          </reference>
          <reference field="5" count="1" selected="0">
            <x v="77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436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61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435">
      <pivotArea dataOnly="0" labelOnly="1" outline="0" fieldPosition="0">
        <references count="11">
          <reference field="0" count="1" selected="0">
            <x v="7"/>
          </reference>
          <reference field="1" count="1">
            <x v="7622"/>
          </reference>
          <reference field="3" count="1" selected="0">
            <x v="7333"/>
          </reference>
          <reference field="5" count="1" selected="0">
            <x v="21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434">
      <pivotArea dataOnly="0" labelOnly="1" outline="0" fieldPosition="0">
        <references count="11">
          <reference field="0" count="1" selected="0">
            <x v="13"/>
          </reference>
          <reference field="1" count="1">
            <x v="7630"/>
          </reference>
          <reference field="3" count="1" selected="0">
            <x v="0"/>
          </reference>
          <reference field="5" count="1" selected="0">
            <x v="554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433">
      <pivotArea dataOnly="0" labelOnly="1" outline="0" fieldPosition="0">
        <references count="11">
          <reference field="0" count="1" selected="0">
            <x v="14"/>
          </reference>
          <reference field="1" count="1">
            <x v="7643"/>
          </reference>
          <reference field="3" count="1" selected="0">
            <x v="2"/>
          </reference>
          <reference field="5" count="1" selected="0">
            <x v="75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32">
      <pivotArea dataOnly="0" labelOnly="1" outline="0" fieldPosition="0">
        <references count="11">
          <reference field="0" count="1" selected="0">
            <x v="14"/>
          </reference>
          <reference field="1" count="1">
            <x v="7644"/>
          </reference>
          <reference field="3" count="1" selected="0">
            <x v="7226"/>
          </reference>
          <reference field="5" count="1" selected="0">
            <x v="610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431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708"/>
          </reference>
          <reference field="5" count="1" selected="0">
            <x v="4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430">
      <pivotArea dataOnly="0" labelOnly="1" outline="0" fieldPosition="0">
        <references count="11">
          <reference field="0" count="1" selected="0">
            <x v="15"/>
          </reference>
          <reference field="1" count="1">
            <x v="7626"/>
          </reference>
          <reference field="3" count="1" selected="0">
            <x v="0"/>
          </reference>
          <reference field="5" count="1" selected="0">
            <x v="77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29">
      <pivotArea dataOnly="0" labelOnly="1" outline="0" fieldPosition="0">
        <references count="11">
          <reference field="0" count="1" selected="0">
            <x v="15"/>
          </reference>
          <reference field="1" count="1">
            <x v="7625"/>
          </reference>
          <reference field="3" count="1" selected="0">
            <x v="7798"/>
          </reference>
          <reference field="5" count="1" selected="0">
            <x v="77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428">
      <pivotArea dataOnly="0" labelOnly="1" outline="0" fieldPosition="0">
        <references count="11">
          <reference field="0" count="1" selected="0">
            <x v="15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27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427">
      <pivotArea outline="0" collapsedLevelsAreSubtotals="1" fieldPosition="0"/>
    </format>
    <format dxfId="6426">
      <pivotArea dataOnly="0" labelOnly="1" outline="0" axis="axisValues" fieldPosition="0"/>
    </format>
    <format dxfId="6425">
      <pivotArea dataOnly="0" outline="0" fieldPosition="0">
        <references count="1">
          <reference field="12" count="0" defaultSubtotal="1"/>
        </references>
      </pivotArea>
    </format>
    <format dxfId="6424">
      <pivotArea outline="0" collapsedLevelsAreSubtotals="1" fieldPosition="0"/>
    </format>
    <format dxfId="6423">
      <pivotArea dataOnly="0" labelOnly="1" outline="0" axis="axisValues" fieldPosition="0"/>
    </format>
    <format dxfId="6422">
      <pivotArea outline="0" collapsedLevelsAreSubtotals="1" fieldPosition="0"/>
    </format>
    <format dxfId="6421">
      <pivotArea dataOnly="0" labelOnly="1" outline="0" axis="axisValues" fieldPosition="0"/>
    </format>
    <format dxfId="6420">
      <pivotArea dataOnly="0" labelOnly="1" outline="0" axis="axisValues" fieldPosition="0"/>
    </format>
    <format dxfId="6419">
      <pivotArea outline="0" collapsedLevelsAreSubtotals="1" fieldPosition="0"/>
    </format>
    <format dxfId="6418">
      <pivotArea field="12" type="button" dataOnly="0" labelOnly="1" outline="0" axis="axisRow" fieldPosition="2"/>
    </format>
    <format dxfId="6417">
      <pivotArea field="10" type="button" dataOnly="0" labelOnly="1" outline="0" axis="axisRow" fieldPosition="3"/>
    </format>
    <format dxfId="6416">
      <pivotArea field="16" type="button" dataOnly="0" labelOnly="1" outline="0" axis="axisRow" fieldPosition="4"/>
    </format>
    <format dxfId="6415">
      <pivotArea field="18" type="button" dataOnly="0" labelOnly="1" outline="0" axis="axisRow" fieldPosition="5"/>
    </format>
    <format dxfId="6414">
      <pivotArea field="5" type="button" dataOnly="0" labelOnly="1" outline="0" axis="axisRow" fieldPosition="6"/>
    </format>
    <format dxfId="6413">
      <pivotArea field="9" type="button" dataOnly="0" labelOnly="1" outline="0" axis="axisRow" fieldPosition="7"/>
    </format>
    <format dxfId="6412">
      <pivotArea field="3" type="button" dataOnly="0" labelOnly="1" outline="0" axis="axisRow" fieldPosition="8"/>
    </format>
    <format dxfId="6411">
      <pivotArea field="7" type="button" dataOnly="0" labelOnly="1" outline="0" axis="axisRow" fieldPosition="9"/>
    </format>
    <format dxfId="6410">
      <pivotArea field="1" type="button" dataOnly="0" labelOnly="1" outline="0" axis="axisRow" fieldPosition="10"/>
    </format>
    <format dxfId="6409">
      <pivotArea dataOnly="0" labelOnly="1" outline="0" axis="axisValues" fieldPosition="0"/>
    </format>
    <format dxfId="6408">
      <pivotArea dataOnly="0" labelOnly="1" outline="0" fieldPosition="0">
        <references count="3">
          <reference field="0" count="1" selected="0">
            <x v="14"/>
          </reference>
          <reference field="12" count="2">
            <x v="22"/>
            <x v="29"/>
          </reference>
          <reference field="13" count="1" selected="0">
            <x v="0"/>
          </reference>
        </references>
      </pivotArea>
    </format>
    <format dxfId="640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2"/>
            <x v="29"/>
          </reference>
          <reference field="13" count="1" selected="0">
            <x v="0"/>
          </reference>
        </references>
      </pivotArea>
    </format>
    <format dxfId="6406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6405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640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40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40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40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400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6399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639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39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3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639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639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39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39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9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9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8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3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3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38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38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63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3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63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3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3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637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63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37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37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37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37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3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3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6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6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3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35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3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3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3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634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9"/>
          </reference>
        </references>
      </pivotArea>
    </format>
    <format dxfId="63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3"/>
            <x v="36"/>
          </reference>
        </references>
      </pivotArea>
    </format>
    <format dxfId="63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3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63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3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3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63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3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3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3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5"/>
          </reference>
        </references>
      </pivotArea>
    </format>
    <format dxfId="63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3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63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3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5"/>
          </reference>
        </references>
      </pivotArea>
    </format>
    <format dxfId="63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3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3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63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6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63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3"/>
            <x v="35"/>
            <x v="36"/>
            <x v="41"/>
            <x v="42"/>
            <x v="58"/>
            <x v="88"/>
            <x v="130"/>
          </reference>
        </references>
      </pivotArea>
    </format>
    <format dxfId="63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63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5"/>
          </reference>
        </references>
      </pivotArea>
    </format>
    <format dxfId="6317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316">
      <pivotArea dataOnly="0" labelOnly="1" outline="0" fieldPosition="0">
        <references count="7">
          <reference field="0" count="1" selected="0">
            <x v="7"/>
          </reference>
          <reference field="5" count="1">
            <x v="7593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315">
      <pivotArea dataOnly="0" labelOnly="1" outline="0" fieldPosition="0">
        <references count="7">
          <reference field="0" count="1" selected="0">
            <x v="7"/>
          </reference>
          <reference field="5" count="1">
            <x v="213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314">
      <pivotArea dataOnly="0" labelOnly="1" outline="0" fieldPosition="0">
        <references count="7">
          <reference field="0" count="1" selected="0">
            <x v="12"/>
          </reference>
          <reference field="5" count="1">
            <x v="77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313">
      <pivotArea dataOnly="0" labelOnly="1" outline="0" fieldPosition="0">
        <references count="7">
          <reference field="0" count="1" selected="0">
            <x v="12"/>
          </reference>
          <reference field="5" count="2">
            <x v="873"/>
            <x v="77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312">
      <pivotArea dataOnly="0" labelOnly="1" outline="0" fieldPosition="0">
        <references count="7">
          <reference field="0" count="1" selected="0">
            <x v="13"/>
          </reference>
          <reference field="5" count="2">
            <x v="7148"/>
            <x v="76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311">
      <pivotArea dataOnly="0" labelOnly="1" outline="0" fieldPosition="0">
        <references count="7">
          <reference field="0" count="1" selected="0">
            <x v="13"/>
          </reference>
          <reference field="5" count="1">
            <x v="7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310">
      <pivotArea dataOnly="0" labelOnly="1" outline="0" fieldPosition="0">
        <references count="7">
          <reference field="0" count="1" selected="0">
            <x v="13"/>
          </reference>
          <reference field="5" count="1">
            <x v="74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309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308">
      <pivotArea dataOnly="0" labelOnly="1" outline="0" fieldPosition="0">
        <references count="7">
          <reference field="0" count="1" selected="0">
            <x v="13"/>
          </reference>
          <reference field="5" count="2">
            <x v="2593"/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307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306">
      <pivotArea dataOnly="0" labelOnly="1" outline="0" fieldPosition="0">
        <references count="7">
          <reference field="0" count="1" selected="0">
            <x v="14"/>
          </reference>
          <reference field="5" count="1">
            <x v="769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305">
      <pivotArea dataOnly="0" labelOnly="1" outline="0" fieldPosition="0">
        <references count="7">
          <reference field="0" count="1" selected="0">
            <x v="14"/>
          </reference>
          <reference field="5" count="1">
            <x v="342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6304">
      <pivotArea dataOnly="0" labelOnly="1" outline="0" fieldPosition="0">
        <references count="7">
          <reference field="0" count="1" selected="0">
            <x v="14"/>
          </reference>
          <reference field="5" count="1">
            <x v="272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303">
      <pivotArea dataOnly="0" labelOnly="1" outline="0" fieldPosition="0">
        <references count="7">
          <reference field="0" count="1" selected="0">
            <x v="14"/>
          </reference>
          <reference field="5" count="1">
            <x v="614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302">
      <pivotArea dataOnly="0" labelOnly="1" outline="0" fieldPosition="0">
        <references count="7">
          <reference field="0" count="1" selected="0">
            <x v="14"/>
          </reference>
          <reference field="5" count="1">
            <x v="4335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6301">
      <pivotArea dataOnly="0" labelOnly="1" outline="0" fieldPosition="0">
        <references count="7">
          <reference field="0" count="1" selected="0">
            <x v="14"/>
          </reference>
          <reference field="5" count="1">
            <x v="3475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300">
      <pivotArea dataOnly="0" labelOnly="1" outline="0" fieldPosition="0">
        <references count="7">
          <reference field="0" count="1" selected="0">
            <x v="14"/>
          </reference>
          <reference field="5" count="1">
            <x v="5082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299">
      <pivotArea dataOnly="0" labelOnly="1" outline="0" fieldPosition="0">
        <references count="7">
          <reference field="0" count="1" selected="0">
            <x v="14"/>
          </reference>
          <reference field="5" count="1">
            <x v="3775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6298">
      <pivotArea dataOnly="0" labelOnly="1" outline="0" fieldPosition="0">
        <references count="7">
          <reference field="0" count="1" selected="0">
            <x v="14"/>
          </reference>
          <reference field="5" count="1">
            <x v="4792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97">
      <pivotArea dataOnly="0" labelOnly="1" outline="0" fieldPosition="0">
        <references count="7">
          <reference field="0" count="1" selected="0">
            <x v="14"/>
          </reference>
          <reference field="5" count="2">
            <x v="5943"/>
            <x v="656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296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295">
      <pivotArea dataOnly="0" labelOnly="1" outline="0" fieldPosition="0">
        <references count="7">
          <reference field="0" count="1" selected="0">
            <x v="14"/>
          </reference>
          <reference field="5" count="1">
            <x v="235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294">
      <pivotArea dataOnly="0" labelOnly="1" outline="0" fieldPosition="0">
        <references count="7">
          <reference field="0" count="1" selected="0">
            <x v="15"/>
          </reference>
          <reference field="5" count="1">
            <x v="19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93">
      <pivotArea dataOnly="0" labelOnly="1" outline="0" fieldPosition="0">
        <references count="7">
          <reference field="0" count="1" selected="0">
            <x v="15"/>
          </reference>
          <reference field="5" count="2">
            <x v="7754"/>
            <x v="77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92">
      <pivotArea dataOnly="0" labelOnly="1" outline="0" fieldPosition="0">
        <references count="7">
          <reference field="0" count="1" selected="0">
            <x v="15"/>
          </reference>
          <reference field="5" count="1">
            <x v="77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291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290">
      <pivotArea dataOnly="0" labelOnly="1" outline="0" fieldPosition="0">
        <references count="7">
          <reference field="0" count="1" selected="0">
            <x v="15"/>
          </reference>
          <reference field="5" count="1">
            <x v="77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289">
      <pivotArea dataOnly="0" labelOnly="1" outline="0" fieldPosition="0">
        <references count="7">
          <reference field="0" count="1" selected="0">
            <x v="15"/>
          </reference>
          <reference field="5" count="1">
            <x v="38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6288">
      <pivotArea dataOnly="0" labelOnly="1" outline="0" fieldPosition="0">
        <references count="7">
          <reference field="0" count="1" selected="0">
            <x v="15"/>
          </reference>
          <reference field="5" count="1">
            <x v="111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6287">
      <pivotArea dataOnly="0" labelOnly="1" outline="0" fieldPosition="0">
        <references count="7">
          <reference field="0" count="1" selected="0">
            <x v="15"/>
          </reference>
          <reference field="5" count="1">
            <x v="210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6286">
      <pivotArea dataOnly="0" labelOnly="1" outline="0" fieldPosition="0">
        <references count="7">
          <reference field="0" count="1" selected="0">
            <x v="15"/>
          </reference>
          <reference field="5" count="1">
            <x v="776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2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9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2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28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6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28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7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27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2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2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62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3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62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2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62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9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2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5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2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6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2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10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62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63">
      <pivotArea dataOnly="0" labelOnly="1" outline="0" fieldPosition="0">
        <references count="9">
          <reference field="0" count="1" selected="0">
            <x v="7"/>
          </reference>
          <reference field="3" count="1">
            <x v="7586"/>
          </reference>
          <reference field="5" count="1" selected="0">
            <x v="759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262">
      <pivotArea dataOnly="0" labelOnly="1" outline="0" fieldPosition="0">
        <references count="9">
          <reference field="0" count="1" selected="0">
            <x v="7"/>
          </reference>
          <reference field="3" count="1">
            <x v="7333"/>
          </reference>
          <reference field="5" count="1" selected="0">
            <x v="21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261">
      <pivotArea dataOnly="0" labelOnly="1" outline="0" fieldPosition="0">
        <references count="9">
          <reference field="0" count="1" selected="0">
            <x v="12"/>
          </reference>
          <reference field="3" count="1">
            <x v="7813"/>
          </reference>
          <reference field="5" count="1" selected="0">
            <x v="776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26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7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5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2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57">
      <pivotArea dataOnly="0" labelOnly="1" outline="0" fieldPosition="0">
        <references count="9">
          <reference field="0" count="1" selected="0">
            <x v="14"/>
          </reference>
          <reference field="3" count="1">
            <x v="7720"/>
          </reference>
          <reference field="5" count="1" selected="0">
            <x v="342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6256">
      <pivotArea dataOnly="0" labelOnly="1" outline="0" fieldPosition="0">
        <references count="9">
          <reference field="0" count="1" selected="0">
            <x v="14"/>
          </reference>
          <reference field="3" count="1">
            <x v="7731"/>
          </reference>
          <reference field="5" count="1" selected="0">
            <x v="27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5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4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54">
      <pivotArea dataOnly="0" labelOnly="1" outline="0" fieldPosition="0">
        <references count="9">
          <reference field="0" count="1" selected="0">
            <x v="14"/>
          </reference>
          <reference field="3" count="1">
            <x v="7366"/>
          </reference>
          <reference field="5" count="1" selected="0">
            <x v="433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6253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34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52">
      <pivotArea dataOnly="0" labelOnly="1" outline="0" fieldPosition="0">
        <references count="9">
          <reference field="0" count="1" selected="0">
            <x v="14"/>
          </reference>
          <reference field="3" count="1">
            <x v="7730"/>
          </reference>
          <reference field="5" count="1" selected="0">
            <x v="377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6251">
      <pivotArea dataOnly="0" labelOnly="1" outline="0" fieldPosition="0">
        <references count="9">
          <reference field="0" count="1" selected="0">
            <x v="14"/>
          </reference>
          <reference field="3" count="1">
            <x v="7710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250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249">
      <pivotArea dataOnly="0" labelOnly="1" outline="0" fieldPosition="0">
        <references count="9">
          <reference field="0" count="1" selected="0">
            <x v="14"/>
          </reference>
          <reference field="3" count="1">
            <x v="7708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248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235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247">
      <pivotArea dataOnly="0" labelOnly="1" outline="0" fieldPosition="0">
        <references count="9">
          <reference field="0" count="1" selected="0">
            <x v="15"/>
          </reference>
          <reference field="3" count="1">
            <x v="7803"/>
          </reference>
          <reference field="5" count="1" selected="0">
            <x v="19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4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45">
      <pivotArea dataOnly="0" labelOnly="1" outline="0" fieldPosition="0">
        <references count="9">
          <reference field="0" count="1" selected="0">
            <x v="15"/>
          </reference>
          <reference field="3" count="1">
            <x v="7802"/>
          </reference>
          <reference field="5" count="1" selected="0">
            <x v="77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44">
      <pivotArea dataOnly="0" labelOnly="1" outline="0" fieldPosition="0">
        <references count="9">
          <reference field="0" count="1" selected="0">
            <x v="15"/>
          </reference>
          <reference field="3" count="1">
            <x v="7798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24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242">
      <pivotArea dataOnly="0" labelOnly="1" outline="0" fieldPosition="0">
        <references count="9">
          <reference field="0" count="1" selected="0">
            <x v="15"/>
          </reference>
          <reference field="3" count="1">
            <x v="7749"/>
          </reference>
          <reference field="5" count="1" selected="0">
            <x v="77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241">
      <pivotArea dataOnly="0" labelOnly="1" outline="0" fieldPosition="0">
        <references count="9">
          <reference field="0" count="1" selected="0">
            <x v="15"/>
          </reference>
          <reference field="3" count="1">
            <x v="7728"/>
          </reference>
          <reference field="5" count="1" selected="0">
            <x v="38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6240">
      <pivotArea dataOnly="0" labelOnly="1" outline="0" fieldPosition="0">
        <references count="9">
          <reference field="0" count="1" selected="0">
            <x v="15"/>
          </reference>
          <reference field="3" count="1">
            <x v="7811"/>
          </reference>
          <reference field="5" count="1" selected="0">
            <x v="111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62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86"/>
          </reference>
          <reference field="5" count="1" selected="0">
            <x v="759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2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3"/>
          </reference>
          <reference field="5" count="1" selected="0">
            <x v="21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23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13"/>
          </reference>
          <reference field="5" count="1" selected="0">
            <x v="77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23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3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2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0"/>
          </reference>
          <reference field="5" count="1" selected="0">
            <x v="34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62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1"/>
          </reference>
          <reference field="5" count="1" selected="0">
            <x v="27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6"/>
          </reference>
          <reference field="5" count="1" selected="0">
            <x v="43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62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3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0"/>
          </reference>
          <reference field="5" count="1" selected="0">
            <x v="37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62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0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2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23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2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3"/>
          </reference>
          <reference field="5" count="1" selected="0">
            <x v="19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2"/>
          </reference>
          <reference field="5" count="1" selected="0">
            <x v="77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8"/>
          </reference>
          <reference field="5" count="1" selected="0">
            <x v="77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2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2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49"/>
          </reference>
          <reference field="5" count="1" selected="0">
            <x v="77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218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61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17">
      <pivotArea dataOnly="0" labelOnly="1" outline="0" fieldPosition="0">
        <references count="11">
          <reference field="0" count="1" selected="0">
            <x v="7"/>
          </reference>
          <reference field="1" count="1">
            <x v="7622"/>
          </reference>
          <reference field="3" count="1" selected="0">
            <x v="7333"/>
          </reference>
          <reference field="5" count="1" selected="0">
            <x v="21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216">
      <pivotArea dataOnly="0" labelOnly="1" outline="0" fieldPosition="0">
        <references count="11">
          <reference field="0" count="1" selected="0">
            <x v="13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74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215">
      <pivotArea dataOnly="0" labelOnly="1" outline="0" fieldPosition="0">
        <references count="11">
          <reference field="0" count="1" selected="0">
            <x v="13"/>
          </reference>
          <reference field="1" count="1">
            <x v="7630"/>
          </reference>
          <reference field="3" count="1" selected="0">
            <x v="0"/>
          </reference>
          <reference field="5" count="1" selected="0">
            <x v="554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214">
      <pivotArea dataOnly="0" labelOnly="1" outline="0" fieldPosition="0">
        <references count="11">
          <reference field="0" count="1" selected="0">
            <x v="14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61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13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708"/>
          </reference>
          <reference field="5" count="1" selected="0">
            <x v="4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212">
      <pivotArea dataOnly="0" labelOnly="1" outline="0" fieldPosition="0">
        <references count="11">
          <reference field="0" count="1" selected="0">
            <x v="14"/>
          </reference>
          <reference field="1" count="1">
            <x v="7656"/>
          </reference>
          <reference field="3" count="1" selected="0">
            <x v="7812"/>
          </reference>
          <reference field="5" count="1" selected="0">
            <x v="23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211">
      <pivotArea dataOnly="0" labelOnly="1" outline="0" fieldPosition="0">
        <references count="11">
          <reference field="0" count="1" selected="0">
            <x v="15"/>
          </reference>
          <reference field="1" count="1">
            <x v="7626"/>
          </reference>
          <reference field="3" count="1" selected="0">
            <x v="0"/>
          </reference>
          <reference field="5" count="1" selected="0">
            <x v="77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10">
      <pivotArea dataOnly="0" labelOnly="1" outline="0" fieldPosition="0">
        <references count="11">
          <reference field="0" count="1" selected="0">
            <x v="15"/>
          </reference>
          <reference field="1" count="1">
            <x v="7625"/>
          </reference>
          <reference field="3" count="1" selected="0">
            <x v="7798"/>
          </reference>
          <reference field="5" count="1" selected="0">
            <x v="77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209">
      <pivotArea dataOnly="0" labelOnly="1" outline="0" fieldPosition="0">
        <references count="11">
          <reference field="0" count="1" selected="0">
            <x v="15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27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208">
      <pivotArea dataOnly="0" labelOnly="1" outline="0" fieldPosition="0">
        <references count="11">
          <reference field="0" count="1" selected="0">
            <x v="15"/>
          </reference>
          <reference field="1" count="1">
            <x v="7562"/>
          </reference>
          <reference field="3" count="1" selected="0">
            <x v="7728"/>
          </reference>
          <reference field="5" count="1" selected="0">
            <x v="382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6207">
      <pivotArea dataOnly="0" labelOnly="1" outline="0" fieldPosition="0">
        <references count="11">
          <reference field="0" count="1" selected="0">
            <x v="15"/>
          </reference>
          <reference field="1" count="1">
            <x v="7654"/>
          </reference>
          <reference field="3" count="1" selected="0">
            <x v="7811"/>
          </reference>
          <reference field="5" count="1" selected="0">
            <x v="111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6206">
      <pivotArea outline="0" collapsedLevelsAreSubtotals="1" fieldPosition="0"/>
    </format>
    <format dxfId="6205">
      <pivotArea dataOnly="0" labelOnly="1" outline="0" axis="axisValues" fieldPosition="0"/>
    </format>
    <format dxfId="6204">
      <pivotArea dataOnly="0" outline="0" fieldPosition="0">
        <references count="1">
          <reference field="12" count="0" defaultSubtotal="1"/>
        </references>
      </pivotArea>
    </format>
    <format dxfId="6203">
      <pivotArea outline="0" collapsedLevelsAreSubtotals="1" fieldPosition="0"/>
    </format>
    <format dxfId="6202">
      <pivotArea dataOnly="0" labelOnly="1" outline="0" axis="axisValues" fieldPosition="0"/>
    </format>
    <format dxfId="6201">
      <pivotArea outline="0" collapsedLevelsAreSubtotals="1" fieldPosition="0"/>
    </format>
    <format dxfId="6200">
      <pivotArea dataOnly="0" labelOnly="1" outline="0" axis="axisValues" fieldPosition="0"/>
    </format>
    <format dxfId="6199">
      <pivotArea dataOnly="0" labelOnly="1" outline="0" axis="axisValues" fieldPosition="0"/>
    </format>
    <format dxfId="6198">
      <pivotArea outline="0" collapsedLevelsAreSubtotals="1" fieldPosition="0"/>
    </format>
    <format dxfId="6197">
      <pivotArea field="12" type="button" dataOnly="0" labelOnly="1" outline="0" axis="axisRow" fieldPosition="2"/>
    </format>
    <format dxfId="6196">
      <pivotArea field="10" type="button" dataOnly="0" labelOnly="1" outline="0" axis="axisRow" fieldPosition="3"/>
    </format>
    <format dxfId="6195">
      <pivotArea field="16" type="button" dataOnly="0" labelOnly="1" outline="0" axis="axisRow" fieldPosition="4"/>
    </format>
    <format dxfId="6194">
      <pivotArea field="18" type="button" dataOnly="0" labelOnly="1" outline="0" axis="axisRow" fieldPosition="5"/>
    </format>
    <format dxfId="6193">
      <pivotArea field="5" type="button" dataOnly="0" labelOnly="1" outline="0" axis="axisRow" fieldPosition="6"/>
    </format>
    <format dxfId="6192">
      <pivotArea field="9" type="button" dataOnly="0" labelOnly="1" outline="0" axis="axisRow" fieldPosition="7"/>
    </format>
    <format dxfId="6191">
      <pivotArea field="3" type="button" dataOnly="0" labelOnly="1" outline="0" axis="axisRow" fieldPosition="8"/>
    </format>
    <format dxfId="6190">
      <pivotArea field="7" type="button" dataOnly="0" labelOnly="1" outline="0" axis="axisRow" fieldPosition="9"/>
    </format>
    <format dxfId="6189">
      <pivotArea field="1" type="button" dataOnly="0" labelOnly="1" outline="0" axis="axisRow" fieldPosition="10"/>
    </format>
    <format dxfId="6188">
      <pivotArea dataOnly="0" labelOnly="1" outline="0" axis="axisValues" fieldPosition="0"/>
    </format>
    <format dxfId="6187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9"/>
          </reference>
          <reference field="13" count="1" selected="0">
            <x v="0"/>
          </reference>
        </references>
      </pivotArea>
    </format>
    <format dxfId="618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9"/>
          </reference>
          <reference field="13" count="1" selected="0">
            <x v="0"/>
          </reference>
        </references>
      </pivotArea>
    </format>
    <format dxfId="618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618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6183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182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18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18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17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17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17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617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617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17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1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61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617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170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6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6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6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6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16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1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16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1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61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1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615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61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1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1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61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15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15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15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1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1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48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4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4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1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1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12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1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6125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612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1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3"/>
            <x v="36"/>
          </reference>
        </references>
      </pivotArea>
    </format>
    <format dxfId="61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1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61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1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1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61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1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1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1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61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61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61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5"/>
            <x v="42"/>
          </reference>
        </references>
      </pivotArea>
    </format>
    <format dxfId="61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61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63"/>
          </reference>
        </references>
      </pivotArea>
    </format>
    <format dxfId="61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1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1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1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1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61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5"/>
            <x v="36"/>
            <x v="41"/>
            <x v="42"/>
            <x v="58"/>
            <x v="88"/>
          </reference>
        </references>
      </pivotArea>
    </format>
    <format dxfId="60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1"/>
            <x v="43"/>
            <x v="44"/>
            <x v="71"/>
            <x v="73"/>
            <x v="78"/>
          </reference>
        </references>
      </pivotArea>
    </format>
    <format dxfId="60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3"/>
            <x v="82"/>
          </reference>
        </references>
      </pivotArea>
    </format>
    <format dxfId="60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39"/>
            <x v="40"/>
          </reference>
        </references>
      </pivotArea>
    </format>
    <format dxfId="6096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95">
      <pivotArea dataOnly="0" labelOnly="1" outline="0" fieldPosition="0">
        <references count="7">
          <reference field="0" count="1" selected="0">
            <x v="14"/>
          </reference>
          <reference field="5" count="1">
            <x v="7748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94">
      <pivotArea dataOnly="0" labelOnly="1" outline="0" fieldPosition="0">
        <references count="7">
          <reference field="0" count="1" selected="0">
            <x v="7"/>
          </reference>
          <reference field="5" count="1">
            <x v="213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093">
      <pivotArea dataOnly="0" labelOnly="1" outline="0" fieldPosition="0">
        <references count="7">
          <reference field="0" count="1" selected="0">
            <x v="12"/>
          </reference>
          <reference field="5" count="1">
            <x v="84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92">
      <pivotArea dataOnly="0" labelOnly="1" outline="0" fieldPosition="0">
        <references count="7">
          <reference field="0" count="1" selected="0">
            <x v="13"/>
          </reference>
          <reference field="5" count="2">
            <x v="7148"/>
            <x v="76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091">
      <pivotArea dataOnly="0" labelOnly="1" outline="0" fieldPosition="0">
        <references count="7">
          <reference field="0" count="1" selected="0">
            <x v="13"/>
          </reference>
          <reference field="5" count="1">
            <x v="7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90">
      <pivotArea dataOnly="0" labelOnly="1" outline="0" fieldPosition="0">
        <references count="7">
          <reference field="0" count="1" selected="0">
            <x v="13"/>
          </reference>
          <reference field="5" count="1">
            <x v="74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089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88">
      <pivotArea dataOnly="0" labelOnly="1" outline="0" fieldPosition="0">
        <references count="7">
          <reference field="0" count="1" selected="0">
            <x v="13"/>
          </reference>
          <reference field="5" count="2">
            <x v="2593"/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087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86">
      <pivotArea dataOnly="0" labelOnly="1" outline="0" fieldPosition="0">
        <references count="7">
          <reference field="0" count="1" selected="0">
            <x v="14"/>
          </reference>
          <reference field="5" count="1">
            <x v="777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85">
      <pivotArea dataOnly="0" labelOnly="1" outline="0" fieldPosition="0">
        <references count="7">
          <reference field="0" count="1" selected="0">
            <x v="14"/>
          </reference>
          <reference field="5" count="1">
            <x v="755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84">
      <pivotArea dataOnly="0" labelOnly="1" outline="0" fieldPosition="0">
        <references count="7">
          <reference field="0" count="1" selected="0">
            <x v="14"/>
          </reference>
          <reference field="5" count="1">
            <x v="610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083">
      <pivotArea dataOnly="0" labelOnly="1" outline="0" fieldPosition="0">
        <references count="7">
          <reference field="0" count="1" selected="0">
            <x v="14"/>
          </reference>
          <reference field="5" count="1">
            <x v="614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082">
      <pivotArea dataOnly="0" labelOnly="1" outline="0" fieldPosition="0">
        <references count="7">
          <reference field="0" count="1" selected="0">
            <x v="14"/>
          </reference>
          <reference field="5" count="1">
            <x v="3421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6081">
      <pivotArea dataOnly="0" labelOnly="1" outline="0" fieldPosition="0">
        <references count="7">
          <reference field="0" count="1" selected="0">
            <x v="14"/>
          </reference>
          <reference field="5" count="1">
            <x v="777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080">
      <pivotArea dataOnly="0" labelOnly="1" outline="0" fieldPosition="0">
        <references count="7">
          <reference field="0" count="1" selected="0">
            <x v="14"/>
          </reference>
          <reference field="5" count="1">
            <x v="3475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79">
      <pivotArea dataOnly="0" labelOnly="1" outline="0" fieldPosition="0">
        <references count="7">
          <reference field="0" count="1" selected="0">
            <x v="14"/>
          </reference>
          <reference field="5" count="1">
            <x v="7772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078">
      <pivotArea dataOnly="0" labelOnly="1" outline="0" fieldPosition="0">
        <references count="7">
          <reference field="0" count="1" selected="0">
            <x v="14"/>
          </reference>
          <reference field="5" count="1">
            <x v="3855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077">
      <pivotArea dataOnly="0" labelOnly="1" outline="0" fieldPosition="0">
        <references count="7">
          <reference field="0" count="1" selected="0">
            <x v="14"/>
          </reference>
          <reference field="5" count="1">
            <x v="3988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076">
      <pivotArea dataOnly="0" labelOnly="1" outline="0" fieldPosition="0">
        <references count="7">
          <reference field="0" count="1" selected="0">
            <x v="14"/>
          </reference>
          <reference field="5" count="2">
            <x v="5943"/>
            <x v="656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075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074">
      <pivotArea dataOnly="0" labelOnly="1" outline="0" fieldPosition="0">
        <references count="7">
          <reference field="0" count="1" selected="0">
            <x v="14"/>
          </reference>
          <reference field="5" count="1">
            <x v="171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073">
      <pivotArea dataOnly="0" labelOnly="1" outline="0" fieldPosition="0">
        <references count="7">
          <reference field="0" count="1" selected="0">
            <x v="15"/>
          </reference>
          <reference field="5" count="1">
            <x v="19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72">
      <pivotArea dataOnly="0" labelOnly="1" outline="0" fieldPosition="0">
        <references count="7">
          <reference field="0" count="1" selected="0">
            <x v="15"/>
          </reference>
          <reference field="5" count="2">
            <x v="7754"/>
            <x v="77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71">
      <pivotArea dataOnly="0" labelOnly="1" outline="0" fieldPosition="0">
        <references count="7">
          <reference field="0" count="1" selected="0">
            <x v="15"/>
          </reference>
          <reference field="5" count="1">
            <x v="77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070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069">
      <pivotArea dataOnly="0" labelOnly="1" outline="0" fieldPosition="0">
        <references count="7">
          <reference field="0" count="1" selected="0">
            <x v="15"/>
          </reference>
          <reference field="5" count="1">
            <x v="77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068">
      <pivotArea dataOnly="0" labelOnly="1" outline="0" fieldPosition="0">
        <references count="7">
          <reference field="0" count="1" selected="0">
            <x v="15"/>
          </reference>
          <reference field="5" count="2">
            <x v="3139"/>
            <x v="77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067">
      <pivotArea dataOnly="0" labelOnly="1" outline="0" fieldPosition="0">
        <references count="7">
          <reference field="0" count="1" selected="0">
            <x v="15"/>
          </reference>
          <reference field="5" count="1">
            <x v="77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6066">
      <pivotArea dataOnly="0" labelOnly="1" outline="0" fieldPosition="0">
        <references count="7">
          <reference field="0" count="1" selected="0">
            <x v="15"/>
          </reference>
          <reference field="5" count="1">
            <x v="774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6065">
      <pivotArea dataOnly="0" labelOnly="1" outline="0" fieldPosition="0">
        <references count="7">
          <reference field="0" count="1" selected="0">
            <x v="15"/>
          </reference>
          <reference field="5" count="1">
            <x v="4579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6064">
      <pivotArea dataOnly="0" labelOnly="1" outline="0" fieldPosition="0">
        <references count="7">
          <reference field="0" count="1" selected="0">
            <x v="15"/>
          </reference>
          <reference field="5" count="1">
            <x v="1944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6063">
      <pivotArea dataOnly="0" labelOnly="1" outline="0" fieldPosition="0">
        <references count="7">
          <reference field="0" count="1" selected="0">
            <x v="15"/>
          </reference>
          <reference field="5" count="1">
            <x v="777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062">
      <pivotArea dataOnly="0" labelOnly="1" outline="0" fieldPosition="0">
        <references count="7">
          <reference field="0" count="1" selected="0">
            <x v="15"/>
          </reference>
          <reference field="5" count="1">
            <x v="775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061">
      <pivotArea dataOnly="0" labelOnly="1" outline="0" fieldPosition="0">
        <references count="7">
          <reference field="0" count="1" selected="0">
            <x v="15"/>
          </reference>
          <reference field="5" count="1">
            <x v="764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0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05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4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0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0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0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0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2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60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0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0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0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1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0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0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41">
      <pivotArea dataOnly="0" labelOnly="1" outline="0" fieldPosition="0">
        <references count="9">
          <reference field="0" count="1" selected="0">
            <x v="14"/>
          </reference>
          <reference field="3" count="1">
            <x v="7679"/>
          </reference>
          <reference field="5" count="1" selected="0">
            <x v="774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40">
      <pivotArea dataOnly="0" labelOnly="1" outline="0" fieldPosition="0">
        <references count="9">
          <reference field="0" count="1" selected="0">
            <x v="7"/>
          </reference>
          <reference field="3" count="1">
            <x v="7333"/>
          </reference>
          <reference field="5" count="1" selected="0">
            <x v="21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03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4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3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037">
      <pivotArea dataOnly="0" labelOnly="1" outline="0" fieldPosition="0">
        <references count="9">
          <reference field="0" count="1" selected="0">
            <x v="14"/>
          </reference>
          <reference field="3" count="1">
            <x v="7709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35">
      <pivotArea dataOnly="0" labelOnly="1" outline="0" fieldPosition="0">
        <references count="9">
          <reference field="0" count="1" selected="0">
            <x v="14"/>
          </reference>
          <reference field="3" count="1">
            <x v="7226"/>
          </reference>
          <reference field="5" count="1" selected="0">
            <x v="61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03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4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033">
      <pivotArea dataOnly="0" labelOnly="1" outline="0" fieldPosition="0">
        <references count="9">
          <reference field="0" count="1" selected="0">
            <x v="14"/>
          </reference>
          <reference field="3" count="1">
            <x v="7720"/>
          </reference>
          <reference field="5" count="1" selected="0">
            <x v="342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603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7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031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34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30">
      <pivotArea dataOnly="0" labelOnly="1" outline="0" fieldPosition="0">
        <references count="9">
          <reference field="0" count="1" selected="0">
            <x v="14"/>
          </reference>
          <reference field="3" count="1">
            <x v="7815"/>
          </reference>
          <reference field="5" count="1" selected="0">
            <x v="77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029">
      <pivotArea dataOnly="0" labelOnly="1" outline="0" fieldPosition="0">
        <references count="9">
          <reference field="0" count="1" selected="0">
            <x v="14"/>
          </reference>
          <reference field="3" count="1">
            <x v="7529"/>
          </reference>
          <reference field="5" count="1" selected="0">
            <x v="3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028">
      <pivotArea dataOnly="0" labelOnly="1" outline="0" fieldPosition="0">
        <references count="9">
          <reference field="0" count="1" selected="0">
            <x v="14"/>
          </reference>
          <reference field="3" count="1">
            <x v="7750"/>
          </reference>
          <reference field="5" count="1" selected="0">
            <x v="398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027">
      <pivotArea dataOnly="0" labelOnly="1" outline="0" fieldPosition="0">
        <references count="9">
          <reference field="0" count="1" selected="0">
            <x v="14"/>
          </reference>
          <reference field="3" count="1">
            <x v="7710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026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025">
      <pivotArea dataOnly="0" labelOnly="1" outline="0" fieldPosition="0">
        <references count="9">
          <reference field="0" count="1" selected="0">
            <x v="14"/>
          </reference>
          <reference field="3" count="1">
            <x v="7708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024">
      <pivotArea dataOnly="0" labelOnly="1" outline="0" fieldPosition="0">
        <references count="9">
          <reference field="0" count="1" selected="0">
            <x v="15"/>
          </reference>
          <reference field="3" count="1">
            <x v="7803"/>
          </reference>
          <reference field="5" count="1" selected="0">
            <x v="19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2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22">
      <pivotArea dataOnly="0" labelOnly="1" outline="0" fieldPosition="0">
        <references count="9">
          <reference field="0" count="1" selected="0">
            <x v="15"/>
          </reference>
          <reference field="3" count="1">
            <x v="7802"/>
          </reference>
          <reference field="5" count="1" selected="0">
            <x v="77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21">
      <pivotArea dataOnly="0" labelOnly="1" outline="0" fieldPosition="0">
        <references count="9">
          <reference field="0" count="1" selected="0">
            <x v="15"/>
          </reference>
          <reference field="3" count="1">
            <x v="7798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02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019">
      <pivotArea dataOnly="0" labelOnly="1" outline="0" fieldPosition="0">
        <references count="9">
          <reference field="0" count="1" selected="0">
            <x v="15"/>
          </reference>
          <reference field="3" count="1">
            <x v="7749"/>
          </reference>
          <reference field="5" count="1" selected="0">
            <x v="77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018">
      <pivotArea dataOnly="0" labelOnly="1" outline="0" fieldPosition="0">
        <references count="9">
          <reference field="0" count="1" selected="0">
            <x v="15"/>
          </reference>
          <reference field="3" count="1">
            <x v="7748"/>
          </reference>
          <reference field="5" count="1" selected="0">
            <x v="1944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6017">
      <pivotArea dataOnly="0" labelOnly="1" outline="0" fieldPosition="0">
        <references count="9">
          <reference field="0" count="1" selected="0">
            <x v="15"/>
          </reference>
          <reference field="3" count="1">
            <x v="7814"/>
          </reference>
          <reference field="5" count="1" selected="0">
            <x v="777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01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5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015">
      <pivotArea dataOnly="0" labelOnly="1" outline="0" fieldPosition="0">
        <references count="9">
          <reference field="0" count="1" selected="0">
            <x v="15"/>
          </reference>
          <reference field="3" count="1">
            <x v="7650"/>
          </reference>
          <reference field="5" count="1" selected="0">
            <x v="764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0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9"/>
          </reference>
          <reference field="5" count="1" selected="0">
            <x v="77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3"/>
          </reference>
          <reference field="5" count="1" selected="0">
            <x v="21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01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1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0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9"/>
          </reference>
          <reference field="5" count="1" selected="0">
            <x v="7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6"/>
          </reference>
          <reference field="5" count="1" selected="0">
            <x v="61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0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0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0"/>
          </reference>
          <reference field="5" count="1" selected="0">
            <x v="34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60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0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3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5"/>
          </reference>
          <reference field="5" count="1" selected="0">
            <x v="77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0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9"/>
          </reference>
          <reference field="5" count="1" selected="0">
            <x v="38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0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0"/>
          </reference>
          <reference field="5" count="1" selected="0">
            <x v="39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9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0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9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3"/>
          </reference>
          <reference field="5" count="1" selected="0">
            <x v="19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2"/>
          </reference>
          <reference field="5" count="1" selected="0">
            <x v="77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8"/>
          </reference>
          <reference field="5" count="1" selected="0">
            <x v="77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9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9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49"/>
          </reference>
          <reference field="5" count="1" selected="0">
            <x v="77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9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48"/>
          </reference>
          <reference field="5" count="1" selected="0">
            <x v="19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59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9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0"/>
          </reference>
          <reference field="5" count="1" selected="0">
            <x v="76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89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61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88">
      <pivotArea dataOnly="0" labelOnly="1" outline="0" fieldPosition="0">
        <references count="11">
          <reference field="0" count="1" selected="0">
            <x v="7"/>
          </reference>
          <reference field="1" count="1">
            <x v="7622"/>
          </reference>
          <reference field="3" count="1" selected="0">
            <x v="7333"/>
          </reference>
          <reference field="5" count="1" selected="0">
            <x v="21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987">
      <pivotArea dataOnly="0" labelOnly="1" outline="0" fieldPosition="0">
        <references count="11">
          <reference field="0" count="1" selected="0">
            <x v="13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74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986">
      <pivotArea dataOnly="0" labelOnly="1" outline="0" fieldPosition="0">
        <references count="11">
          <reference field="0" count="1" selected="0">
            <x v="13"/>
          </reference>
          <reference field="1" count="1">
            <x v="7630"/>
          </reference>
          <reference field="3" count="1" selected="0">
            <x v="0"/>
          </reference>
          <reference field="5" count="1" selected="0">
            <x v="554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85">
      <pivotArea dataOnly="0" labelOnly="1" outline="0" fieldPosition="0">
        <references count="11">
          <reference field="0" count="1" selected="0">
            <x v="14"/>
          </reference>
          <reference field="1" count="1">
            <x v="7643"/>
          </reference>
          <reference field="3" count="1" selected="0">
            <x v="2"/>
          </reference>
          <reference field="5" count="1" selected="0">
            <x v="75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84">
      <pivotArea dataOnly="0" labelOnly="1" outline="0" fieldPosition="0">
        <references count="11">
          <reference field="0" count="1" selected="0">
            <x v="14"/>
          </reference>
          <reference field="1" count="1">
            <x v="7644"/>
          </reference>
          <reference field="3" count="1" selected="0">
            <x v="7226"/>
          </reference>
          <reference field="5" count="1" selected="0">
            <x v="610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983">
      <pivotArea dataOnly="0" labelOnly="1" outline="0" fieldPosition="0">
        <references count="11">
          <reference field="0" count="1" selected="0">
            <x v="14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61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982">
      <pivotArea dataOnly="0" labelOnly="1" outline="0" fieldPosition="0">
        <references count="11">
          <reference field="0" count="1" selected="0">
            <x v="14"/>
          </reference>
          <reference field="1" count="1">
            <x v="7663"/>
          </reference>
          <reference field="3" count="1" selected="0">
            <x v="7815"/>
          </reference>
          <reference field="5" count="1" selected="0">
            <x v="77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981">
      <pivotArea dataOnly="0" labelOnly="1" outline="0" fieldPosition="0">
        <references count="11">
          <reference field="0" count="1" selected="0">
            <x v="14"/>
          </reference>
          <reference field="1" count="1">
            <x v="7306"/>
          </reference>
          <reference field="3" count="1" selected="0">
            <x v="7529"/>
          </reference>
          <reference field="5" count="1" selected="0">
            <x v="385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980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708"/>
          </reference>
          <reference field="5" count="1" selected="0">
            <x v="4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979">
      <pivotArea dataOnly="0" labelOnly="1" outline="0" fieldPosition="0">
        <references count="11">
          <reference field="0" count="1" selected="0">
            <x v="15"/>
          </reference>
          <reference field="1" count="1">
            <x v="7626"/>
          </reference>
          <reference field="3" count="1" selected="0">
            <x v="0"/>
          </reference>
          <reference field="5" count="1" selected="0">
            <x v="77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78">
      <pivotArea dataOnly="0" labelOnly="1" outline="0" fieldPosition="0">
        <references count="11">
          <reference field="0" count="1" selected="0">
            <x v="15"/>
          </reference>
          <reference field="1" count="1">
            <x v="7625"/>
          </reference>
          <reference field="3" count="1" selected="0">
            <x v="7798"/>
          </reference>
          <reference field="5" count="1" selected="0">
            <x v="77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977">
      <pivotArea dataOnly="0" labelOnly="1" outline="0" fieldPosition="0">
        <references count="11">
          <reference field="0" count="1" selected="0">
            <x v="15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27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976">
      <pivotArea dataOnly="0" labelOnly="1" outline="0" fieldPosition="0">
        <references count="11">
          <reference field="0" count="1" selected="0">
            <x v="15"/>
          </reference>
          <reference field="1" count="1">
            <x v="7662"/>
          </reference>
          <reference field="3" count="1" selected="0">
            <x v="0"/>
          </reference>
          <reference field="5" count="1" selected="0">
            <x v="77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975">
      <pivotArea dataOnly="0" labelOnly="1" outline="0" fieldPosition="0">
        <references count="11">
          <reference field="0" count="1" selected="0">
            <x v="15"/>
          </reference>
          <reference field="1" count="1">
            <x v="7591"/>
          </reference>
          <reference field="3" count="1" selected="0">
            <x v="7748"/>
          </reference>
          <reference field="5" count="1" selected="0">
            <x v="194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5974">
      <pivotArea dataOnly="0" labelOnly="1" outline="0" fieldPosition="0">
        <references count="11">
          <reference field="0" count="1" selected="0">
            <x v="15"/>
          </reference>
          <reference field="1" count="1">
            <x v="7624"/>
          </reference>
          <reference field="3" count="1" selected="0">
            <x v="0"/>
          </reference>
          <reference field="5" count="1" selected="0">
            <x v="77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973">
      <pivotArea outline="0" collapsedLevelsAreSubtotals="1" fieldPosition="0"/>
    </format>
    <format dxfId="5972">
      <pivotArea dataOnly="0" labelOnly="1" outline="0" axis="axisValues" fieldPosition="0"/>
    </format>
    <format dxfId="5971">
      <pivotArea dataOnly="0" outline="0" fieldPosition="0">
        <references count="1">
          <reference field="12" count="0" defaultSubtotal="1"/>
        </references>
      </pivotArea>
    </format>
    <format dxfId="5970">
      <pivotArea outline="0" collapsedLevelsAreSubtotals="1" fieldPosition="0"/>
    </format>
    <format dxfId="5969">
      <pivotArea dataOnly="0" labelOnly="1" outline="0" axis="axisValues" fieldPosition="0"/>
    </format>
    <format dxfId="5968">
      <pivotArea outline="0" collapsedLevelsAreSubtotals="1" fieldPosition="0"/>
    </format>
    <format dxfId="5967">
      <pivotArea dataOnly="0" labelOnly="1" outline="0" axis="axisValues" fieldPosition="0"/>
    </format>
    <format dxfId="5966">
      <pivotArea dataOnly="0" labelOnly="1" outline="0" axis="axisValues" fieldPosition="0"/>
    </format>
    <format dxfId="5965">
      <pivotArea outline="0" collapsedLevelsAreSubtotals="1" fieldPosition="0"/>
    </format>
    <format dxfId="5964">
      <pivotArea field="12" type="button" dataOnly="0" labelOnly="1" outline="0" axis="axisRow" fieldPosition="2"/>
    </format>
    <format dxfId="5963">
      <pivotArea field="10" type="button" dataOnly="0" labelOnly="1" outline="0" axis="axisRow" fieldPosition="3"/>
    </format>
    <format dxfId="5962">
      <pivotArea field="16" type="button" dataOnly="0" labelOnly="1" outline="0" axis="axisRow" fieldPosition="4"/>
    </format>
    <format dxfId="5961">
      <pivotArea field="18" type="button" dataOnly="0" labelOnly="1" outline="0" axis="axisRow" fieldPosition="5"/>
    </format>
    <format dxfId="5960">
      <pivotArea field="5" type="button" dataOnly="0" labelOnly="1" outline="0" axis="axisRow" fieldPosition="6"/>
    </format>
    <format dxfId="5959">
      <pivotArea field="9" type="button" dataOnly="0" labelOnly="1" outline="0" axis="axisRow" fieldPosition="7"/>
    </format>
    <format dxfId="5958">
      <pivotArea field="3" type="button" dataOnly="0" labelOnly="1" outline="0" axis="axisRow" fieldPosition="8"/>
    </format>
    <format dxfId="5957">
      <pivotArea field="7" type="button" dataOnly="0" labelOnly="1" outline="0" axis="axisRow" fieldPosition="9"/>
    </format>
    <format dxfId="5956">
      <pivotArea field="1" type="button" dataOnly="0" labelOnly="1" outline="0" axis="axisRow" fieldPosition="10"/>
    </format>
    <format dxfId="5955">
      <pivotArea dataOnly="0" labelOnly="1" outline="0" axis="axisValues" fieldPosition="0"/>
    </format>
    <format dxfId="5954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595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595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95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950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949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94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4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4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4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4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594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594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4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593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93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93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93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93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93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93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93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3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3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2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9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9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92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9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9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92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9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9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9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9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9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91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91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91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9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1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1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1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0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0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0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0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0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8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58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88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88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5"/>
            <x v="85"/>
          </reference>
        </references>
      </pivotArea>
    </format>
    <format dxfId="588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63"/>
          </reference>
        </references>
      </pivotArea>
    </format>
    <format dxfId="588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88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63"/>
          </reference>
        </references>
      </pivotArea>
    </format>
    <format dxfId="588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88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35"/>
            <x v="39"/>
            <x v="66"/>
          </reference>
        </references>
      </pivotArea>
    </format>
    <format dxfId="58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3"/>
            <x v="36"/>
          </reference>
        </references>
      </pivotArea>
    </format>
    <format dxfId="58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8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8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8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8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58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58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9"/>
          </reference>
        </references>
      </pivotArea>
    </format>
    <format dxfId="5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5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58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8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8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7"/>
          </reference>
        </references>
      </pivotArea>
    </format>
    <format dxfId="58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5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87"/>
          </reference>
        </references>
      </pivotArea>
    </format>
    <format dxfId="5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58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5"/>
            <x v="36"/>
            <x v="41"/>
            <x v="42"/>
            <x v="58"/>
            <x v="88"/>
          </reference>
        </references>
      </pivotArea>
    </format>
    <format dxfId="58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39"/>
            <x v="41"/>
          </reference>
        </references>
      </pivotArea>
    </format>
    <format dxfId="5854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853">
      <pivotArea dataOnly="0" labelOnly="1" outline="0" fieldPosition="0">
        <references count="7">
          <reference field="0" count="1" selected="0">
            <x v="7"/>
          </reference>
          <reference field="5" count="1">
            <x v="213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852">
      <pivotArea dataOnly="0" labelOnly="1" outline="0" fieldPosition="0">
        <references count="7">
          <reference field="0" count="1" selected="0">
            <x v="11"/>
          </reference>
          <reference field="5" count="2">
            <x v="4956"/>
            <x v="528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851">
      <pivotArea dataOnly="0" labelOnly="1" outline="0" fieldPosition="0">
        <references count="7">
          <reference field="0" count="1" selected="0">
            <x v="11"/>
          </reference>
          <reference field="5" count="1">
            <x v="619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5850">
      <pivotArea dataOnly="0" labelOnly="1" outline="0" fieldPosition="0">
        <references count="7">
          <reference field="0" count="1" selected="0">
            <x v="11"/>
          </reference>
          <reference field="5" count="1">
            <x v="718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849">
      <pivotArea dataOnly="0" labelOnly="1" outline="0" fieldPosition="0">
        <references count="7">
          <reference field="0" count="1" selected="0">
            <x v="11"/>
          </reference>
          <reference field="5" count="1">
            <x v="709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848">
      <pivotArea dataOnly="0" labelOnly="1" outline="0" fieldPosition="0">
        <references count="7">
          <reference field="0" count="1" selected="0">
            <x v="11"/>
          </reference>
          <reference field="5" count="1">
            <x v="509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847">
      <pivotArea dataOnly="0" labelOnly="1" outline="0" fieldPosition="0">
        <references count="7">
          <reference field="0" count="1" selected="0">
            <x v="12"/>
          </reference>
          <reference field="5" count="2">
            <x v="5941"/>
            <x v="778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846">
      <pivotArea dataOnly="0" labelOnly="1" outline="0" fieldPosition="0">
        <references count="7">
          <reference field="0" count="1" selected="0">
            <x v="12"/>
          </reference>
          <reference field="5" count="4">
            <x v="7779"/>
            <x v="7780"/>
            <x v="7783"/>
            <x v="77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45">
      <pivotArea dataOnly="0" labelOnly="1" outline="0" fieldPosition="0">
        <references count="7">
          <reference field="0" count="1" selected="0">
            <x v="12"/>
          </reference>
          <reference field="5" count="1">
            <x v="778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844">
      <pivotArea dataOnly="0" labelOnly="1" outline="0" fieldPosition="0">
        <references count="7">
          <reference field="0" count="1" selected="0">
            <x v="12"/>
          </reference>
          <reference field="5" count="1">
            <x v="778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843">
      <pivotArea dataOnly="0" labelOnly="1" outline="0" fieldPosition="0">
        <references count="7">
          <reference field="0" count="1" selected="0">
            <x v="13"/>
          </reference>
          <reference field="5" count="2">
            <x v="7148"/>
            <x v="76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842">
      <pivotArea dataOnly="0" labelOnly="1" outline="0" fieldPosition="0">
        <references count="7">
          <reference field="0" count="1" selected="0">
            <x v="13"/>
          </reference>
          <reference field="5" count="1">
            <x v="7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841">
      <pivotArea dataOnly="0" labelOnly="1" outline="0" fieldPosition="0">
        <references count="7">
          <reference field="0" count="1" selected="0">
            <x v="13"/>
          </reference>
          <reference field="5" count="1">
            <x v="74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840">
      <pivotArea dataOnly="0" labelOnly="1" outline="0" fieldPosition="0">
        <references count="7">
          <reference field="0" count="1" selected="0">
            <x v="13"/>
          </reference>
          <reference field="5" count="2">
            <x v="2593"/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839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838">
      <pivotArea dataOnly="0" labelOnly="1" outline="0" fieldPosition="0">
        <references count="7">
          <reference field="0" count="1" selected="0">
            <x v="14"/>
          </reference>
          <reference field="5" count="1">
            <x v="777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37">
      <pivotArea dataOnly="0" labelOnly="1" outline="0" fieldPosition="0">
        <references count="7">
          <reference field="0" count="1" selected="0">
            <x v="14"/>
          </reference>
          <reference field="5" count="1">
            <x v="755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36">
      <pivotArea dataOnly="0" labelOnly="1" outline="0" fieldPosition="0">
        <references count="7">
          <reference field="0" count="1" selected="0">
            <x v="14"/>
          </reference>
          <reference field="5" count="1">
            <x v="776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835">
      <pivotArea dataOnly="0" labelOnly="1" outline="0" fieldPosition="0">
        <references count="7">
          <reference field="0" count="1" selected="0">
            <x v="14"/>
          </reference>
          <reference field="5" count="1">
            <x v="229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834">
      <pivotArea dataOnly="0" labelOnly="1" outline="0" fieldPosition="0">
        <references count="7">
          <reference field="0" count="1" selected="0">
            <x v="14"/>
          </reference>
          <reference field="5" count="1">
            <x v="614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833">
      <pivotArea dataOnly="0" labelOnly="1" outline="0" fieldPosition="0">
        <references count="7">
          <reference field="0" count="1" selected="0">
            <x v="14"/>
          </reference>
          <reference field="5" count="1">
            <x v="777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832">
      <pivotArea dataOnly="0" labelOnly="1" outline="0" fieldPosition="0">
        <references count="7">
          <reference field="0" count="1" selected="0">
            <x v="14"/>
          </reference>
          <reference field="5" count="1">
            <x v="3475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31">
      <pivotArea dataOnly="0" labelOnly="1" outline="0" fieldPosition="0">
        <references count="7">
          <reference field="0" count="1" selected="0">
            <x v="14"/>
          </reference>
          <reference field="5" count="1">
            <x v="7715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830">
      <pivotArea dataOnly="0" labelOnly="1" outline="0" fieldPosition="0">
        <references count="7">
          <reference field="0" count="1" selected="0">
            <x v="14"/>
          </reference>
          <reference field="5" count="1">
            <x v="508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829">
      <pivotArea dataOnly="0" labelOnly="1" outline="0" fieldPosition="0">
        <references count="7">
          <reference field="0" count="1" selected="0">
            <x v="14"/>
          </reference>
          <reference field="5" count="1">
            <x v="777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828">
      <pivotArea dataOnly="0" labelOnly="1" outline="0" fieldPosition="0">
        <references count="7">
          <reference field="0" count="1" selected="0">
            <x v="14"/>
          </reference>
          <reference field="5" count="2">
            <x v="5943"/>
            <x v="656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827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826">
      <pivotArea dataOnly="0" labelOnly="1" outline="0" fieldPosition="0">
        <references count="7">
          <reference field="0" count="1" selected="0">
            <x v="15"/>
          </reference>
          <reference field="5" count="1">
            <x v="19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825">
      <pivotArea dataOnly="0" labelOnly="1" outline="0" fieldPosition="0">
        <references count="7">
          <reference field="0" count="1" selected="0">
            <x v="15"/>
          </reference>
          <reference field="5" count="1">
            <x v="77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24">
      <pivotArea dataOnly="0" labelOnly="1" outline="0" fieldPosition="0">
        <references count="7">
          <reference field="0" count="1" selected="0">
            <x v="15"/>
          </reference>
          <reference field="5" count="1">
            <x v="77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823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822">
      <pivotArea dataOnly="0" labelOnly="1" outline="0" fieldPosition="0">
        <references count="7">
          <reference field="0" count="1" selected="0">
            <x v="15"/>
          </reference>
          <reference field="5" count="1">
            <x v="77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821">
      <pivotArea dataOnly="0" labelOnly="1" outline="0" fieldPosition="0">
        <references count="7">
          <reference field="0" count="1" selected="0">
            <x v="15"/>
          </reference>
          <reference field="5" count="1">
            <x v="777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820">
      <pivotArea dataOnly="0" labelOnly="1" outline="0" fieldPosition="0">
        <references count="7">
          <reference field="0" count="1" selected="0">
            <x v="15"/>
          </reference>
          <reference field="5" count="1">
            <x v="777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819">
      <pivotArea dataOnly="0" labelOnly="1" outline="0" fieldPosition="0">
        <references count="7">
          <reference field="0" count="1" selected="0">
            <x v="15"/>
          </reference>
          <reference field="5" count="1">
            <x v="777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58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8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81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9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81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81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4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81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8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81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1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80"/>
          </reference>
          <reference field="9" count="0"/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1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8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0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8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8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8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8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8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8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8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7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7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7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7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794">
      <pivotArea dataOnly="0" labelOnly="1" outline="0" fieldPosition="0">
        <references count="9">
          <reference field="0" count="1" selected="0">
            <x v="7"/>
          </reference>
          <reference field="3" count="1">
            <x v="7333"/>
          </reference>
          <reference field="5" count="1" selected="0">
            <x v="21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793">
      <pivotArea dataOnly="0" labelOnly="1" outline="0" fieldPosition="0">
        <references count="9">
          <reference field="0" count="1" selected="0">
            <x v="11"/>
          </reference>
          <reference field="3" count="1">
            <x v="7318"/>
          </reference>
          <reference field="5" count="1" selected="0">
            <x v="49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792">
      <pivotArea dataOnly="0" labelOnly="1" outline="0" fieldPosition="0">
        <references count="9">
          <reference field="0" count="1" selected="0">
            <x v="11"/>
          </reference>
          <reference field="3" count="1">
            <x v="7743"/>
          </reference>
          <reference field="5" count="1" selected="0">
            <x v="52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791">
      <pivotArea dataOnly="0" labelOnly="1" outline="0" fieldPosition="0">
        <references count="9">
          <reference field="0" count="1" selected="0">
            <x v="11"/>
          </reference>
          <reference field="3" count="1">
            <x v="7745"/>
          </reference>
          <reference field="5" count="1" selected="0">
            <x v="61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5790">
      <pivotArea dataOnly="0" labelOnly="1" outline="0" fieldPosition="0">
        <references count="9">
          <reference field="0" count="1" selected="0">
            <x v="11"/>
          </reference>
          <reference field="3" count="1">
            <x v="7744"/>
          </reference>
          <reference field="5" count="1" selected="0">
            <x v="71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789">
      <pivotArea dataOnly="0" labelOnly="1" outline="0" fieldPosition="0">
        <references count="9">
          <reference field="0" count="1" selected="0">
            <x v="11"/>
          </reference>
          <reference field="3" count="1">
            <x v="7409"/>
          </reference>
          <reference field="5" count="1" selected="0">
            <x v="70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788">
      <pivotArea dataOnly="0" labelOnly="1" outline="0" fieldPosition="0">
        <references count="9">
          <reference field="0" count="1" selected="0">
            <x v="11"/>
          </reference>
          <reference field="3" count="1">
            <x v="7641"/>
          </reference>
          <reference field="5" count="1" selected="0">
            <x v="50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78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4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786">
      <pivotArea dataOnly="0" labelOnly="1" outline="0" fieldPosition="0">
        <references count="9">
          <reference field="0" count="1" selected="0">
            <x v="12"/>
          </reference>
          <reference field="3" count="1">
            <x v="7821"/>
          </reference>
          <reference field="5" count="1" selected="0">
            <x v="778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85">
      <pivotArea dataOnly="0" labelOnly="1" outline="0" fieldPosition="0">
        <references count="9">
          <reference field="0" count="1" selected="0">
            <x v="12"/>
          </reference>
          <reference field="3" count="1">
            <x v="7820"/>
          </reference>
          <reference field="5" count="1" selected="0">
            <x v="778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84">
      <pivotArea dataOnly="0" labelOnly="1" outline="0" fieldPosition="0">
        <references count="9">
          <reference field="0" count="1" selected="0">
            <x v="12"/>
          </reference>
          <reference field="3" count="1">
            <x v="7822"/>
          </reference>
          <reference field="5" count="1" selected="0">
            <x v="778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83">
      <pivotArea dataOnly="0" labelOnly="1" outline="0" fieldPosition="0">
        <references count="9">
          <reference field="0" count="1" selected="0">
            <x v="12"/>
          </reference>
          <reference field="3" count="1">
            <x v="7823"/>
          </reference>
          <reference field="5" count="1" selected="0">
            <x v="778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8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8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78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780">
      <pivotArea dataOnly="0" labelOnly="1" outline="0" fieldPosition="0">
        <references count="9">
          <reference field="0" count="1" selected="0">
            <x v="14"/>
          </reference>
          <reference field="3" count="1">
            <x v="7709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7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78">
      <pivotArea dataOnly="0" labelOnly="1" outline="0" fieldPosition="0">
        <references count="9">
          <reference field="0" count="1" selected="0">
            <x v="14"/>
          </reference>
          <reference field="3" count="1">
            <x v="7804"/>
          </reference>
          <reference field="5" count="1" selected="0">
            <x v="776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777">
      <pivotArea dataOnly="0" labelOnly="1" outline="0" fieldPosition="0">
        <references count="9">
          <reference field="0" count="1" selected="0">
            <x v="14"/>
          </reference>
          <reference field="3" count="1">
            <x v="7819"/>
          </reference>
          <reference field="5" count="1" selected="0">
            <x v="229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77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4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7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774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34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73">
      <pivotArea dataOnly="0" labelOnly="1" outline="0" fieldPosition="0">
        <references count="9">
          <reference field="0" count="1" selected="0">
            <x v="14"/>
          </reference>
          <reference field="3" count="1">
            <x v="7739"/>
          </reference>
          <reference field="5" count="1" selected="0">
            <x v="771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772">
      <pivotArea dataOnly="0" labelOnly="1" outline="0" fieldPosition="0">
        <references count="9">
          <reference field="0" count="1" selected="0">
            <x v="14"/>
          </reference>
          <reference field="3" count="1">
            <x v="7710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771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770">
      <pivotArea dataOnly="0" labelOnly="1" outline="0" fieldPosition="0">
        <references count="9">
          <reference field="0" count="1" selected="0">
            <x v="14"/>
          </reference>
          <reference field="3" count="1">
            <x v="7708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769">
      <pivotArea dataOnly="0" labelOnly="1" outline="0" fieldPosition="0">
        <references count="9">
          <reference field="0" count="1" selected="0">
            <x v="15"/>
          </reference>
          <reference field="3" count="1">
            <x v="7803"/>
          </reference>
          <reference field="5" count="1" selected="0">
            <x v="19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68">
      <pivotArea dataOnly="0" labelOnly="1" outline="0" fieldPosition="0">
        <references count="9">
          <reference field="0" count="1" selected="0">
            <x v="15"/>
          </reference>
          <reference field="3" count="1">
            <x v="7802"/>
          </reference>
          <reference field="5" count="1" selected="0">
            <x v="77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67">
      <pivotArea dataOnly="0" labelOnly="1" outline="0" fieldPosition="0">
        <references count="9">
          <reference field="0" count="1" selected="0">
            <x v="15"/>
          </reference>
          <reference field="3" count="1">
            <x v="7798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76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765">
      <pivotArea dataOnly="0" labelOnly="1" outline="0" fieldPosition="0">
        <references count="9">
          <reference field="0" count="1" selected="0">
            <x v="15"/>
          </reference>
          <reference field="3" count="1">
            <x v="7749"/>
          </reference>
          <reference field="5" count="1" selected="0">
            <x v="77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764">
      <pivotArea dataOnly="0" labelOnly="1" outline="0" fieldPosition="0">
        <references count="9">
          <reference field="0" count="1" selected="0">
            <x v="15"/>
          </reference>
          <reference field="3" count="1">
            <x v="7814"/>
          </reference>
          <reference field="5" count="1" selected="0">
            <x v="777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7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7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3"/>
          </reference>
          <reference field="5" count="1" selected="0">
            <x v="21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76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318"/>
          </reference>
          <reference field="5" count="1" selected="0">
            <x v="49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76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41"/>
          </reference>
          <reference field="5" count="1" selected="0">
            <x v="50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75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75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22"/>
          </reference>
          <reference field="5" count="1" selected="0">
            <x v="77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5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75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82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75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7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9"/>
          </reference>
          <reference field="5" count="1" selected="0">
            <x v="7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7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4"/>
          </reference>
          <reference field="5" count="1" selected="0">
            <x v="77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7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7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7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3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9"/>
          </reference>
          <reference field="5" count="1" selected="0">
            <x v="771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7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0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7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3"/>
          </reference>
          <reference field="5" count="1" selected="0">
            <x v="19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8"/>
          </reference>
          <reference field="5" count="1" selected="0">
            <x v="77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7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7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49"/>
          </reference>
          <reference field="5" count="1" selected="0">
            <x v="77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742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61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741">
      <pivotArea dataOnly="0" labelOnly="1" outline="0" fieldPosition="0">
        <references count="11">
          <reference field="0" count="1" selected="0">
            <x v="7"/>
          </reference>
          <reference field="1" count="1">
            <x v="7622"/>
          </reference>
          <reference field="3" count="1" selected="0">
            <x v="7333"/>
          </reference>
          <reference field="5" count="1" selected="0">
            <x v="21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740">
      <pivotArea dataOnly="0" labelOnly="1" outline="0" fieldPosition="0">
        <references count="11">
          <reference field="0" count="1" selected="0">
            <x v="11"/>
          </reference>
          <reference field="1" count="1">
            <x v="7589"/>
          </reference>
          <reference field="3" count="1" selected="0">
            <x v="7743"/>
          </reference>
          <reference field="5" count="1" selected="0">
            <x v="52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739">
      <pivotArea dataOnly="0" labelOnly="1" outline="0" fieldPosition="0">
        <references count="11">
          <reference field="0" count="1" selected="0">
            <x v="11"/>
          </reference>
          <reference field="1" count="1">
            <x v="7674"/>
          </reference>
          <reference field="3" count="1" selected="0">
            <x v="7641"/>
          </reference>
          <reference field="5" count="1" selected="0">
            <x v="50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738">
      <pivotArea dataOnly="0" labelOnly="1" outline="0" fieldPosition="0">
        <references count="11">
          <reference field="0" count="1" selected="0">
            <x v="12"/>
          </reference>
          <reference field="1" count="1">
            <x v="7458"/>
          </reference>
          <reference field="3" count="1" selected="0">
            <x v="0"/>
          </reference>
          <reference field="5" count="1" selected="0">
            <x v="59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737">
      <pivotArea dataOnly="0" labelOnly="1" outline="0" fieldPosition="0">
        <references count="11">
          <reference field="0" count="1" selected="0">
            <x v="12"/>
          </reference>
          <reference field="1" count="1">
            <x v="7673"/>
          </reference>
          <reference field="3" count="1" selected="0">
            <x v="0"/>
          </reference>
          <reference field="5" count="1" selected="0">
            <x v="77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736">
      <pivotArea dataOnly="0" labelOnly="1" outline="0" fieldPosition="0">
        <references count="11">
          <reference field="0" count="1" selected="0">
            <x v="12"/>
          </reference>
          <reference field="1" count="1">
            <x v="7669"/>
          </reference>
          <reference field="3" count="1" selected="0">
            <x v="7821"/>
          </reference>
          <reference field="5" count="1" selected="0">
            <x v="77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35">
      <pivotArea dataOnly="0" labelOnly="1" outline="0" fieldPosition="0">
        <references count="11">
          <reference field="0" count="1" selected="0">
            <x v="12"/>
          </reference>
          <reference field="1" count="1">
            <x v="7672"/>
          </reference>
          <reference field="3" count="1" selected="0">
            <x v="7823"/>
          </reference>
          <reference field="5" count="1" selected="0">
            <x v="77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34">
      <pivotArea dataOnly="0" labelOnly="1" outline="0" fieldPosition="0">
        <references count="11">
          <reference field="0" count="1" selected="0">
            <x v="12"/>
          </reference>
          <reference field="1" count="1">
            <x v="7671"/>
          </reference>
          <reference field="3" count="1" selected="0">
            <x v="0"/>
          </reference>
          <reference field="5" count="1" selected="0">
            <x v="778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733">
      <pivotArea dataOnly="0" labelOnly="1" outline="0" fieldPosition="0">
        <references count="11">
          <reference field="0" count="1" selected="0">
            <x v="13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74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732">
      <pivotArea dataOnly="0" labelOnly="1" outline="0" fieldPosition="0">
        <references count="11">
          <reference field="0" count="1" selected="0">
            <x v="13"/>
          </reference>
          <reference field="1" count="1">
            <x v="7630"/>
          </reference>
          <reference field="3" count="1" selected="0">
            <x v="0"/>
          </reference>
          <reference field="5" count="1" selected="0">
            <x v="554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731">
      <pivotArea dataOnly="0" labelOnly="1" outline="0" fieldPosition="0">
        <references count="11">
          <reference field="0" count="1" selected="0">
            <x v="14"/>
          </reference>
          <reference field="1" count="1">
            <x v="7643"/>
          </reference>
          <reference field="3" count="1" selected="0">
            <x v="2"/>
          </reference>
          <reference field="5" count="1" selected="0">
            <x v="75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30">
      <pivotArea dataOnly="0" labelOnly="1" outline="0" fieldPosition="0">
        <references count="11">
          <reference field="0" count="1" selected="0">
            <x v="14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61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729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708"/>
          </reference>
          <reference field="5" count="1" selected="0">
            <x v="4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728">
      <pivotArea dataOnly="0" labelOnly="1" outline="0" fieldPosition="0">
        <references count="11">
          <reference field="0" count="1" selected="0">
            <x v="15"/>
          </reference>
          <reference field="1" count="1">
            <x v="7625"/>
          </reference>
          <reference field="3" count="1" selected="0">
            <x v="7798"/>
          </reference>
          <reference field="5" count="1" selected="0">
            <x v="77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727">
      <pivotArea dataOnly="0" labelOnly="1" outline="0" fieldPosition="0">
        <references count="11">
          <reference field="0" count="1" selected="0">
            <x v="15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27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726">
      <pivotArea outline="0" collapsedLevelsAreSubtotals="1" fieldPosition="0"/>
    </format>
    <format dxfId="5725">
      <pivotArea dataOnly="0" labelOnly="1" outline="0" axis="axisValues" fieldPosition="0"/>
    </format>
    <format dxfId="5724">
      <pivotArea dataOnly="0" outline="0" fieldPosition="0">
        <references count="1">
          <reference field="12" count="0" defaultSubtotal="1"/>
        </references>
      </pivotArea>
    </format>
    <format dxfId="5723">
      <pivotArea outline="0" collapsedLevelsAreSubtotals="1" fieldPosition="0"/>
    </format>
    <format dxfId="5722">
      <pivotArea dataOnly="0" labelOnly="1" outline="0" axis="axisValues" fieldPosition="0"/>
    </format>
    <format dxfId="5721">
      <pivotArea outline="0" collapsedLevelsAreSubtotals="1" fieldPosition="0"/>
    </format>
    <format dxfId="5720">
      <pivotArea dataOnly="0" labelOnly="1" outline="0" axis="axisValues" fieldPosition="0"/>
    </format>
    <format dxfId="5719">
      <pivotArea dataOnly="0" labelOnly="1" outline="0" axis="axisValues" fieldPosition="0"/>
    </format>
    <format dxfId="5718">
      <pivotArea outline="0" collapsedLevelsAreSubtotals="1" fieldPosition="0"/>
    </format>
    <format dxfId="5717">
      <pivotArea field="12" type="button" dataOnly="0" labelOnly="1" outline="0" axis="axisRow" fieldPosition="2"/>
    </format>
    <format dxfId="5716">
      <pivotArea field="10" type="button" dataOnly="0" labelOnly="1" outline="0" axis="axisRow" fieldPosition="3"/>
    </format>
    <format dxfId="5715">
      <pivotArea field="16" type="button" dataOnly="0" labelOnly="1" outline="0" axis="axisRow" fieldPosition="4"/>
    </format>
    <format dxfId="5714">
      <pivotArea field="18" type="button" dataOnly="0" labelOnly="1" outline="0" axis="axisRow" fieldPosition="5"/>
    </format>
    <format dxfId="5713">
      <pivotArea field="5" type="button" dataOnly="0" labelOnly="1" outline="0" axis="axisRow" fieldPosition="6"/>
    </format>
    <format dxfId="5712">
      <pivotArea field="9" type="button" dataOnly="0" labelOnly="1" outline="0" axis="axisRow" fieldPosition="7"/>
    </format>
    <format dxfId="5711">
      <pivotArea field="3" type="button" dataOnly="0" labelOnly="1" outline="0" axis="axisRow" fieldPosition="8"/>
    </format>
    <format dxfId="5710">
      <pivotArea field="7" type="button" dataOnly="0" labelOnly="1" outline="0" axis="axisRow" fieldPosition="9"/>
    </format>
    <format dxfId="5709">
      <pivotArea field="1" type="button" dataOnly="0" labelOnly="1" outline="0" axis="axisRow" fieldPosition="10"/>
    </format>
    <format dxfId="5708">
      <pivotArea dataOnly="0" labelOnly="1" outline="0" axis="axisValues" fieldPosition="0"/>
    </format>
    <format dxfId="5707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9"/>
          </reference>
          <reference field="13" count="1" selected="0">
            <x v="0"/>
          </reference>
        </references>
      </pivotArea>
    </format>
    <format dxfId="570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9"/>
          </reference>
          <reference field="13" count="1" selected="0">
            <x v="0"/>
          </reference>
        </references>
      </pivotArea>
    </format>
    <format dxfId="570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70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70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70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70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70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99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5698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569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9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569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569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69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9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9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8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6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6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6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68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68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68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68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6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6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6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67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6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67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67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67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6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7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6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6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65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5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6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64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5"/>
            <x v="39"/>
            <x v="63"/>
          </reference>
        </references>
      </pivotArea>
    </format>
    <format dxfId="56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3"/>
            <x v="36"/>
          </reference>
        </references>
      </pivotArea>
    </format>
    <format dxfId="56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6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6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6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6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56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6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6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56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6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6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6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56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114"/>
          </reference>
        </references>
      </pivotArea>
    </format>
    <format dxfId="56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109"/>
          </reference>
        </references>
      </pivotArea>
    </format>
    <format dxfId="56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5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6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6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63"/>
          </reference>
        </references>
      </pivotArea>
    </format>
    <format dxfId="56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6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6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56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56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5"/>
            <x v="36"/>
            <x v="41"/>
            <x v="42"/>
            <x v="58"/>
          </reference>
        </references>
      </pivotArea>
    </format>
    <format dxfId="56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3"/>
            <x v="44"/>
            <x v="71"/>
            <x v="73"/>
          </reference>
        </references>
      </pivotArea>
    </format>
    <format dxfId="56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7"/>
            <x v="39"/>
          </reference>
        </references>
      </pivotArea>
    </format>
    <format dxfId="5619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618">
      <pivotArea dataOnly="0" labelOnly="1" outline="0" fieldPosition="0">
        <references count="7">
          <reference field="0" count="1" selected="0">
            <x v="14"/>
          </reference>
          <reference field="5" count="1">
            <x v="7787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617">
      <pivotArea dataOnly="0" labelOnly="1" outline="0" fieldPosition="0">
        <references count="7">
          <reference field="0" count="1" selected="0">
            <x v="7"/>
          </reference>
          <reference field="5" count="1">
            <x v="213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616">
      <pivotArea dataOnly="0" labelOnly="1" outline="0" fieldPosition="0">
        <references count="7">
          <reference field="0" count="1" selected="0">
            <x v="12"/>
          </reference>
          <reference field="5" count="1">
            <x v="779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615">
      <pivotArea dataOnly="0" labelOnly="1" outline="0" fieldPosition="0">
        <references count="7">
          <reference field="0" count="1" selected="0">
            <x v="12"/>
          </reference>
          <reference field="5" count="1">
            <x v="778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614">
      <pivotArea dataOnly="0" labelOnly="1" outline="0" fieldPosition="0">
        <references count="7">
          <reference field="0" count="1" selected="0">
            <x v="12"/>
          </reference>
          <reference field="5" count="1">
            <x v="778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613">
      <pivotArea dataOnly="0" labelOnly="1" outline="0" fieldPosition="0">
        <references count="7">
          <reference field="0" count="1" selected="0">
            <x v="13"/>
          </reference>
          <reference field="5" count="2">
            <x v="7148"/>
            <x v="76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612">
      <pivotArea dataOnly="0" labelOnly="1" outline="0" fieldPosition="0">
        <references count="7">
          <reference field="0" count="1" selected="0">
            <x v="13"/>
          </reference>
          <reference field="5" count="1">
            <x v="7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611">
      <pivotArea dataOnly="0" labelOnly="1" outline="0" fieldPosition="0">
        <references count="7">
          <reference field="0" count="1" selected="0">
            <x v="13"/>
          </reference>
          <reference field="5" count="1">
            <x v="74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610">
      <pivotArea dataOnly="0" labelOnly="1" outline="0" fieldPosition="0">
        <references count="7">
          <reference field="0" count="1" selected="0">
            <x v="13"/>
          </reference>
          <reference field="5" count="2">
            <x v="2593"/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609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608">
      <pivotArea dataOnly="0" labelOnly="1" outline="0" fieldPosition="0">
        <references count="7">
          <reference field="0" count="1" selected="0">
            <x v="14"/>
          </reference>
          <reference field="5" count="1">
            <x v="777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607">
      <pivotArea dataOnly="0" labelOnly="1" outline="0" fieldPosition="0">
        <references count="7">
          <reference field="0" count="1" selected="0">
            <x v="14"/>
          </reference>
          <reference field="5" count="1">
            <x v="343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606">
      <pivotArea dataOnly="0" labelOnly="1" outline="0" fieldPosition="0">
        <references count="7">
          <reference field="0" count="1" selected="0">
            <x v="14"/>
          </reference>
          <reference field="5" count="1">
            <x v="614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605">
      <pivotArea dataOnly="0" labelOnly="1" outline="0" fieldPosition="0">
        <references count="7">
          <reference field="0" count="1" selected="0">
            <x v="14"/>
          </reference>
          <reference field="5" count="1">
            <x v="272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604">
      <pivotArea dataOnly="0" labelOnly="1" outline="0" fieldPosition="0">
        <references count="7">
          <reference field="0" count="1" selected="0">
            <x v="14"/>
          </reference>
          <reference field="5" count="1">
            <x v="7777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603">
      <pivotArea dataOnly="0" labelOnly="1" outline="0" fieldPosition="0">
        <references count="7">
          <reference field="0" count="1" selected="0">
            <x v="14"/>
          </reference>
          <reference field="5" count="1">
            <x v="7786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602">
      <pivotArea dataOnly="0" labelOnly="1" outline="0" fieldPosition="0">
        <references count="7">
          <reference field="0" count="1" selected="0">
            <x v="14"/>
          </reference>
          <reference field="5" count="1">
            <x v="3988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601">
      <pivotArea dataOnly="0" labelOnly="1" outline="0" fieldPosition="0">
        <references count="7">
          <reference field="0" count="1" selected="0">
            <x v="14"/>
          </reference>
          <reference field="5" count="1">
            <x v="3855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600">
      <pivotArea dataOnly="0" labelOnly="1" outline="0" fieldPosition="0">
        <references count="7">
          <reference field="0" count="1" selected="0">
            <x v="14"/>
          </reference>
          <reference field="5" count="1">
            <x v="6890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599">
      <pivotArea dataOnly="0" labelOnly="1" outline="0" fieldPosition="0">
        <references count="7">
          <reference field="0" count="1" selected="0">
            <x v="14"/>
          </reference>
          <reference field="5" count="1">
            <x v="3475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98">
      <pivotArea dataOnly="0" labelOnly="1" outline="0" fieldPosition="0">
        <references count="7">
          <reference field="0" count="1" selected="0">
            <x v="14"/>
          </reference>
          <reference field="5" count="2">
            <x v="5943"/>
            <x v="656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597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596">
      <pivotArea dataOnly="0" labelOnly="1" outline="0" fieldPosition="0">
        <references count="7">
          <reference field="0" count="1" selected="0">
            <x v="15"/>
          </reference>
          <reference field="5" count="1">
            <x v="19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95">
      <pivotArea dataOnly="0" labelOnly="1" outline="0" fieldPosition="0">
        <references count="7">
          <reference field="0" count="1" selected="0">
            <x v="15"/>
          </reference>
          <reference field="5" count="1">
            <x v="77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94">
      <pivotArea dataOnly="0" labelOnly="1" outline="0" fieldPosition="0">
        <references count="7">
          <reference field="0" count="1" selected="0">
            <x v="15"/>
          </reference>
          <reference field="5" count="1">
            <x v="77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593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592">
      <pivotArea dataOnly="0" labelOnly="1" outline="0" fieldPosition="0">
        <references count="7">
          <reference field="0" count="1" selected="0">
            <x v="15"/>
          </reference>
          <reference field="5" count="2">
            <x v="3139"/>
            <x v="77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591">
      <pivotArea dataOnly="0" labelOnly="1" outline="0" fieldPosition="0">
        <references count="7">
          <reference field="0" count="1" selected="0">
            <x v="15"/>
          </reference>
          <reference field="5" count="2">
            <x v="5546"/>
            <x v="77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5590">
      <pivotArea dataOnly="0" labelOnly="1" outline="0" fieldPosition="0">
        <references count="7">
          <reference field="0" count="1" selected="0">
            <x v="15"/>
          </reference>
          <reference field="5" count="1">
            <x v="4579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5589">
      <pivotArea dataOnly="0" labelOnly="1" outline="0" fieldPosition="0">
        <references count="7">
          <reference field="0" count="1" selected="0">
            <x v="15"/>
          </reference>
          <reference field="5" count="1">
            <x v="777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588">
      <pivotArea dataOnly="0" labelOnly="1" outline="0" fieldPosition="0">
        <references count="7">
          <reference field="0" count="1" selected="0">
            <x v="15"/>
          </reference>
          <reference field="5" count="2">
            <x v="2682"/>
            <x v="77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5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5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58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9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5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4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5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5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5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3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5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5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5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5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5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5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9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5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57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7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5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56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67">
      <pivotArea dataOnly="0" labelOnly="1" outline="0" fieldPosition="0">
        <references count="9">
          <reference field="0" count="1" selected="0">
            <x v="7"/>
          </reference>
          <reference field="3" count="1">
            <x v="7333"/>
          </reference>
          <reference field="5" count="1" selected="0">
            <x v="21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566">
      <pivotArea dataOnly="0" labelOnly="1" outline="0" fieldPosition="0">
        <references count="9">
          <reference field="0" count="1" selected="0">
            <x v="12"/>
          </reference>
          <reference field="3" count="1">
            <x v="7646"/>
          </reference>
          <reference field="5" count="1" selected="0">
            <x v="779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5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4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564">
      <pivotArea dataOnly="0" labelOnly="1" outline="0" fieldPosition="0">
        <references count="9">
          <reference field="0" count="1" selected="0">
            <x v="14"/>
          </reference>
          <reference field="3" count="1">
            <x v="7709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563">
      <pivotArea dataOnly="0" labelOnly="1" outline="0" fieldPosition="0">
        <references count="9">
          <reference field="0" count="1" selected="0">
            <x v="14"/>
          </reference>
          <reference field="3" count="1">
            <x v="7720"/>
          </reference>
          <reference field="5" count="1" selected="0">
            <x v="343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56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4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561">
      <pivotArea dataOnly="0" labelOnly="1" outline="0" fieldPosition="0">
        <references count="9">
          <reference field="0" count="1" selected="0">
            <x v="14"/>
          </reference>
          <reference field="3" count="1">
            <x v="7731"/>
          </reference>
          <reference field="5" count="1" selected="0">
            <x v="27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56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559">
      <pivotArea dataOnly="0" labelOnly="1" outline="0" fieldPosition="0">
        <references count="9">
          <reference field="0" count="1" selected="0">
            <x v="14"/>
          </reference>
          <reference field="3" count="1">
            <x v="7750"/>
          </reference>
          <reference field="5" count="1" selected="0">
            <x v="398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558">
      <pivotArea dataOnly="0" labelOnly="1" outline="0" fieldPosition="0">
        <references count="9">
          <reference field="0" count="1" selected="0">
            <x v="14"/>
          </reference>
          <reference field="3" count="1">
            <x v="7529"/>
          </reference>
          <reference field="5" count="1" selected="0">
            <x v="3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557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34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56">
      <pivotArea dataOnly="0" labelOnly="1" outline="0" fieldPosition="0">
        <references count="9">
          <reference field="0" count="1" selected="0">
            <x v="14"/>
          </reference>
          <reference field="3" count="1">
            <x v="7710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555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554">
      <pivotArea dataOnly="0" labelOnly="1" outline="0" fieldPosition="0">
        <references count="9">
          <reference field="0" count="1" selected="0">
            <x v="14"/>
          </reference>
          <reference field="3" count="1">
            <x v="7708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553">
      <pivotArea dataOnly="0" labelOnly="1" outline="0" fieldPosition="0">
        <references count="9">
          <reference field="0" count="1" selected="0">
            <x v="15"/>
          </reference>
          <reference field="3" count="1">
            <x v="7803"/>
          </reference>
          <reference field="5" count="1" selected="0">
            <x v="19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52">
      <pivotArea dataOnly="0" labelOnly="1" outline="0" fieldPosition="0">
        <references count="9">
          <reference field="0" count="1" selected="0">
            <x v="15"/>
          </reference>
          <reference field="3" count="1">
            <x v="7802"/>
          </reference>
          <reference field="5" count="1" selected="0">
            <x v="77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51">
      <pivotArea dataOnly="0" labelOnly="1" outline="0" fieldPosition="0">
        <references count="9">
          <reference field="0" count="1" selected="0">
            <x v="15"/>
          </reference>
          <reference field="3" count="1">
            <x v="7798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55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549">
      <pivotArea dataOnly="0" labelOnly="1" outline="0" fieldPosition="0">
        <references count="9">
          <reference field="0" count="1" selected="0">
            <x v="15"/>
          </reference>
          <reference field="3" count="1">
            <x v="7814"/>
          </reference>
          <reference field="5" count="1" selected="0">
            <x v="777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54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8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5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5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3"/>
          </reference>
          <reference field="5" count="1" selected="0">
            <x v="21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54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46"/>
          </reference>
          <reference field="5" count="1" selected="0">
            <x v="779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54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5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9"/>
          </reference>
          <reference field="5" count="1" selected="0">
            <x v="7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5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0"/>
          </reference>
          <reference field="5" count="1" selected="0">
            <x v="34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5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5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1"/>
          </reference>
          <reference field="5" count="1" selected="0">
            <x v="27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5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5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0"/>
          </reference>
          <reference field="5" count="1" selected="0">
            <x v="39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5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9"/>
          </reference>
          <reference field="5" count="1" selected="0">
            <x v="38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5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3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0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5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3"/>
          </reference>
          <reference field="5" count="1" selected="0">
            <x v="19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8"/>
          </reference>
          <reference field="5" count="1" selected="0">
            <x v="77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5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5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4"/>
          </reference>
          <reference field="5" count="1" selected="0">
            <x v="77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5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528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61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527">
      <pivotArea dataOnly="0" labelOnly="1" outline="0" fieldPosition="0">
        <references count="11">
          <reference field="0" count="1" selected="0">
            <x v="7"/>
          </reference>
          <reference field="1" count="1">
            <x v="7622"/>
          </reference>
          <reference field="3" count="1" selected="0">
            <x v="7333"/>
          </reference>
          <reference field="5" count="1" selected="0">
            <x v="21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526">
      <pivotArea dataOnly="0" labelOnly="1" outline="0" fieldPosition="0">
        <references count="11">
          <reference field="0" count="1" selected="0">
            <x v="12"/>
          </reference>
          <reference field="1" count="1">
            <x v="7682"/>
          </reference>
          <reference field="3" count="1" selected="0">
            <x v="7646"/>
          </reference>
          <reference field="5" count="1" selected="0">
            <x v="779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525">
      <pivotArea dataOnly="0" labelOnly="1" outline="0" fieldPosition="0">
        <references count="11">
          <reference field="0" count="1" selected="0">
            <x v="12"/>
          </reference>
          <reference field="1" count="1">
            <x v="7681"/>
          </reference>
          <reference field="3" count="1" selected="0">
            <x v="0"/>
          </reference>
          <reference field="5" count="1" selected="0">
            <x v="778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24">
      <pivotArea dataOnly="0" labelOnly="1" outline="0" fieldPosition="0">
        <references count="11">
          <reference field="0" count="1" selected="0">
            <x v="13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74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523">
      <pivotArea dataOnly="0" labelOnly="1" outline="0" fieldPosition="0">
        <references count="11">
          <reference field="0" count="1" selected="0">
            <x v="13"/>
          </reference>
          <reference field="1" count="1">
            <x v="7630"/>
          </reference>
          <reference field="3" count="1" selected="0">
            <x v="0"/>
          </reference>
          <reference field="5" count="1" selected="0">
            <x v="554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522">
      <pivotArea dataOnly="0" labelOnly="1" outline="0" fieldPosition="0">
        <references count="11">
          <reference field="0" count="1" selected="0">
            <x v="14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61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521">
      <pivotArea dataOnly="0" labelOnly="1" outline="0" fieldPosition="0">
        <references count="11">
          <reference field="0" count="1" selected="0">
            <x v="14"/>
          </reference>
          <reference field="1" count="1">
            <x v="7306"/>
          </reference>
          <reference field="3" count="1" selected="0">
            <x v="7529"/>
          </reference>
          <reference field="5" count="1" selected="0">
            <x v="385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520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708"/>
          </reference>
          <reference field="5" count="1" selected="0">
            <x v="4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519">
      <pivotArea dataOnly="0" labelOnly="1" outline="0" fieldPosition="0">
        <references count="11">
          <reference field="0" count="1" selected="0">
            <x v="15"/>
          </reference>
          <reference field="1" count="1">
            <x v="7625"/>
          </reference>
          <reference field="3" count="1" selected="0">
            <x v="7798"/>
          </reference>
          <reference field="5" count="1" selected="0">
            <x v="77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518">
      <pivotArea dataOnly="0" labelOnly="1" outline="0" fieldPosition="0">
        <references count="11">
          <reference field="0" count="1" selected="0">
            <x v="15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27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517">
      <pivotArea dataOnly="0" labelOnly="1" outline="0" fieldPosition="0">
        <references count="11">
          <reference field="0" count="1" selected="0">
            <x v="15"/>
          </reference>
          <reference field="1" count="1">
            <x v="7662"/>
          </reference>
          <reference field="3" count="1" selected="0">
            <x v="0"/>
          </reference>
          <reference field="5" count="1" selected="0">
            <x v="77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516">
      <pivotArea dataOnly="0" labelOnly="1" outline="0" fieldPosition="0">
        <references count="11">
          <reference field="0" count="1" selected="0">
            <x v="15"/>
          </reference>
          <reference field="1" count="1">
            <x v="7677"/>
          </reference>
          <reference field="3" count="1" selected="0">
            <x v="0"/>
          </reference>
          <reference field="5" count="1" selected="0">
            <x v="26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515">
      <pivotArea outline="0" collapsedLevelsAreSubtotals="1" fieldPosition="0"/>
    </format>
    <format dxfId="5514">
      <pivotArea dataOnly="0" labelOnly="1" outline="0" axis="axisValues" fieldPosition="0"/>
    </format>
    <format dxfId="5513">
      <pivotArea dataOnly="0" outline="0" fieldPosition="0">
        <references count="1">
          <reference field="12" count="0" defaultSubtotal="1"/>
        </references>
      </pivotArea>
    </format>
    <format dxfId="5512">
      <pivotArea outline="0" collapsedLevelsAreSubtotals="1" fieldPosition="0"/>
    </format>
    <format dxfId="5511">
      <pivotArea dataOnly="0" labelOnly="1" outline="0" axis="axisValues" fieldPosition="0"/>
    </format>
    <format dxfId="5510">
      <pivotArea outline="0" collapsedLevelsAreSubtotals="1" fieldPosition="0"/>
    </format>
    <format dxfId="5509">
      <pivotArea dataOnly="0" labelOnly="1" outline="0" axis="axisValues" fieldPosition="0"/>
    </format>
    <format dxfId="5508">
      <pivotArea dataOnly="0" labelOnly="1" outline="0" axis="axisValues" fieldPosition="0"/>
    </format>
    <format dxfId="5507">
      <pivotArea outline="0" collapsedLevelsAreSubtotals="1" fieldPosition="0"/>
    </format>
    <format dxfId="5506">
      <pivotArea field="12" type="button" dataOnly="0" labelOnly="1" outline="0" axis="axisRow" fieldPosition="2"/>
    </format>
    <format dxfId="5505">
      <pivotArea field="10" type="button" dataOnly="0" labelOnly="1" outline="0" axis="axisRow" fieldPosition="3"/>
    </format>
    <format dxfId="5504">
      <pivotArea field="16" type="button" dataOnly="0" labelOnly="1" outline="0" axis="axisRow" fieldPosition="4"/>
    </format>
    <format dxfId="5503">
      <pivotArea field="18" type="button" dataOnly="0" labelOnly="1" outline="0" axis="axisRow" fieldPosition="5"/>
    </format>
    <format dxfId="5502">
      <pivotArea field="5" type="button" dataOnly="0" labelOnly="1" outline="0" axis="axisRow" fieldPosition="6"/>
    </format>
    <format dxfId="5501">
      <pivotArea field="9" type="button" dataOnly="0" labelOnly="1" outline="0" axis="axisRow" fieldPosition="7"/>
    </format>
    <format dxfId="5500">
      <pivotArea field="3" type="button" dataOnly="0" labelOnly="1" outline="0" axis="axisRow" fieldPosition="8"/>
    </format>
    <format dxfId="5499">
      <pivotArea field="7" type="button" dataOnly="0" labelOnly="1" outline="0" axis="axisRow" fieldPosition="9"/>
    </format>
    <format dxfId="5498">
      <pivotArea field="1" type="button" dataOnly="0" labelOnly="1" outline="0" axis="axisRow" fieldPosition="10"/>
    </format>
    <format dxfId="5497">
      <pivotArea dataOnly="0" labelOnly="1" outline="0" axis="axisValues" fieldPosition="0"/>
    </format>
    <format dxfId="5496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549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5494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5493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5492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491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49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8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8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8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8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548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548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8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548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48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47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47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47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47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47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47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47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47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7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7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6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4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4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46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4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4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4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4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54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4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4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4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45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45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45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4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5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5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42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4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42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59"/>
          </reference>
        </references>
      </pivotArea>
    </format>
    <format dxfId="542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6"/>
          </reference>
        </references>
      </pivotArea>
    </format>
    <format dxfId="542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63"/>
            <x v="106"/>
          </reference>
        </references>
      </pivotArea>
    </format>
    <format dxfId="542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59"/>
            <x v="63"/>
          </reference>
        </references>
      </pivotArea>
    </format>
    <format dxfId="541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1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09"/>
          </reference>
        </references>
      </pivotArea>
    </format>
    <format dxfId="541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9"/>
          </reference>
        </references>
      </pivotArea>
    </format>
    <format dxfId="541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54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54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4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54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4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4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54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4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54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4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54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5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5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5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5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5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5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53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5"/>
            <x v="36"/>
            <x v="39"/>
            <x v="41"/>
            <x v="42"/>
            <x v="58"/>
          </reference>
        </references>
      </pivotArea>
    </format>
    <format dxfId="53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65"/>
          </reference>
        </references>
      </pivotArea>
    </format>
    <format dxfId="5390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89">
      <pivotArea dataOnly="0" labelOnly="1" outline="0" fieldPosition="0">
        <references count="7">
          <reference field="0" count="1" selected="0">
            <x v="7"/>
          </reference>
          <reference field="5" count="1">
            <x v="774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388">
      <pivotArea dataOnly="0" labelOnly="1" outline="0" fieldPosition="0">
        <references count="7">
          <reference field="0" count="1" selected="0">
            <x v="7"/>
          </reference>
          <reference field="5" count="1">
            <x v="213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387">
      <pivotArea dataOnly="0" labelOnly="1" outline="0" fieldPosition="0">
        <references count="7">
          <reference field="0" count="1" selected="0">
            <x v="10"/>
          </reference>
          <reference field="5" count="1">
            <x v="737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86">
      <pivotArea dataOnly="0" labelOnly="1" outline="0" fieldPosition="0">
        <references count="7">
          <reference field="0" count="1" selected="0">
            <x v="10"/>
          </reference>
          <reference field="5" count="1">
            <x v="464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385">
      <pivotArea dataOnly="0" labelOnly="1" outline="0" fieldPosition="0">
        <references count="7">
          <reference field="0" count="1" selected="0">
            <x v="10"/>
          </reference>
          <reference field="5" count="1">
            <x v="195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84">
      <pivotArea dataOnly="0" labelOnly="1" outline="0" fieldPosition="0">
        <references count="7">
          <reference field="0" count="1" selected="0">
            <x v="10"/>
          </reference>
          <reference field="5" count="1">
            <x v="499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383">
      <pivotArea dataOnly="0" labelOnly="1" outline="0" fieldPosition="0">
        <references count="7">
          <reference field="0" count="1" selected="0">
            <x v="10"/>
          </reference>
          <reference field="5" count="1">
            <x v="571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382">
      <pivotArea dataOnly="0" labelOnly="1" outline="0" fieldPosition="0">
        <references count="7">
          <reference field="0" count="1" selected="0">
            <x v="10"/>
          </reference>
          <reference field="5" count="1">
            <x v="499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381">
      <pivotArea dataOnly="0" labelOnly="1" outline="0" fieldPosition="0">
        <references count="7">
          <reference field="0" count="1" selected="0">
            <x v="12"/>
          </reference>
          <reference field="5" count="1">
            <x v="46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80">
      <pivotArea dataOnly="0" labelOnly="1" outline="0" fieldPosition="0">
        <references count="7">
          <reference field="0" count="1" selected="0">
            <x v="13"/>
          </reference>
          <reference field="5" count="1">
            <x v="76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379">
      <pivotArea dataOnly="0" labelOnly="1" outline="0" fieldPosition="0">
        <references count="7">
          <reference field="0" count="1" selected="0">
            <x v="13"/>
          </reference>
          <reference field="5" count="1">
            <x v="4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78">
      <pivotArea dataOnly="0" labelOnly="1" outline="0" fieldPosition="0">
        <references count="7">
          <reference field="0" count="1" selected="0">
            <x v="13"/>
          </reference>
          <reference field="5" count="1">
            <x v="7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77">
      <pivotArea dataOnly="0" labelOnly="1" outline="0" fieldPosition="0">
        <references count="7">
          <reference field="0" count="1" selected="0">
            <x v="13"/>
          </reference>
          <reference field="5" count="1">
            <x v="74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376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75">
      <pivotArea dataOnly="0" labelOnly="1" outline="0" fieldPosition="0">
        <references count="7">
          <reference field="0" count="1" selected="0">
            <x v="13"/>
          </reference>
          <reference field="5" count="2">
            <x v="2593"/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374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73">
      <pivotArea dataOnly="0" labelOnly="1" outline="0" fieldPosition="0">
        <references count="7">
          <reference field="0" count="1" selected="0">
            <x v="14"/>
          </reference>
          <reference field="5" count="1">
            <x v="777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72">
      <pivotArea dataOnly="0" labelOnly="1" outline="0" fieldPosition="0">
        <references count="7">
          <reference field="0" count="1" selected="0">
            <x v="14"/>
          </reference>
          <reference field="5" count="1">
            <x v="779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371">
      <pivotArea dataOnly="0" labelOnly="1" outline="0" fieldPosition="0">
        <references count="7">
          <reference field="0" count="1" selected="0">
            <x v="14"/>
          </reference>
          <reference field="5" count="1">
            <x v="776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370">
      <pivotArea dataOnly="0" labelOnly="1" outline="0" fieldPosition="0">
        <references count="7">
          <reference field="0" count="1" selected="0">
            <x v="14"/>
          </reference>
          <reference field="5" count="1">
            <x v="614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69">
      <pivotArea dataOnly="0" labelOnly="1" outline="0" fieldPosition="0">
        <references count="7">
          <reference field="0" count="1" selected="0">
            <x v="14"/>
          </reference>
          <reference field="5" count="1">
            <x v="777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368">
      <pivotArea dataOnly="0" labelOnly="1" outline="0" fieldPosition="0">
        <references count="7">
          <reference field="0" count="1" selected="0">
            <x v="14"/>
          </reference>
          <reference field="5" count="1">
            <x v="7797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367">
      <pivotArea dataOnly="0" labelOnly="1" outline="0" fieldPosition="0">
        <references count="7">
          <reference field="0" count="1" selected="0">
            <x v="14"/>
          </reference>
          <reference field="5" count="1">
            <x v="7786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366">
      <pivotArea dataOnly="0" labelOnly="1" outline="0" fieldPosition="0">
        <references count="7">
          <reference field="0" count="1" selected="0">
            <x v="14"/>
          </reference>
          <reference field="5" count="1">
            <x v="3475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65">
      <pivotArea dataOnly="0" labelOnly="1" outline="0" fieldPosition="0">
        <references count="7">
          <reference field="0" count="1" selected="0">
            <x v="14"/>
          </reference>
          <reference field="5" count="1">
            <x v="777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364">
      <pivotArea dataOnly="0" labelOnly="1" outline="0" fieldPosition="0">
        <references count="7">
          <reference field="0" count="1" selected="0">
            <x v="14"/>
          </reference>
          <reference field="5" count="1">
            <x v="2176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63">
      <pivotArea dataOnly="0" labelOnly="1" outline="0" fieldPosition="0">
        <references count="7">
          <reference field="0" count="1" selected="0">
            <x v="14"/>
          </reference>
          <reference field="5" count="2">
            <x v="5943"/>
            <x v="656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362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361">
      <pivotArea dataOnly="0" labelOnly="1" outline="0" fieldPosition="0">
        <references count="7">
          <reference field="0" count="1" selected="0">
            <x v="14"/>
          </reference>
          <reference field="5" count="1">
            <x v="7553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360">
      <pivotArea dataOnly="0" labelOnly="1" outline="0" fieldPosition="0">
        <references count="7">
          <reference field="0" count="1" selected="0">
            <x v="15"/>
          </reference>
          <reference field="5" count="1">
            <x v="19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59">
      <pivotArea dataOnly="0" labelOnly="1" outline="0" fieldPosition="0">
        <references count="7">
          <reference field="0" count="1" selected="0">
            <x v="15"/>
          </reference>
          <reference field="5" count="1">
            <x v="77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58">
      <pivotArea dataOnly="0" labelOnly="1" outline="0" fieldPosition="0">
        <references count="7">
          <reference field="0" count="1" selected="0">
            <x v="15"/>
          </reference>
          <reference field="5" count="1">
            <x v="779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57">
      <pivotArea dataOnly="0" labelOnly="1" outline="0" fieldPosition="0">
        <references count="7">
          <reference field="0" count="1" selected="0">
            <x v="15"/>
          </reference>
          <reference field="5" count="1">
            <x v="77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356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355">
      <pivotArea dataOnly="0" labelOnly="1" outline="0" fieldPosition="0">
        <references count="7">
          <reference field="0" count="1" selected="0">
            <x v="15"/>
          </reference>
          <reference field="5" count="2">
            <x v="1459"/>
            <x v="779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54">
      <pivotArea dataOnly="0" labelOnly="1" outline="0" fieldPosition="0">
        <references count="7">
          <reference field="0" count="1" selected="0">
            <x v="15"/>
          </reference>
          <reference field="5" count="1">
            <x v="779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53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3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35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3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4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4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7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34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462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3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3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3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3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3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3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3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7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3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33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3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30">
      <pivotArea dataOnly="0" labelOnly="1" outline="0" fieldPosition="0">
        <references count="9">
          <reference field="0" count="1" selected="0">
            <x v="7"/>
          </reference>
          <reference field="3" count="1">
            <x v="7549"/>
          </reference>
          <reference field="5" count="1" selected="0">
            <x v="774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329">
      <pivotArea dataOnly="0" labelOnly="1" outline="0" fieldPosition="0">
        <references count="9">
          <reference field="0" count="1" selected="0">
            <x v="7"/>
          </reference>
          <reference field="3" count="1">
            <x v="7333"/>
          </reference>
          <reference field="5" count="1" selected="0">
            <x v="21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328">
      <pivotArea dataOnly="0" labelOnly="1" outline="0" fieldPosition="0">
        <references count="9">
          <reference field="0" count="1" selected="0">
            <x v="10"/>
          </reference>
          <reference field="3" count="1">
            <x v="7793"/>
          </reference>
          <reference field="5" count="1" selected="0">
            <x v="73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27">
      <pivotArea dataOnly="0" labelOnly="1" outline="0" fieldPosition="0">
        <references count="9">
          <reference field="0" count="1" selected="0">
            <x v="10"/>
          </reference>
          <reference field="3" count="1">
            <x v="7827"/>
          </reference>
          <reference field="5" count="1" selected="0">
            <x v="46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326">
      <pivotArea dataOnly="0" labelOnly="1" outline="0" fieldPosition="0">
        <references count="9">
          <reference field="0" count="1" selected="0">
            <x v="10"/>
          </reference>
          <reference field="3" count="1">
            <x v="7796"/>
          </reference>
          <reference field="5" count="1" selected="0">
            <x v="19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25">
      <pivotArea dataOnly="0" labelOnly="1" outline="0" fieldPosition="0">
        <references count="9">
          <reference field="0" count="1" selected="0">
            <x v="10"/>
          </reference>
          <reference field="3" count="1">
            <x v="7788"/>
          </reference>
          <reference field="5" count="1" selected="0">
            <x v="49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324">
      <pivotArea dataOnly="0" labelOnly="1" outline="0" fieldPosition="0">
        <references count="9">
          <reference field="0" count="1" selected="0">
            <x v="10"/>
          </reference>
          <reference field="3" count="1">
            <x v="7828"/>
          </reference>
          <reference field="5" count="1" selected="0">
            <x v="57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323">
      <pivotArea dataOnly="0" labelOnly="1" outline="0" fieldPosition="0">
        <references count="9">
          <reference field="0" count="1" selected="0">
            <x v="10"/>
          </reference>
          <reference field="3" count="1">
            <x v="7353"/>
          </reference>
          <reference field="5" count="1" selected="0">
            <x v="49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32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462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2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320">
      <pivotArea dataOnly="0" labelOnly="1" outline="0" fieldPosition="0">
        <references count="9">
          <reference field="0" count="1" selected="0">
            <x v="14"/>
          </reference>
          <reference field="3" count="1">
            <x v="7709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318">
      <pivotArea dataOnly="0" labelOnly="1" outline="0" fieldPosition="0">
        <references count="9">
          <reference field="0" count="1" selected="0">
            <x v="14"/>
          </reference>
          <reference field="3" count="1">
            <x v="7804"/>
          </reference>
          <reference field="5" count="1" selected="0">
            <x v="776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31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4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31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31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313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34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12">
      <pivotArea dataOnly="0" labelOnly="1" outline="0" fieldPosition="0">
        <references count="9">
          <reference field="0" count="1" selected="0">
            <x v="14"/>
          </reference>
          <reference field="3" count="1">
            <x v="4494"/>
          </reference>
          <reference field="5" count="1" selected="0">
            <x v="217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11">
      <pivotArea dataOnly="0" labelOnly="1" outline="0" fieldPosition="0">
        <references count="9">
          <reference field="0" count="1" selected="0">
            <x v="14"/>
          </reference>
          <reference field="3" count="1">
            <x v="7710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310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309">
      <pivotArea dataOnly="0" labelOnly="1" outline="0" fieldPosition="0">
        <references count="9">
          <reference field="0" count="1" selected="0">
            <x v="14"/>
          </reference>
          <reference field="3" count="1">
            <x v="7708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3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307">
      <pivotArea dataOnly="0" labelOnly="1" outline="0" fieldPosition="0">
        <references count="9">
          <reference field="0" count="1" selected="0">
            <x v="15"/>
          </reference>
          <reference field="3" count="1">
            <x v="7803"/>
          </reference>
          <reference field="5" count="1" selected="0">
            <x v="19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06">
      <pivotArea dataOnly="0" labelOnly="1" outline="0" fieldPosition="0">
        <references count="9">
          <reference field="0" count="1" selected="0">
            <x v="15"/>
          </reference>
          <reference field="3" count="1">
            <x v="7802"/>
          </reference>
          <reference field="5" count="1" selected="0">
            <x v="77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05">
      <pivotArea dataOnly="0" labelOnly="1" outline="0" fieldPosition="0">
        <references count="9">
          <reference field="0" count="1" selected="0">
            <x v="15"/>
          </reference>
          <reference field="3" count="1">
            <x v="7798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30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3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9"/>
          </reference>
          <reference field="5" count="1" selected="0">
            <x v="77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3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3"/>
          </reference>
          <reference field="5" count="1" selected="0">
            <x v="21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30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93"/>
          </reference>
          <reference field="5" count="1" selected="0">
            <x v="73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9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96"/>
          </reference>
          <reference field="5" count="1" selected="0">
            <x v="19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9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28"/>
          </reference>
          <reference field="5" count="1" selected="0">
            <x v="57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29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46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9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2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9"/>
          </reference>
          <reference field="5" count="1" selected="0">
            <x v="7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2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2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4"/>
          </reference>
          <reference field="5" count="1" selected="0">
            <x v="77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2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2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2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2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3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4494"/>
          </reference>
          <reference field="5" count="1" selected="0">
            <x v="21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0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2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2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3"/>
          </reference>
          <reference field="5" count="1" selected="0">
            <x v="19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2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8"/>
          </reference>
          <reference field="5" count="1" selected="0">
            <x v="77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2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281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61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80">
      <pivotArea dataOnly="0" labelOnly="1" outline="0" fieldPosition="0">
        <references count="11">
          <reference field="0" count="1" selected="0">
            <x v="7"/>
          </reference>
          <reference field="1" count="1">
            <x v="7700"/>
          </reference>
          <reference field="3" count="1" selected="0">
            <x v="7549"/>
          </reference>
          <reference field="5" count="1" selected="0">
            <x v="77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279">
      <pivotArea dataOnly="0" labelOnly="1" outline="0" fieldPosition="0">
        <references count="11">
          <reference field="0" count="1" selected="0">
            <x v="7"/>
          </reference>
          <reference field="1" count="1">
            <x v="7699"/>
          </reference>
          <reference field="3" count="1" selected="0">
            <x v="7333"/>
          </reference>
          <reference field="5" count="1" selected="0">
            <x v="21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278">
      <pivotArea dataOnly="0" labelOnly="1" outline="0" fieldPosition="0">
        <references count="11">
          <reference field="0" count="1" selected="0">
            <x v="10"/>
          </reference>
          <reference field="1" count="1">
            <x v="7618"/>
          </reference>
          <reference field="3" count="1" selected="0">
            <x v="7788"/>
          </reference>
          <reference field="5" count="1" selected="0">
            <x v="49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277">
      <pivotArea dataOnly="0" labelOnly="1" outline="0" fieldPosition="0">
        <references count="11">
          <reference field="0" count="1" selected="0">
            <x v="10"/>
          </reference>
          <reference field="1" count="1">
            <x v="7698"/>
          </reference>
          <reference field="3" count="1" selected="0">
            <x v="7828"/>
          </reference>
          <reference field="5" count="1" selected="0">
            <x v="57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276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46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275">
      <pivotArea dataOnly="0" labelOnly="1" outline="0" fieldPosition="0">
        <references count="11">
          <reference field="0" count="1" selected="0">
            <x v="13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74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274">
      <pivotArea dataOnly="0" labelOnly="1" outline="0" fieldPosition="0">
        <references count="11">
          <reference field="0" count="1" selected="0">
            <x v="13"/>
          </reference>
          <reference field="1" count="1">
            <x v="7693"/>
          </reference>
          <reference field="3" count="1" selected="0">
            <x v="0"/>
          </reference>
          <reference field="5" count="1" selected="0">
            <x v="55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273">
      <pivotArea dataOnly="0" labelOnly="1" outline="0" fieldPosition="0">
        <references count="11">
          <reference field="0" count="1" selected="0">
            <x v="13"/>
          </reference>
          <reference field="1" count="1">
            <x v="7630"/>
          </reference>
          <reference field="3" count="1" selected="0">
            <x v="0"/>
          </reference>
          <reference field="5" count="1" selected="0">
            <x v="554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272">
      <pivotArea dataOnly="0" labelOnly="1" outline="0" fieldPosition="0">
        <references count="11">
          <reference field="0" count="1" selected="0">
            <x v="14"/>
          </reference>
          <reference field="1" count="1">
            <x v="7692"/>
          </reference>
          <reference field="3" count="1" selected="0">
            <x v="2"/>
          </reference>
          <reference field="5" count="1" selected="0">
            <x v="77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271">
      <pivotArea dataOnly="0" labelOnly="1" outline="0" fieldPosition="0">
        <references count="11">
          <reference field="0" count="1" selected="0">
            <x v="14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61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70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708"/>
          </reference>
          <reference field="5" count="1" selected="0">
            <x v="4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269">
      <pivotArea dataOnly="0" labelOnly="1" outline="0" fieldPosition="0">
        <references count="11">
          <reference field="0" count="1" selected="0">
            <x v="14"/>
          </reference>
          <reference field="1" count="1">
            <x v="7691"/>
          </reference>
          <reference field="3" count="1" selected="0">
            <x v="2"/>
          </reference>
          <reference field="5" count="1" selected="0">
            <x v="75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268">
      <pivotArea dataOnly="0" labelOnly="1" outline="0" fieldPosition="0">
        <references count="11">
          <reference field="0" count="1" selected="0">
            <x v="15"/>
          </reference>
          <reference field="1" count="1">
            <x v="7688"/>
          </reference>
          <reference field="3" count="1" selected="0">
            <x v="0"/>
          </reference>
          <reference field="5" count="1" selected="0">
            <x v="779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67">
      <pivotArea dataOnly="0" labelOnly="1" outline="0" fieldPosition="0">
        <references count="11">
          <reference field="0" count="1" selected="0">
            <x v="15"/>
          </reference>
          <reference field="1" count="1">
            <x v="7625"/>
          </reference>
          <reference field="3" count="1" selected="0">
            <x v="7798"/>
          </reference>
          <reference field="5" count="1" selected="0">
            <x v="77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266">
      <pivotArea dataOnly="0" labelOnly="1" outline="0" fieldPosition="0">
        <references count="11">
          <reference field="0" count="1" selected="0">
            <x v="15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27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265">
      <pivotArea outline="0" collapsedLevelsAreSubtotals="1" fieldPosition="0"/>
    </format>
    <format dxfId="5264">
      <pivotArea dataOnly="0" labelOnly="1" outline="0" axis="axisValues" fieldPosition="0"/>
    </format>
    <format dxfId="5263">
      <pivotArea dataOnly="0" outline="0" fieldPosition="0">
        <references count="1">
          <reference field="12" count="0" defaultSubtotal="1"/>
        </references>
      </pivotArea>
    </format>
    <format dxfId="5262">
      <pivotArea outline="0" collapsedLevelsAreSubtotals="1" fieldPosition="0"/>
    </format>
    <format dxfId="5261">
      <pivotArea dataOnly="0" labelOnly="1" outline="0" axis="axisValues" fieldPosition="0"/>
    </format>
    <format dxfId="5260">
      <pivotArea outline="0" collapsedLevelsAreSubtotals="1" fieldPosition="0"/>
    </format>
    <format dxfId="5259">
      <pivotArea dataOnly="0" labelOnly="1" outline="0" axis="axisValues" fieldPosition="0"/>
    </format>
    <format dxfId="5258">
      <pivotArea dataOnly="0" labelOnly="1" outline="0" axis="axisValues" fieldPosition="0"/>
    </format>
    <format dxfId="5257">
      <pivotArea outline="0" collapsedLevelsAreSubtotals="1" fieldPosition="0"/>
    </format>
    <format dxfId="5256">
      <pivotArea field="12" type="button" dataOnly="0" labelOnly="1" outline="0" axis="axisRow" fieldPosition="2"/>
    </format>
    <format dxfId="5255">
      <pivotArea field="10" type="button" dataOnly="0" labelOnly="1" outline="0" axis="axisRow" fieldPosition="3"/>
    </format>
    <format dxfId="5254">
      <pivotArea field="16" type="button" dataOnly="0" labelOnly="1" outline="0" axis="axisRow" fieldPosition="4"/>
    </format>
    <format dxfId="5253">
      <pivotArea field="18" type="button" dataOnly="0" labelOnly="1" outline="0" axis="axisRow" fieldPosition="5"/>
    </format>
    <format dxfId="5252">
      <pivotArea field="5" type="button" dataOnly="0" labelOnly="1" outline="0" axis="axisRow" fieldPosition="6"/>
    </format>
    <format dxfId="5251">
      <pivotArea field="9" type="button" dataOnly="0" labelOnly="1" outline="0" axis="axisRow" fieldPosition="7"/>
    </format>
    <format dxfId="5250">
      <pivotArea field="3" type="button" dataOnly="0" labelOnly="1" outline="0" axis="axisRow" fieldPosition="8"/>
    </format>
    <format dxfId="5249">
      <pivotArea field="7" type="button" dataOnly="0" labelOnly="1" outline="0" axis="axisRow" fieldPosition="9"/>
    </format>
    <format dxfId="5248">
      <pivotArea field="1" type="button" dataOnly="0" labelOnly="1" outline="0" axis="axisRow" fieldPosition="10"/>
    </format>
    <format dxfId="5247">
      <pivotArea dataOnly="0" labelOnly="1" outline="0" axis="axisValues" fieldPosition="0"/>
    </format>
    <format dxfId="5246">
      <pivotArea dataOnly="0" labelOnly="1" outline="0" fieldPosition="0">
        <references count="3">
          <reference field="0" count="1" selected="0">
            <x v="14"/>
          </reference>
          <reference field="12" count="1">
            <x v="29"/>
          </reference>
          <reference field="13" count="1" selected="0">
            <x v="0"/>
          </reference>
        </references>
      </pivotArea>
    </format>
    <format dxfId="524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9"/>
          </reference>
          <reference field="13" count="1" selected="0">
            <x v="0"/>
          </reference>
        </references>
      </pivotArea>
    </format>
    <format dxfId="5244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5243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524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4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4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3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3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3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36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8"/>
            <x v="9"/>
            <x v="10"/>
            <x v="11"/>
            <x v="15"/>
            <x v="17"/>
            <x v="18"/>
            <x v="20"/>
            <x v="23"/>
            <x v="28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5235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8"/>
            <x v="9"/>
            <x v="10"/>
            <x v="11"/>
            <x v="15"/>
            <x v="17"/>
            <x v="18"/>
            <x v="20"/>
            <x v="23"/>
            <x v="28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523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3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523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23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22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22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22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2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2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2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2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2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22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22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21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21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2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2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2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21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2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52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2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2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520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20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20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20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20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0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0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0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9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9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1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1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7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17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517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517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17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51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17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63"/>
          </reference>
        </references>
      </pivotArea>
    </format>
    <format dxfId="51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51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1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51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1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1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51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5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51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1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1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1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1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1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51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1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1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51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1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1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51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1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5"/>
            <x v="39"/>
            <x v="41"/>
            <x v="42"/>
            <x v="58"/>
          </reference>
        </references>
      </pivotArea>
    </format>
    <format dxfId="51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4"/>
            <x v="71"/>
            <x v="73"/>
          </reference>
        </references>
      </pivotArea>
    </format>
    <format dxfId="51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5"/>
            <x v="70"/>
          </reference>
        </references>
      </pivotArea>
    </format>
    <format dxfId="5141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40">
      <pivotArea dataOnly="0" labelOnly="1" outline="0" fieldPosition="0">
        <references count="7">
          <reference field="0" count="1" selected="0">
            <x v="2"/>
          </reference>
          <reference field="5" count="1">
            <x v="780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139">
      <pivotArea dataOnly="0" labelOnly="1" outline="0" fieldPosition="0">
        <references count="7">
          <reference field="0" count="1" selected="0">
            <x v="2"/>
          </reference>
          <reference field="5" count="1">
            <x v="600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38">
      <pivotArea dataOnly="0" labelOnly="1" outline="0" fieldPosition="0">
        <references count="7">
          <reference field="0" count="1" selected="0">
            <x v="2"/>
          </reference>
          <reference field="5" count="1">
            <x v="780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137">
      <pivotArea dataOnly="0" labelOnly="1" outline="0" fieldPosition="0">
        <references count="7">
          <reference field="0" count="1" selected="0">
            <x v="2"/>
          </reference>
          <reference field="5" count="1">
            <x v="470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136">
      <pivotArea dataOnly="0" labelOnly="1" outline="0" fieldPosition="0">
        <references count="7">
          <reference field="0" count="1" selected="0">
            <x v="2"/>
          </reference>
          <reference field="5" count="1">
            <x v="43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135">
      <pivotArea dataOnly="0" labelOnly="1" outline="0" fieldPosition="0">
        <references count="7">
          <reference field="0" count="1" selected="0">
            <x v="7"/>
          </reference>
          <reference field="5" count="1">
            <x v="213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134">
      <pivotArea dataOnly="0" labelOnly="1" outline="0" fieldPosition="0">
        <references count="7">
          <reference field="0" count="1" selected="0">
            <x v="12"/>
          </reference>
          <reference field="5" count="1">
            <x v="594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133">
      <pivotArea dataOnly="0" labelOnly="1" outline="0" fieldPosition="0">
        <references count="7">
          <reference field="0" count="1" selected="0">
            <x v="12"/>
          </reference>
          <reference field="5" count="1">
            <x v="780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132">
      <pivotArea dataOnly="0" labelOnly="1" outline="0" fieldPosition="0">
        <references count="7">
          <reference field="0" count="1" selected="0">
            <x v="13"/>
          </reference>
          <reference field="5" count="1">
            <x v="76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131">
      <pivotArea dataOnly="0" labelOnly="1" outline="0" fieldPosition="0">
        <references count="7">
          <reference field="0" count="1" selected="0">
            <x v="13"/>
          </reference>
          <reference field="5" count="1">
            <x v="4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130">
      <pivotArea dataOnly="0" labelOnly="1" outline="0" fieldPosition="0">
        <references count="7">
          <reference field="0" count="1" selected="0">
            <x v="13"/>
          </reference>
          <reference field="5" count="1">
            <x v="7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129">
      <pivotArea dataOnly="0" labelOnly="1" outline="0" fieldPosition="0">
        <references count="7">
          <reference field="0" count="1" selected="0">
            <x v="13"/>
          </reference>
          <reference field="5" count="1">
            <x v="74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128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127">
      <pivotArea dataOnly="0" labelOnly="1" outline="0" fieldPosition="0">
        <references count="7">
          <reference field="0" count="1" selected="0">
            <x v="13"/>
          </reference>
          <reference field="5" count="2">
            <x v="2593"/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126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125">
      <pivotArea dataOnly="0" labelOnly="1" outline="0" fieldPosition="0">
        <references count="7">
          <reference field="0" count="1" selected="0">
            <x v="14"/>
          </reference>
          <reference field="5" count="1">
            <x v="777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124">
      <pivotArea dataOnly="0" labelOnly="1" outline="0" fieldPosition="0">
        <references count="7">
          <reference field="0" count="1" selected="0">
            <x v="14"/>
          </reference>
          <reference field="5" count="1">
            <x v="760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123">
      <pivotArea dataOnly="0" labelOnly="1" outline="0" fieldPosition="0">
        <references count="7">
          <reference field="0" count="1" selected="0">
            <x v="14"/>
          </reference>
          <reference field="5" count="1">
            <x v="779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22">
      <pivotArea dataOnly="0" labelOnly="1" outline="0" fieldPosition="0">
        <references count="7">
          <reference field="0" count="1" selected="0">
            <x v="14"/>
          </reference>
          <reference field="5" count="1">
            <x v="7553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121">
      <pivotArea dataOnly="0" labelOnly="1" outline="0" fieldPosition="0">
        <references count="7">
          <reference field="0" count="1" selected="0">
            <x v="14"/>
          </reference>
          <reference field="5" count="1">
            <x v="347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20">
      <pivotArea dataOnly="0" labelOnly="1" outline="0" fieldPosition="0">
        <references count="7">
          <reference field="0" count="1" selected="0">
            <x v="14"/>
          </reference>
          <reference field="5" count="1">
            <x v="716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119">
      <pivotArea dataOnly="0" labelOnly="1" outline="0" fieldPosition="0">
        <references count="7">
          <reference field="0" count="1" selected="0">
            <x v="14"/>
          </reference>
          <reference field="5" count="1">
            <x v="3433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5118">
      <pivotArea dataOnly="0" labelOnly="1" outline="0" fieldPosition="0">
        <references count="7">
          <reference field="0" count="1" selected="0">
            <x v="14"/>
          </reference>
          <reference field="5" count="1">
            <x v="3988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117">
      <pivotArea dataOnly="0" labelOnly="1" outline="0" fieldPosition="0">
        <references count="7">
          <reference field="0" count="1" selected="0">
            <x v="14"/>
          </reference>
          <reference field="5" count="1">
            <x v="2176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16">
      <pivotArea dataOnly="0" labelOnly="1" outline="0" fieldPosition="0">
        <references count="7">
          <reference field="0" count="1" selected="0">
            <x v="14"/>
          </reference>
          <reference field="5" count="2">
            <x v="5943"/>
            <x v="656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115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114">
      <pivotArea dataOnly="0" labelOnly="1" outline="0" fieldPosition="0">
        <references count="7">
          <reference field="0" count="1" selected="0">
            <x v="14"/>
          </reference>
          <reference field="5" count="1">
            <x v="235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113">
      <pivotArea dataOnly="0" labelOnly="1" outline="0" fieldPosition="0">
        <references count="7">
          <reference field="0" count="1" selected="0">
            <x v="15"/>
          </reference>
          <reference field="5" count="1">
            <x v="19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112">
      <pivotArea dataOnly="0" labelOnly="1" outline="0" fieldPosition="0">
        <references count="7">
          <reference field="0" count="1" selected="0">
            <x v="15"/>
          </reference>
          <reference field="5" count="1">
            <x v="77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11">
      <pivotArea dataOnly="0" labelOnly="1" outline="0" fieldPosition="0">
        <references count="7">
          <reference field="0" count="1" selected="0">
            <x v="15"/>
          </reference>
          <reference field="5" count="1">
            <x v="779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10">
      <pivotArea dataOnly="0" labelOnly="1" outline="0" fieldPosition="0">
        <references count="7">
          <reference field="0" count="1" selected="0">
            <x v="15"/>
          </reference>
          <reference field="5" count="1">
            <x v="77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109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108">
      <pivotArea dataOnly="0" labelOnly="1" outline="0" fieldPosition="0">
        <references count="7">
          <reference field="0" count="1" selected="0">
            <x v="15"/>
          </reference>
          <reference field="5" count="2">
            <x v="3139"/>
            <x v="77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107">
      <pivotArea dataOnly="0" labelOnly="1" outline="0" fieldPosition="0">
        <references count="7">
          <reference field="0" count="1" selected="0">
            <x v="15"/>
          </reference>
          <reference field="5" count="1">
            <x v="554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5106">
      <pivotArea dataOnly="0" labelOnly="1" outline="0" fieldPosition="0">
        <references count="7">
          <reference field="0" count="1" selected="0">
            <x v="15"/>
          </reference>
          <reference field="5" count="1">
            <x v="4579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5105">
      <pivotArea dataOnly="0" labelOnly="1" outline="0" fieldPosition="0">
        <references count="7">
          <reference field="0" count="1" selected="0">
            <x v="15"/>
          </reference>
          <reference field="5" count="3">
            <x v="1459"/>
            <x v="7704"/>
            <x v="779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04">
      <pivotArea dataOnly="0" labelOnly="1" outline="0" fieldPosition="0">
        <references count="7">
          <reference field="0" count="1" selected="0">
            <x v="15"/>
          </reference>
          <reference field="5" count="1">
            <x v="217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1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0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0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0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7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10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0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09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4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0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0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0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0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0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3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50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0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7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0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5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08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8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0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8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8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081">
      <pivotArea dataOnly="0" labelOnly="1" outline="0" fieldPosition="0">
        <references count="9">
          <reference field="0" count="1" selected="0">
            <x v="2"/>
          </reference>
          <reference field="3" count="1">
            <x v="7719"/>
          </reference>
          <reference field="5" count="1" selected="0">
            <x v="60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8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8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079">
      <pivotArea dataOnly="0" labelOnly="1" outline="0" fieldPosition="0">
        <references count="9">
          <reference field="0" count="1" selected="0">
            <x v="2"/>
          </reference>
          <reference field="3" count="1">
            <x v="7720"/>
          </reference>
          <reference field="5" count="1" selected="0">
            <x v="47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078">
      <pivotArea dataOnly="0" labelOnly="1" outline="0" fieldPosition="0">
        <references count="9">
          <reference field="0" count="1" selected="0">
            <x v="2"/>
          </reference>
          <reference field="3" count="1">
            <x v="7722"/>
          </reference>
          <reference field="5" count="1" selected="0">
            <x v="43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077">
      <pivotArea dataOnly="0" labelOnly="1" outline="0" fieldPosition="0">
        <references count="9">
          <reference field="0" count="1" selected="0">
            <x v="7"/>
          </reference>
          <reference field="3" count="1">
            <x v="7333"/>
          </reference>
          <reference field="5" count="1" selected="0">
            <x v="21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07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4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07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074">
      <pivotArea dataOnly="0" labelOnly="1" outline="0" fieldPosition="0">
        <references count="9">
          <reference field="0" count="1" selected="0">
            <x v="14"/>
          </reference>
          <reference field="3" count="1">
            <x v="7709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73">
      <pivotArea dataOnly="0" labelOnly="1" outline="0" fieldPosition="0">
        <references count="9">
          <reference field="0" count="1" selected="0">
            <x v="14"/>
          </reference>
          <reference field="3" count="1">
            <x v="7618"/>
          </reference>
          <reference field="5" count="1" selected="0">
            <x v="76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0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5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071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34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70">
      <pivotArea dataOnly="0" labelOnly="1" outline="0" fieldPosition="0">
        <references count="9">
          <reference field="0" count="1" selected="0">
            <x v="14"/>
          </reference>
          <reference field="3" count="1">
            <x v="7833"/>
          </reference>
          <reference field="5" count="1" selected="0">
            <x v="71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069">
      <pivotArea dataOnly="0" labelOnly="1" outline="0" fieldPosition="0">
        <references count="9">
          <reference field="0" count="1" selected="0">
            <x v="14"/>
          </reference>
          <reference field="3" count="1">
            <x v="7720"/>
          </reference>
          <reference field="5" count="1" selected="0">
            <x v="343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5068">
      <pivotArea dataOnly="0" labelOnly="1" outline="0" fieldPosition="0">
        <references count="9">
          <reference field="0" count="1" selected="0">
            <x v="14"/>
          </reference>
          <reference field="3" count="1">
            <x v="7750"/>
          </reference>
          <reference field="5" count="1" selected="0">
            <x v="398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067">
      <pivotArea dataOnly="0" labelOnly="1" outline="0" fieldPosition="0">
        <references count="9">
          <reference field="0" count="1" selected="0">
            <x v="14"/>
          </reference>
          <reference field="3" count="1">
            <x v="7832"/>
          </reference>
          <reference field="5" count="1" selected="0">
            <x v="217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66">
      <pivotArea dataOnly="0" labelOnly="1" outline="0" fieldPosition="0">
        <references count="9">
          <reference field="0" count="1" selected="0">
            <x v="14"/>
          </reference>
          <reference field="3" count="1">
            <x v="7710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065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064">
      <pivotArea dataOnly="0" labelOnly="1" outline="0" fieldPosition="0">
        <references count="9">
          <reference field="0" count="1" selected="0">
            <x v="14"/>
          </reference>
          <reference field="3" count="1">
            <x v="7708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063">
      <pivotArea dataOnly="0" labelOnly="1" outline="0" fieldPosition="0">
        <references count="9">
          <reference field="0" count="1" selected="0">
            <x v="14"/>
          </reference>
          <reference field="3" count="1">
            <x v="7834"/>
          </reference>
          <reference field="5" count="1" selected="0">
            <x v="235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062">
      <pivotArea dataOnly="0" labelOnly="1" outline="0" fieldPosition="0">
        <references count="9">
          <reference field="0" count="1" selected="0">
            <x v="15"/>
          </reference>
          <reference field="3" count="1">
            <x v="7803"/>
          </reference>
          <reference field="5" count="1" selected="0">
            <x v="19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61">
      <pivotArea dataOnly="0" labelOnly="1" outline="0" fieldPosition="0">
        <references count="9">
          <reference field="0" count="1" selected="0">
            <x v="15"/>
          </reference>
          <reference field="3" count="1">
            <x v="7802"/>
          </reference>
          <reference field="5" count="1" selected="0">
            <x v="77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6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9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059">
      <pivotArea dataOnly="0" labelOnly="1" outline="0" fieldPosition="0">
        <references count="9">
          <reference field="0" count="1" selected="0">
            <x v="15"/>
          </reference>
          <reference field="3" count="1">
            <x v="7798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05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0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5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8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05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19"/>
          </reference>
          <reference field="5" count="1" selected="0">
            <x v="60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5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8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05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20"/>
          </reference>
          <reference field="5" count="1" selected="0">
            <x v="47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05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22"/>
          </reference>
          <reference field="5" count="1" selected="0">
            <x v="43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0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3"/>
          </reference>
          <reference field="5" count="1" selected="0">
            <x v="21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05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04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0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9"/>
          </reference>
          <reference field="5" count="1" selected="0">
            <x v="7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8"/>
          </reference>
          <reference field="5" count="1" selected="0">
            <x v="76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0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0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3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3"/>
          </reference>
          <reference field="5" count="1" selected="0">
            <x v="71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0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0"/>
          </reference>
          <reference field="5" count="1" selected="0">
            <x v="34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50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0"/>
          </reference>
          <reference field="5" count="1" selected="0">
            <x v="39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0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2"/>
          </reference>
          <reference field="5" count="1" selected="0">
            <x v="21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0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0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4"/>
          </reference>
          <reference field="5" count="1" selected="0">
            <x v="23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0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3"/>
          </reference>
          <reference field="5" count="1" selected="0">
            <x v="19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9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0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8"/>
          </reference>
          <reference field="5" count="1" selected="0">
            <x v="77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0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034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61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33">
      <pivotArea dataOnly="0" labelOnly="1" outline="0" fieldPosition="0">
        <references count="11">
          <reference field="0" count="1" selected="0">
            <x v="2"/>
          </reference>
          <reference field="1" count="1">
            <x v="7711"/>
          </reference>
          <reference field="3" count="1" selected="0">
            <x v="7720"/>
          </reference>
          <reference field="5" count="1" selected="0">
            <x v="47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032">
      <pivotArea dataOnly="0" labelOnly="1" outline="0" fieldPosition="0">
        <references count="11">
          <reference field="0" count="1" selected="0">
            <x v="2"/>
          </reference>
          <reference field="1" count="1">
            <x v="7710"/>
          </reference>
          <reference field="3" count="1" selected="0">
            <x v="7722"/>
          </reference>
          <reference field="5" count="1" selected="0">
            <x v="43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031">
      <pivotArea dataOnly="0" labelOnly="1" outline="0" fieldPosition="0">
        <references count="11">
          <reference field="0" count="1" selected="0">
            <x v="7"/>
          </reference>
          <reference field="1" count="1">
            <x v="7699"/>
          </reference>
          <reference field="3" count="1" selected="0">
            <x v="7333"/>
          </reference>
          <reference field="5" count="1" selected="0">
            <x v="21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030">
      <pivotArea dataOnly="0" labelOnly="1" outline="0" fieldPosition="0">
        <references count="11">
          <reference field="0" count="1" selected="0">
            <x v="12"/>
          </reference>
          <reference field="1" count="1">
            <x v="7458"/>
          </reference>
          <reference field="3" count="1" selected="0">
            <x v="0"/>
          </reference>
          <reference field="5" count="1" selected="0">
            <x v="59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029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46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28">
      <pivotArea dataOnly="0" labelOnly="1" outline="0" fieldPosition="0">
        <references count="11">
          <reference field="0" count="1" selected="0">
            <x v="13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74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027">
      <pivotArea dataOnly="0" labelOnly="1" outline="0" fieldPosition="0">
        <references count="11">
          <reference field="0" count="1" selected="0">
            <x v="13"/>
          </reference>
          <reference field="1" count="1">
            <x v="7693"/>
          </reference>
          <reference field="3" count="1" selected="0">
            <x v="0"/>
          </reference>
          <reference field="5" count="1" selected="0">
            <x v="55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26">
      <pivotArea dataOnly="0" labelOnly="1" outline="0" fieldPosition="0">
        <references count="11">
          <reference field="0" count="1" selected="0">
            <x v="13"/>
          </reference>
          <reference field="1" count="1">
            <x v="7630"/>
          </reference>
          <reference field="3" count="1" selected="0">
            <x v="0"/>
          </reference>
          <reference field="5" count="1" selected="0">
            <x v="554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025">
      <pivotArea dataOnly="0" labelOnly="1" outline="0" fieldPosition="0">
        <references count="11">
          <reference field="0" count="1" selected="0">
            <x v="14"/>
          </reference>
          <reference field="1" count="1">
            <x v="7627"/>
          </reference>
          <reference field="3" count="1" selected="0">
            <x v="7618"/>
          </reference>
          <reference field="5" count="1" selected="0">
            <x v="760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024">
      <pivotArea dataOnly="0" labelOnly="1" outline="0" fieldPosition="0">
        <references count="11">
          <reference field="0" count="1" selected="0">
            <x v="14"/>
          </reference>
          <reference field="1" count="1">
            <x v="7708"/>
          </reference>
          <reference field="3" count="1" selected="0">
            <x v="2"/>
          </reference>
          <reference field="5" count="1" selected="0">
            <x v="75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023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708"/>
          </reference>
          <reference field="5" count="1" selected="0">
            <x v="4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022">
      <pivotArea dataOnly="0" labelOnly="1" outline="0" fieldPosition="0">
        <references count="11">
          <reference field="0" count="1" selected="0">
            <x v="15"/>
          </reference>
          <reference field="1" count="1">
            <x v="7688"/>
          </reference>
          <reference field="3" count="1" selected="0">
            <x v="0"/>
          </reference>
          <reference field="5" count="1" selected="0">
            <x v="779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021">
      <pivotArea dataOnly="0" labelOnly="1" outline="0" fieldPosition="0">
        <references count="11">
          <reference field="0" count="1" selected="0">
            <x v="15"/>
          </reference>
          <reference field="1" count="1">
            <x v="7625"/>
          </reference>
          <reference field="3" count="1" selected="0">
            <x v="7798"/>
          </reference>
          <reference field="5" count="1" selected="0">
            <x v="77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020">
      <pivotArea dataOnly="0" labelOnly="1" outline="0" fieldPosition="0">
        <references count="11">
          <reference field="0" count="1" selected="0">
            <x v="15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27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019">
      <pivotArea dataOnly="0" labelOnly="1" outline="0" fieldPosition="0">
        <references count="11">
          <reference field="0" count="1" selected="0">
            <x v="15"/>
          </reference>
          <reference field="1" count="1">
            <x v="7662"/>
          </reference>
          <reference field="3" count="1" selected="0">
            <x v="0"/>
          </reference>
          <reference field="5" count="1" selected="0">
            <x v="77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018">
      <pivotArea outline="0" collapsedLevelsAreSubtotals="1" fieldPosition="0"/>
    </format>
    <format dxfId="5017">
      <pivotArea dataOnly="0" labelOnly="1" outline="0" axis="axisValues" fieldPosition="0"/>
    </format>
    <format dxfId="5016">
      <pivotArea dataOnly="0" outline="0" fieldPosition="0">
        <references count="1">
          <reference field="12" count="0" defaultSubtotal="1"/>
        </references>
      </pivotArea>
    </format>
    <format dxfId="5015">
      <pivotArea outline="0" collapsedLevelsAreSubtotals="1" fieldPosition="0"/>
    </format>
    <format dxfId="5014">
      <pivotArea dataOnly="0" labelOnly="1" outline="0" axis="axisValues" fieldPosition="0"/>
    </format>
    <format dxfId="5013">
      <pivotArea outline="0" collapsedLevelsAreSubtotals="1" fieldPosition="0"/>
    </format>
    <format dxfId="5012">
      <pivotArea dataOnly="0" labelOnly="1" outline="0" axis="axisValues" fieldPosition="0"/>
    </format>
    <format dxfId="5011">
      <pivotArea dataOnly="0" labelOnly="1" outline="0" axis="axisValues" fieldPosition="0"/>
    </format>
    <format dxfId="5010">
      <pivotArea outline="0" collapsedLevelsAreSubtotals="1" fieldPosition="0"/>
    </format>
    <format dxfId="5009">
      <pivotArea field="12" type="button" dataOnly="0" labelOnly="1" outline="0" axis="axisRow" fieldPosition="2"/>
    </format>
    <format dxfId="5008">
      <pivotArea field="10" type="button" dataOnly="0" labelOnly="1" outline="0" axis="axisRow" fieldPosition="3"/>
    </format>
    <format dxfId="5007">
      <pivotArea field="16" type="button" dataOnly="0" labelOnly="1" outline="0" axis="axisRow" fieldPosition="4"/>
    </format>
    <format dxfId="5006">
      <pivotArea field="18" type="button" dataOnly="0" labelOnly="1" outline="0" axis="axisRow" fieldPosition="5"/>
    </format>
    <format dxfId="5005">
      <pivotArea field="5" type="button" dataOnly="0" labelOnly="1" outline="0" axis="axisRow" fieldPosition="6"/>
    </format>
    <format dxfId="5004">
      <pivotArea field="9" type="button" dataOnly="0" labelOnly="1" outline="0" axis="axisRow" fieldPosition="7"/>
    </format>
    <format dxfId="5003">
      <pivotArea field="3" type="button" dataOnly="0" labelOnly="1" outline="0" axis="axisRow" fieldPosition="8"/>
    </format>
    <format dxfId="5002">
      <pivotArea field="7" type="button" dataOnly="0" labelOnly="1" outline="0" axis="axisRow" fieldPosition="9"/>
    </format>
    <format dxfId="5001">
      <pivotArea field="1" type="button" dataOnly="0" labelOnly="1" outline="0" axis="axisRow" fieldPosition="10"/>
    </format>
    <format dxfId="5000">
      <pivotArea dataOnly="0" labelOnly="1" outline="0" axis="axisValues" fieldPosition="0"/>
    </format>
    <format dxfId="4999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499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4997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4996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4995">
      <pivotArea dataOnly="0" labelOnly="1" outline="0" fieldPosition="0">
        <references count="3">
          <reference field="0" count="1" selected="0">
            <x v="7"/>
          </reference>
          <reference field="12" count="13">
            <x v="0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4994">
      <pivotArea dataOnly="0" labelOnly="1" outline="0" fieldPosition="0">
        <references count="3">
          <reference field="0" count="1" selected="0">
            <x v="7"/>
          </reference>
          <reference field="12" count="13" defaultSubtotal="1">
            <x v="0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499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99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991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6"/>
            <x v="7"/>
            <x v="8"/>
            <x v="10"/>
            <x v="18"/>
            <x v="23"/>
            <x v="27"/>
            <x v="31"/>
          </reference>
          <reference field="13" count="1" selected="0">
            <x v="2"/>
          </reference>
        </references>
      </pivotArea>
    </format>
    <format dxfId="4990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6"/>
            <x v="7"/>
            <x v="8"/>
            <x v="10"/>
            <x v="18"/>
            <x v="23"/>
            <x v="27"/>
            <x v="31"/>
          </reference>
          <reference field="13" count="1" selected="0">
            <x v="2"/>
          </reference>
        </references>
      </pivotArea>
    </format>
    <format dxfId="498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98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9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9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498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98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983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9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9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9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9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9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9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9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49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9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49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9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497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6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6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9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9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9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96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9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9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9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9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9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95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95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49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495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495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9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9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9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9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49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49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9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49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49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49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49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49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49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493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9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9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9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9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49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49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9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49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49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49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49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49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492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23"/>
          </reference>
        </references>
      </pivotArea>
    </format>
    <format dxfId="49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492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492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49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49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49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9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6"/>
            <x v="66"/>
          </reference>
        </references>
      </pivotArea>
    </format>
    <format dxfId="49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49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88"/>
            <x v="109"/>
          </reference>
        </references>
      </pivotArea>
    </format>
    <format dxfId="49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49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49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9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9"/>
          </reference>
        </references>
      </pivotArea>
    </format>
    <format dxfId="49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9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2">
            <x v="63"/>
            <x v="109"/>
          </reference>
        </references>
      </pivotArea>
    </format>
    <format dxfId="49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3"/>
            <x v="111"/>
          </reference>
        </references>
      </pivotArea>
    </format>
    <format dxfId="49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49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49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9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49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9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9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49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9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8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48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48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48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8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48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8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48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48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8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48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48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3"/>
            <x v="37"/>
            <x v="39"/>
            <x v="41"/>
            <x v="42"/>
            <x v="58"/>
          </reference>
        </references>
      </pivotArea>
    </format>
    <format dxfId="48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1"/>
          </reference>
        </references>
      </pivotArea>
    </format>
    <format dxfId="4886">
      <pivotArea dataOnly="0" labelOnly="1" outline="0" fieldPosition="0">
        <references count="7">
          <reference field="0" count="1" selected="0">
            <x v="14"/>
          </reference>
          <reference field="5" count="1">
            <x v="7452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3"/>
          </reference>
        </references>
      </pivotArea>
    </format>
    <format dxfId="4885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884">
      <pivotArea dataOnly="0" labelOnly="1" outline="0" fieldPosition="0">
        <references count="7">
          <reference field="0" count="1" selected="0">
            <x v="0"/>
          </reference>
          <reference field="5" count="1">
            <x v="201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883">
      <pivotArea dataOnly="0" labelOnly="1" outline="0" fieldPosition="0">
        <references count="7">
          <reference field="0" count="1" selected="0">
            <x v="0"/>
          </reference>
          <reference field="5" count="1">
            <x v="200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882">
      <pivotArea dataOnly="0" labelOnly="1" outline="0" fieldPosition="0">
        <references count="7">
          <reference field="0" count="1" selected="0">
            <x v="0"/>
          </reference>
          <reference field="5" count="1">
            <x v="566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881">
      <pivotArea dataOnly="0" labelOnly="1" outline="0" fieldPosition="0">
        <references count="7">
          <reference field="0" count="1" selected="0">
            <x v="7"/>
          </reference>
          <reference field="5" count="1">
            <x v="7818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880">
      <pivotArea dataOnly="0" labelOnly="1" outline="0" fieldPosition="0">
        <references count="7">
          <reference field="0" count="1" selected="0">
            <x v="7"/>
          </reference>
          <reference field="5" count="1">
            <x v="213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879">
      <pivotArea dataOnly="0" labelOnly="1" outline="0" fieldPosition="0">
        <references count="7">
          <reference field="0" count="1" selected="0">
            <x v="7"/>
          </reference>
          <reference field="5" count="1">
            <x v="781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878">
      <pivotArea dataOnly="0" labelOnly="1" outline="0" fieldPosition="0">
        <references count="7">
          <reference field="0" count="1" selected="0">
            <x v="7"/>
          </reference>
          <reference field="5" count="1">
            <x v="781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877">
      <pivotArea dataOnly="0" labelOnly="1" outline="0" fieldPosition="0">
        <references count="7">
          <reference field="0" count="1" selected="0">
            <x v="7"/>
          </reference>
          <reference field="5" count="1">
            <x v="780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4876">
      <pivotArea dataOnly="0" labelOnly="1" outline="0" fieldPosition="0">
        <references count="7">
          <reference field="0" count="1" selected="0">
            <x v="7"/>
          </reference>
          <reference field="5" count="1">
            <x v="781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875">
      <pivotArea dataOnly="0" labelOnly="1" outline="0" fieldPosition="0">
        <references count="7">
          <reference field="0" count="1" selected="0">
            <x v="7"/>
          </reference>
          <reference field="5" count="1">
            <x v="781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874">
      <pivotArea dataOnly="0" labelOnly="1" outline="0" fieldPosition="0">
        <references count="7">
          <reference field="0" count="1" selected="0">
            <x v="7"/>
          </reference>
          <reference field="5" count="1">
            <x v="781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873">
      <pivotArea dataOnly="0" labelOnly="1" outline="0" fieldPosition="0">
        <references count="7">
          <reference field="0" count="1" selected="0">
            <x v="7"/>
          </reference>
          <reference field="5" count="1">
            <x v="7812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872">
      <pivotArea dataOnly="0" labelOnly="1" outline="0" fieldPosition="0">
        <references count="7">
          <reference field="0" count="1" selected="0">
            <x v="7"/>
          </reference>
          <reference field="5" count="1">
            <x v="7809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871">
      <pivotArea dataOnly="0" labelOnly="1" outline="0" fieldPosition="0">
        <references count="7">
          <reference field="0" count="1" selected="0">
            <x v="7"/>
          </reference>
          <reference field="5" count="1">
            <x v="7810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870">
      <pivotArea dataOnly="0" labelOnly="1" outline="0" fieldPosition="0">
        <references count="7">
          <reference field="0" count="1" selected="0">
            <x v="7"/>
          </reference>
          <reference field="5" count="1">
            <x v="7816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869">
      <pivotArea dataOnly="0" labelOnly="1" outline="0" fieldPosition="0">
        <references count="7">
          <reference field="0" count="1" selected="0">
            <x v="7"/>
          </reference>
          <reference field="5" count="1">
            <x v="7808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868">
      <pivotArea dataOnly="0" labelOnly="1" outline="0" fieldPosition="0">
        <references count="7">
          <reference field="0" count="1" selected="0">
            <x v="7"/>
          </reference>
          <reference field="5" count="1">
            <x v="2203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867">
      <pivotArea dataOnly="0" labelOnly="1" outline="0" fieldPosition="0">
        <references count="7">
          <reference field="0" count="1" selected="0">
            <x v="13"/>
          </reference>
          <reference field="5" count="1">
            <x v="76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866">
      <pivotArea dataOnly="0" labelOnly="1" outline="0" fieldPosition="0">
        <references count="7">
          <reference field="0" count="1" selected="0">
            <x v="13"/>
          </reference>
          <reference field="5" count="1">
            <x v="4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865">
      <pivotArea dataOnly="0" labelOnly="1" outline="0" fieldPosition="0">
        <references count="7">
          <reference field="0" count="1" selected="0">
            <x v="13"/>
          </reference>
          <reference field="5" count="1">
            <x v="7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864">
      <pivotArea dataOnly="0" labelOnly="1" outline="0" fieldPosition="0">
        <references count="7">
          <reference field="0" count="1" selected="0">
            <x v="13"/>
          </reference>
          <reference field="5" count="1">
            <x v="74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863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862">
      <pivotArea dataOnly="0" labelOnly="1" outline="0" fieldPosition="0">
        <references count="7">
          <reference field="0" count="1" selected="0">
            <x v="13"/>
          </reference>
          <reference field="5" count="2">
            <x v="2593"/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861">
      <pivotArea dataOnly="0" labelOnly="1" outline="0" fieldPosition="0">
        <references count="7">
          <reference field="0" count="1" selected="0">
            <x v="14"/>
          </reference>
          <reference field="5" count="1">
            <x v="777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860">
      <pivotArea dataOnly="0" labelOnly="1" outline="0" fieldPosition="0">
        <references count="7">
          <reference field="0" count="1" selected="0">
            <x v="14"/>
          </reference>
          <reference field="5" count="1">
            <x v="780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859">
      <pivotArea dataOnly="0" labelOnly="1" outline="0" fieldPosition="0">
        <references count="7">
          <reference field="0" count="1" selected="0">
            <x v="14"/>
          </reference>
          <reference field="5" count="1">
            <x v="433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858">
      <pivotArea dataOnly="0" labelOnly="1" outline="0" fieldPosition="0">
        <references count="7">
          <reference field="0" count="1" selected="0">
            <x v="14"/>
          </reference>
          <reference field="5" count="1">
            <x v="343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857">
      <pivotArea dataOnly="0" labelOnly="1" outline="0" fieldPosition="0">
        <references count="7">
          <reference field="0" count="1" selected="0">
            <x v="14"/>
          </reference>
          <reference field="5" count="1">
            <x v="347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856">
      <pivotArea dataOnly="0" labelOnly="1" outline="0" fieldPosition="0">
        <references count="7">
          <reference field="0" count="1" selected="0">
            <x v="14"/>
          </reference>
          <reference field="5" count="2">
            <x v="5943"/>
            <x v="656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855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854">
      <pivotArea dataOnly="0" labelOnly="1" outline="0" fieldPosition="0">
        <references count="7">
          <reference field="0" count="1" selected="0">
            <x v="15"/>
          </reference>
          <reference field="5" count="1">
            <x v="19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853">
      <pivotArea dataOnly="0" labelOnly="1" outline="0" fieldPosition="0">
        <references count="7">
          <reference field="0" count="1" selected="0">
            <x v="15"/>
          </reference>
          <reference field="5" count="1">
            <x v="779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852">
      <pivotArea dataOnly="0" labelOnly="1" outline="0" fieldPosition="0">
        <references count="7">
          <reference field="0" count="1" selected="0">
            <x v="15"/>
          </reference>
          <reference field="5" count="1">
            <x v="77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851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850">
      <pivotArea dataOnly="0" labelOnly="1" outline="0" fieldPosition="0">
        <references count="7">
          <reference field="0" count="1" selected="0">
            <x v="15"/>
          </reference>
          <reference field="5" count="1">
            <x v="768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8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3"/>
          </reference>
        </references>
      </pivotArea>
    </format>
    <format dxfId="48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84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8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8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8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48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8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8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8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8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8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8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8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8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8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8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3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8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3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8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8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82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82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53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82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8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825">
      <pivotArea dataOnly="0" labelOnly="1" outline="0" fieldPosition="0">
        <references count="9">
          <reference field="0" count="1" selected="0">
            <x v="0"/>
          </reference>
          <reference field="3" count="1">
            <x v="7224"/>
          </reference>
          <reference field="5" count="1" selected="0">
            <x v="20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824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823">
      <pivotArea dataOnly="0" labelOnly="1" outline="0" fieldPosition="0">
        <references count="9">
          <reference field="0" count="1" selected="0">
            <x v="0"/>
          </reference>
          <reference field="3" count="1">
            <x v="7225"/>
          </reference>
          <reference field="5" count="1" selected="0">
            <x v="56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822">
      <pivotArea dataOnly="0" labelOnly="1" outline="0" fieldPosition="0">
        <references count="9">
          <reference field="0" count="1" selected="0">
            <x v="7"/>
          </reference>
          <reference field="3" count="1">
            <x v="7849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821">
      <pivotArea dataOnly="0" labelOnly="1" outline="0" fieldPosition="0">
        <references count="9">
          <reference field="0" count="1" selected="0">
            <x v="7"/>
          </reference>
          <reference field="3" count="1">
            <x v="7333"/>
          </reference>
          <reference field="5" count="1" selected="0">
            <x v="21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82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819">
      <pivotArea dataOnly="0" labelOnly="1" outline="0" fieldPosition="0">
        <references count="9">
          <reference field="0" count="1" selected="0">
            <x v="7"/>
          </reference>
          <reference field="3" count="1">
            <x v="7845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81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4817">
      <pivotArea dataOnly="0" labelOnly="1" outline="0" fieldPosition="0">
        <references count="9">
          <reference field="0" count="1" selected="0">
            <x v="7"/>
          </reference>
          <reference field="3" count="1">
            <x v="7848"/>
          </reference>
          <reference field="5" count="1" selected="0">
            <x v="7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816">
      <pivotArea dataOnly="0" labelOnly="1" outline="0" fieldPosition="0">
        <references count="9">
          <reference field="0" count="1" selected="0">
            <x v="7"/>
          </reference>
          <reference field="3" count="1">
            <x v="7720"/>
          </reference>
          <reference field="5" count="1" selected="0">
            <x v="78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815">
      <pivotArea dataOnly="0" labelOnly="1" outline="0" fieldPosition="0">
        <references count="9">
          <reference field="0" count="1" selected="0">
            <x v="7"/>
          </reference>
          <reference field="3" count="1">
            <x v="7842"/>
          </reference>
          <reference field="5" count="1" selected="0">
            <x v="78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814">
      <pivotArea dataOnly="0" labelOnly="1" outline="0" fieldPosition="0">
        <references count="9">
          <reference field="0" count="1" selected="0">
            <x v="7"/>
          </reference>
          <reference field="3" count="1">
            <x v="7843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813">
      <pivotArea dataOnly="0" labelOnly="1" outline="0" fieldPosition="0">
        <references count="9">
          <reference field="0" count="1" selected="0">
            <x v="7"/>
          </reference>
          <reference field="3" count="1">
            <x v="7840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81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811">
      <pivotArea dataOnly="0" labelOnly="1" outline="0" fieldPosition="0">
        <references count="9">
          <reference field="0" count="1" selected="0">
            <x v="7"/>
          </reference>
          <reference field="3" count="1">
            <x v="7246"/>
          </reference>
          <reference field="5" count="1" selected="0">
            <x v="78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810">
      <pivotArea dataOnly="0" labelOnly="1" outline="0" fieldPosition="0">
        <references count="9">
          <reference field="0" count="1" selected="0">
            <x v="7"/>
          </reference>
          <reference field="3" count="1">
            <x v="7836"/>
          </reference>
          <reference field="5" count="1" selected="0">
            <x v="22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80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808">
      <pivotArea dataOnly="0" labelOnly="1" outline="0" fieldPosition="0">
        <references count="9">
          <reference field="0" count="1" selected="0">
            <x v="14"/>
          </reference>
          <reference field="3" count="1">
            <x v="7709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8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0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806">
      <pivotArea dataOnly="0" labelOnly="1" outline="0" fieldPosition="0">
        <references count="9">
          <reference field="0" count="1" selected="0">
            <x v="14"/>
          </reference>
          <reference field="3" count="1">
            <x v="7366"/>
          </reference>
          <reference field="5" count="1" selected="0">
            <x v="433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805">
      <pivotArea dataOnly="0" labelOnly="1" outline="0" fieldPosition="0">
        <references count="9">
          <reference field="0" count="1" selected="0">
            <x v="14"/>
          </reference>
          <reference field="3" count="1">
            <x v="7720"/>
          </reference>
          <reference field="5" count="1" selected="0">
            <x v="343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804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34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803">
      <pivotArea dataOnly="0" labelOnly="1" outline="0" fieldPosition="0">
        <references count="9">
          <reference field="0" count="1" selected="0">
            <x v="14"/>
          </reference>
          <reference field="3" count="1">
            <x v="7710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802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801">
      <pivotArea dataOnly="0" labelOnly="1" outline="0" fieldPosition="0">
        <references count="9">
          <reference field="0" count="1" selected="0">
            <x v="14"/>
          </reference>
          <reference field="3" count="1">
            <x v="7708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800">
      <pivotArea dataOnly="0" labelOnly="1" outline="0" fieldPosition="0">
        <references count="9">
          <reference field="0" count="1" selected="0">
            <x v="15"/>
          </reference>
          <reference field="3" count="1">
            <x v="7803"/>
          </reference>
          <reference field="5" count="1" selected="0">
            <x v="19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79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9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798">
      <pivotArea dataOnly="0" labelOnly="1" outline="0" fieldPosition="0">
        <references count="9">
          <reference field="0" count="1" selected="0">
            <x v="15"/>
          </reference>
          <reference field="3" count="1">
            <x v="7798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79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7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79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224"/>
          </reference>
          <reference field="5" count="1" selected="0">
            <x v="20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79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7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9"/>
          </reference>
          <reference field="5" count="1" selected="0">
            <x v="78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7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3"/>
          </reference>
          <reference field="5" count="1" selected="0">
            <x v="21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7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8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7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0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47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8"/>
          </reference>
          <reference field="5" count="1" selected="0">
            <x v="78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7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0"/>
          </reference>
          <reference field="5" count="1" selected="0">
            <x v="78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7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2"/>
          </reference>
          <reference field="5" count="1" selected="0">
            <x v="78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7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0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7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7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46"/>
          </reference>
          <reference field="5" count="1" selected="0">
            <x v="78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7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6"/>
          </reference>
          <reference field="5" count="1" selected="0">
            <x v="22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78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7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9"/>
          </reference>
          <reference field="5" count="1" selected="0">
            <x v="7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7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7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6"/>
          </reference>
          <reference field="5" count="1" selected="0">
            <x v="43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7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0"/>
          </reference>
          <reference field="5" count="1" selected="0">
            <x v="34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7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3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7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0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7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3"/>
          </reference>
          <reference field="5" count="1" selected="0">
            <x v="19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7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9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7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8"/>
          </reference>
          <reference field="5" count="1" selected="0">
            <x v="77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7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771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61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770">
      <pivotArea dataOnly="0" labelOnly="1" outline="0" fieldPosition="0">
        <references count="11">
          <reference field="0" count="1" selected="0">
            <x v="0"/>
          </reference>
          <reference field="1" count="1">
            <x v="6258"/>
          </reference>
          <reference field="3" count="1" selected="0">
            <x v="0"/>
          </reference>
          <reference field="5" count="1" selected="0">
            <x v="200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769">
      <pivotArea dataOnly="0" labelOnly="1" outline="0" fieldPosition="0">
        <references count="11">
          <reference field="0" count="1" selected="0">
            <x v="7"/>
          </reference>
          <reference field="1" count="1">
            <x v="7699"/>
          </reference>
          <reference field="3" count="1" selected="0">
            <x v="7333"/>
          </reference>
          <reference field="5" count="1" selected="0">
            <x v="21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768">
      <pivotArea dataOnly="0" labelOnly="1" outline="0" fieldPosition="0">
        <references count="11">
          <reference field="0" count="1" selected="0">
            <x v="7"/>
          </reference>
          <reference field="1" count="1">
            <x v="7722"/>
          </reference>
          <reference field="3" count="1" selected="0">
            <x v="7845"/>
          </reference>
          <reference field="5" count="1" selected="0">
            <x v="78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767">
      <pivotArea dataOnly="0" labelOnly="1" outline="0" fieldPosition="0">
        <references count="11">
          <reference field="0" count="1" selected="0">
            <x v="7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80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4766">
      <pivotArea dataOnly="0" labelOnly="1" outline="0" fieldPosition="0">
        <references count="11">
          <reference field="0" count="1" selected="0">
            <x v="7"/>
          </reference>
          <reference field="1" count="1">
            <x v="7721"/>
          </reference>
          <reference field="3" count="1" selected="0">
            <x v="7842"/>
          </reference>
          <reference field="5" count="1" selected="0">
            <x v="78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765">
      <pivotArea dataOnly="0" labelOnly="1" outline="0" fieldPosition="0">
        <references count="11">
          <reference field="0" count="1" selected="0">
            <x v="7"/>
          </reference>
          <reference field="1" count="1">
            <x v="7719"/>
          </reference>
          <reference field="3" count="1" selected="0">
            <x v="7840"/>
          </reference>
          <reference field="5" count="1" selected="0">
            <x v="78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764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46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763">
      <pivotArea dataOnly="0" labelOnly="1" outline="0" fieldPosition="0">
        <references count="11">
          <reference field="0" count="1" selected="0">
            <x v="13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74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762">
      <pivotArea dataOnly="0" labelOnly="1" outline="0" fieldPosition="0">
        <references count="11">
          <reference field="0" count="1" selected="0">
            <x v="13"/>
          </reference>
          <reference field="1" count="1">
            <x v="7693"/>
          </reference>
          <reference field="3" count="1" selected="0">
            <x v="0"/>
          </reference>
          <reference field="5" count="1" selected="0">
            <x v="55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761">
      <pivotArea dataOnly="0" labelOnly="1" outline="0" fieldPosition="0">
        <references count="11">
          <reference field="0" count="1" selected="0">
            <x v="13"/>
          </reference>
          <reference field="1" count="1">
            <x v="7630"/>
          </reference>
          <reference field="3" count="1" selected="0">
            <x v="0"/>
          </reference>
          <reference field="5" count="1" selected="0">
            <x v="554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760">
      <pivotArea dataOnly="0" labelOnly="1" outline="0" fieldPosition="0">
        <references count="11">
          <reference field="0" count="1" selected="0">
            <x v="14"/>
          </reference>
          <reference field="1" count="1">
            <x v="7717"/>
          </reference>
          <reference field="3" count="1" selected="0">
            <x v="2"/>
          </reference>
          <reference field="5" count="1" selected="0">
            <x v="78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759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708"/>
          </reference>
          <reference field="5" count="1" selected="0">
            <x v="4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758">
      <pivotArea dataOnly="0" labelOnly="1" outline="0" fieldPosition="0">
        <references count="11">
          <reference field="0" count="1" selected="0">
            <x v="15"/>
          </reference>
          <reference field="1" count="1">
            <x v="7688"/>
          </reference>
          <reference field="3" count="1" selected="0">
            <x v="0"/>
          </reference>
          <reference field="5" count="1" selected="0">
            <x v="779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757">
      <pivotArea dataOnly="0" labelOnly="1" outline="0" fieldPosition="0">
        <references count="11">
          <reference field="0" count="1" selected="0">
            <x v="15"/>
          </reference>
          <reference field="1" count="1">
            <x v="7625"/>
          </reference>
          <reference field="3" count="1" selected="0">
            <x v="7798"/>
          </reference>
          <reference field="5" count="1" selected="0">
            <x v="77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756">
      <pivotArea dataOnly="0" labelOnly="1" outline="0" fieldPosition="0">
        <references count="11">
          <reference field="0" count="1" selected="0">
            <x v="15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27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755">
      <pivotArea dataOnly="0" labelOnly="1" outline="0" fieldPosition="0">
        <references count="11">
          <reference field="0" count="1" selected="0">
            <x v="15"/>
          </reference>
          <reference field="1" count="1">
            <x v="7520"/>
          </reference>
          <reference field="3" count="1" selected="0">
            <x v="0"/>
          </reference>
          <reference field="5" count="1" selected="0">
            <x v="76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754">
      <pivotArea outline="0" collapsedLevelsAreSubtotals="1" fieldPosition="0"/>
    </format>
    <format dxfId="4753">
      <pivotArea dataOnly="0" labelOnly="1" outline="0" axis="axisValues" fieldPosition="0"/>
    </format>
    <format dxfId="4752">
      <pivotArea dataOnly="0" outline="0" fieldPosition="0">
        <references count="1">
          <reference field="12" count="0" defaultSubtotal="1"/>
        </references>
      </pivotArea>
    </format>
    <format dxfId="4751">
      <pivotArea outline="0" collapsedLevelsAreSubtotals="1" fieldPosition="0"/>
    </format>
    <format dxfId="4750">
      <pivotArea dataOnly="0" labelOnly="1" outline="0" axis="axisValues" fieldPosition="0"/>
    </format>
    <format dxfId="4749">
      <pivotArea outline="0" collapsedLevelsAreSubtotals="1" fieldPosition="0"/>
    </format>
    <format dxfId="4748">
      <pivotArea dataOnly="0" labelOnly="1" outline="0" axis="axisValues" fieldPosition="0"/>
    </format>
    <format dxfId="4747">
      <pivotArea dataOnly="0" labelOnly="1" outline="0" axis="axisValues" fieldPosition="0"/>
    </format>
    <format dxfId="4746">
      <pivotArea outline="0" collapsedLevelsAreSubtotals="1" fieldPosition="0"/>
    </format>
    <format dxfId="4745">
      <pivotArea field="12" type="button" dataOnly="0" labelOnly="1" outline="0" axis="axisRow" fieldPosition="2"/>
    </format>
    <format dxfId="4744">
      <pivotArea field="10" type="button" dataOnly="0" labelOnly="1" outline="0" axis="axisRow" fieldPosition="3"/>
    </format>
    <format dxfId="4743">
      <pivotArea field="16" type="button" dataOnly="0" labelOnly="1" outline="0" axis="axisRow" fieldPosition="4"/>
    </format>
    <format dxfId="4742">
      <pivotArea field="18" type="button" dataOnly="0" labelOnly="1" outline="0" axis="axisRow" fieldPosition="5"/>
    </format>
    <format dxfId="4741">
      <pivotArea field="5" type="button" dataOnly="0" labelOnly="1" outline="0" axis="axisRow" fieldPosition="6"/>
    </format>
    <format dxfId="4740">
      <pivotArea field="9" type="button" dataOnly="0" labelOnly="1" outline="0" axis="axisRow" fieldPosition="7"/>
    </format>
    <format dxfId="4739">
      <pivotArea field="3" type="button" dataOnly="0" labelOnly="1" outline="0" axis="axisRow" fieldPosition="8"/>
    </format>
    <format dxfId="4738">
      <pivotArea field="7" type="button" dataOnly="0" labelOnly="1" outline="0" axis="axisRow" fieldPosition="9"/>
    </format>
    <format dxfId="4737">
      <pivotArea field="1" type="button" dataOnly="0" labelOnly="1" outline="0" axis="axisRow" fieldPosition="10"/>
    </format>
    <format dxfId="4736">
      <pivotArea dataOnly="0" labelOnly="1" outline="0" axis="axisValues" fieldPosition="0"/>
    </format>
    <format dxfId="4735">
      <pivotArea dataOnly="0" labelOnly="1" outline="0" fieldPosition="0">
        <references count="3">
          <reference field="0" count="1" selected="0">
            <x v="7"/>
          </reference>
          <reference field="12" count="4">
            <x v="0"/>
            <x v="1"/>
            <x v="26"/>
            <x v="27"/>
          </reference>
          <reference field="13" count="1" selected="0">
            <x v="0"/>
          </reference>
        </references>
      </pivotArea>
    </format>
    <format dxfId="4734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0"/>
            <x v="1"/>
            <x v="26"/>
            <x v="27"/>
          </reference>
          <reference field="13" count="1" selected="0">
            <x v="0"/>
          </reference>
        </references>
      </pivotArea>
    </format>
    <format dxfId="4733">
      <pivotArea dataOnly="0" labelOnly="1" outline="0" fieldPosition="0">
        <references count="3">
          <reference field="0" count="1" selected="0">
            <x v="14"/>
          </reference>
          <reference field="12" count="2">
            <x v="23"/>
            <x v="27"/>
          </reference>
          <reference field="13" count="1" selected="0">
            <x v="0"/>
          </reference>
        </references>
      </pivotArea>
    </format>
    <format dxfId="473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3"/>
            <x v="27"/>
          </reference>
          <reference field="13" count="1" selected="0">
            <x v="0"/>
          </reference>
        </references>
      </pivotArea>
    </format>
    <format dxfId="4731">
      <pivotArea dataOnly="0" labelOnly="1" outline="0" fieldPosition="0">
        <references count="3">
          <reference field="0" count="1" selected="0">
            <x v="7"/>
          </reference>
          <reference field="12" count="25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8"/>
            <x v="19"/>
            <x v="20"/>
            <x v="21"/>
            <x v="22"/>
            <x v="23"/>
            <x v="24"/>
            <x v="25"/>
            <x v="26"/>
            <x v="27"/>
            <x v="28"/>
          </reference>
          <reference field="13" count="1" selected="0">
            <x v="2"/>
          </reference>
        </references>
      </pivotArea>
    </format>
    <format dxfId="4730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8"/>
            <x v="19"/>
            <x v="20"/>
            <x v="21"/>
            <x v="22"/>
            <x v="23"/>
            <x v="24"/>
            <x v="25"/>
            <x v="26"/>
            <x v="27"/>
            <x v="28"/>
          </reference>
          <reference field="13" count="1" selected="0">
            <x v="2"/>
          </reference>
        </references>
      </pivotArea>
    </format>
    <format dxfId="4729">
      <pivotArea dataOnly="0" labelOnly="1" outline="0" fieldPosition="0">
        <references count="3">
          <reference field="0" count="1" selected="0">
            <x v="7"/>
          </reference>
          <reference field="12" count="4">
            <x v="29"/>
            <x v="30"/>
            <x v="31"/>
            <x v="32"/>
          </reference>
          <reference field="13" count="1" selected="0">
            <x v="2"/>
          </reference>
        </references>
      </pivotArea>
    </format>
    <format dxfId="4728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29"/>
            <x v="30"/>
            <x v="31"/>
            <x v="32"/>
          </reference>
          <reference field="13" count="1" selected="0">
            <x v="2"/>
          </reference>
        </references>
      </pivotArea>
    </format>
    <format dxfId="472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72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72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72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723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8"/>
            <x v="9"/>
            <x v="11"/>
            <x v="13"/>
            <x v="14"/>
            <x v="15"/>
            <x v="17"/>
            <x v="21"/>
            <x v="22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4722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8"/>
            <x v="9"/>
            <x v="11"/>
            <x v="13"/>
            <x v="14"/>
            <x v="15"/>
            <x v="17"/>
            <x v="21"/>
            <x v="22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472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72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7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71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47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47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471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47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47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7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711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7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7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7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7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7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7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7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7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47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7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47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6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6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6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46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6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46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6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46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6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6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6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6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46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46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6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468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8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8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8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680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67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67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67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6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67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6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467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6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67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6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46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6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66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66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66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6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6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6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6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6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6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2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2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6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0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9"/>
            <x v="109"/>
          </reference>
        </references>
      </pivotArea>
    </format>
    <format dxfId="46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46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6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4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6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6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6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9"/>
            <x v="63"/>
            <x v="109"/>
            <x v="111"/>
          </reference>
        </references>
      </pivotArea>
    </format>
    <format dxfId="45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5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63"/>
            <x v="109"/>
          </reference>
        </references>
      </pivotArea>
    </format>
    <format dxfId="45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06"/>
            <x v="109"/>
            <x v="114"/>
          </reference>
        </references>
      </pivotArea>
    </format>
    <format dxfId="45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6"/>
          </reference>
        </references>
      </pivotArea>
    </format>
    <format dxfId="45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5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39"/>
            <x v="70"/>
          </reference>
        </references>
      </pivotArea>
    </format>
    <format dxfId="45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59"/>
            <x v="109"/>
            <x v="114"/>
          </reference>
        </references>
      </pivotArea>
    </format>
    <format dxfId="45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45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5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3"/>
            <x v="106"/>
          </reference>
        </references>
      </pivotArea>
    </format>
    <format dxfId="45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3"/>
            <x v="109"/>
          </reference>
        </references>
      </pivotArea>
    </format>
    <format dxfId="45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3"/>
            <x v="106"/>
          </reference>
        </references>
      </pivotArea>
    </format>
    <format dxfId="45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5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9"/>
          </reference>
        </references>
      </pivotArea>
    </format>
    <format dxfId="45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5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63"/>
          </reference>
        </references>
      </pivotArea>
    </format>
    <format dxfId="45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5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63"/>
          </reference>
        </references>
      </pivotArea>
    </format>
    <format dxfId="45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5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9"/>
          </reference>
        </references>
      </pivotArea>
    </format>
    <format dxfId="45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6"/>
            <x v="114"/>
          </reference>
        </references>
      </pivotArea>
    </format>
    <format dxfId="45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14"/>
          </reference>
        </references>
      </pivotArea>
    </format>
    <format dxfId="45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9"/>
          </reference>
        </references>
      </pivotArea>
    </format>
    <format dxfId="45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3"/>
            <x v="109"/>
          </reference>
        </references>
      </pivotArea>
    </format>
    <format dxfId="45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45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57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45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45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5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45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5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5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4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4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4"/>
          </reference>
        </references>
      </pivotArea>
    </format>
    <format dxfId="4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4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5"/>
          </reference>
        </references>
      </pivotArea>
    </format>
    <format dxfId="45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5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45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5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5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5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5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45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5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5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5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7"/>
            <x v="39"/>
            <x v="41"/>
            <x v="42"/>
            <x v="58"/>
            <x v="130"/>
          </reference>
        </references>
      </pivotArea>
    </format>
    <format dxfId="45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9"/>
          </reference>
        </references>
      </pivotArea>
    </format>
    <format dxfId="45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4543">
      <pivotArea dataOnly="0" labelOnly="1" outline="0" fieldPosition="0">
        <references count="7">
          <reference field="0" count="1" selected="0">
            <x v="7"/>
          </reference>
          <reference field="5" count="1">
            <x v="781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42">
      <pivotArea dataOnly="0" labelOnly="1" outline="0" fieldPosition="0">
        <references count="7">
          <reference field="0" count="1" selected="0">
            <x v="7"/>
          </reference>
          <reference field="5" count="1">
            <x v="7858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541">
      <pivotArea dataOnly="0" labelOnly="1" outline="0" fieldPosition="0">
        <references count="7">
          <reference field="0" count="1" selected="0">
            <x v="7"/>
          </reference>
          <reference field="5" count="1">
            <x v="7593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540">
      <pivotArea dataOnly="0" labelOnly="1" outline="0" fieldPosition="0">
        <references count="7">
          <reference field="0" count="1" selected="0">
            <x v="14"/>
          </reference>
          <reference field="5" count="1">
            <x v="782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39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38">
      <pivotArea dataOnly="0" labelOnly="1" outline="0" fieldPosition="0">
        <references count="7">
          <reference field="0" count="1" selected="0">
            <x v="7"/>
          </reference>
          <reference field="5" count="1">
            <x v="785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37">
      <pivotArea dataOnly="0" labelOnly="1" outline="0" fieldPosition="0">
        <references count="7">
          <reference field="0" count="1" selected="0">
            <x v="7"/>
          </reference>
          <reference field="5" count="1">
            <x v="365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536">
      <pivotArea dataOnly="0" labelOnly="1" outline="0" fieldPosition="0">
        <references count="7">
          <reference field="0" count="1" selected="0">
            <x v="7"/>
          </reference>
          <reference field="5" count="1">
            <x v="213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535">
      <pivotArea dataOnly="0" labelOnly="1" outline="0" fieldPosition="0">
        <references count="7">
          <reference field="0" count="1" selected="0">
            <x v="7"/>
          </reference>
          <reference field="5" count="1">
            <x v="784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34">
      <pivotArea dataOnly="0" labelOnly="1" outline="0" fieldPosition="0">
        <references count="7">
          <reference field="0" count="1" selected="0">
            <x v="7"/>
          </reference>
          <reference field="5" count="1">
            <x v="350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33">
      <pivotArea dataOnly="0" labelOnly="1" outline="0" fieldPosition="0">
        <references count="7">
          <reference field="0" count="1" selected="0">
            <x v="7"/>
          </reference>
          <reference field="5" count="1">
            <x v="782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532">
      <pivotArea dataOnly="0" labelOnly="1" outline="0" fieldPosition="0">
        <references count="7">
          <reference field="0" count="1" selected="0">
            <x v="7"/>
          </reference>
          <reference field="5" count="1">
            <x v="785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531">
      <pivotArea dataOnly="0" labelOnly="1" outline="0" fieldPosition="0">
        <references count="7">
          <reference field="0" count="1" selected="0">
            <x v="7"/>
          </reference>
          <reference field="5" count="1">
            <x v="399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30">
      <pivotArea dataOnly="0" labelOnly="1" outline="0" fieldPosition="0">
        <references count="7">
          <reference field="0" count="1" selected="0">
            <x v="7"/>
          </reference>
          <reference field="5" count="1">
            <x v="784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29">
      <pivotArea dataOnly="0" labelOnly="1" outline="0" fieldPosition="0">
        <references count="7">
          <reference field="0" count="1" selected="0">
            <x v="7"/>
          </reference>
          <reference field="5" count="1">
            <x v="280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28">
      <pivotArea dataOnly="0" labelOnly="1" outline="0" fieldPosition="0">
        <references count="7">
          <reference field="0" count="1" selected="0">
            <x v="7"/>
          </reference>
          <reference field="5" count="1">
            <x v="784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27">
      <pivotArea dataOnly="0" labelOnly="1" outline="0" fieldPosition="0">
        <references count="7">
          <reference field="0" count="1" selected="0">
            <x v="7"/>
          </reference>
          <reference field="5" count="1">
            <x v="784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26">
      <pivotArea dataOnly="0" labelOnly="1" outline="0" fieldPosition="0">
        <references count="7">
          <reference field="0" count="1" selected="0">
            <x v="7"/>
          </reference>
          <reference field="5" count="1">
            <x v="782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525">
      <pivotArea dataOnly="0" labelOnly="1" outline="0" fieldPosition="0">
        <references count="7">
          <reference field="0" count="1" selected="0">
            <x v="7"/>
          </reference>
          <reference field="5" count="1">
            <x v="7843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524">
      <pivotArea dataOnly="0" labelOnly="1" outline="0" fieldPosition="0">
        <references count="7">
          <reference field="0" count="1" selected="0">
            <x v="7"/>
          </reference>
          <reference field="5" count="1">
            <x v="783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23">
      <pivotArea dataOnly="0" labelOnly="1" outline="0" fieldPosition="0">
        <references count="7">
          <reference field="0" count="1" selected="0">
            <x v="7"/>
          </reference>
          <reference field="5" count="1">
            <x v="7840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22">
      <pivotArea dataOnly="0" labelOnly="1" outline="0" fieldPosition="0">
        <references count="7">
          <reference field="0" count="1" selected="0">
            <x v="7"/>
          </reference>
          <reference field="5" count="1">
            <x v="4604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21">
      <pivotArea dataOnly="0" labelOnly="1" outline="0" fieldPosition="0">
        <references count="7">
          <reference field="0" count="1" selected="0">
            <x v="7"/>
          </reference>
          <reference field="5" count="1">
            <x v="118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20">
      <pivotArea dataOnly="0" labelOnly="1" outline="0" fieldPosition="0">
        <references count="7">
          <reference field="0" count="1" selected="0">
            <x v="7"/>
          </reference>
          <reference field="5" count="1">
            <x v="783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519">
      <pivotArea dataOnly="0" labelOnly="1" outline="0" fieldPosition="0">
        <references count="7">
          <reference field="0" count="1" selected="0">
            <x v="7"/>
          </reference>
          <reference field="5" count="1">
            <x v="783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18">
      <pivotArea dataOnly="0" labelOnly="1" outline="0" fieldPosition="0">
        <references count="7">
          <reference field="0" count="1" selected="0">
            <x v="7"/>
          </reference>
          <reference field="5" count="1">
            <x v="2702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517">
      <pivotArea dataOnly="0" labelOnly="1" outline="0" fieldPosition="0">
        <references count="7">
          <reference field="0" count="1" selected="0">
            <x v="7"/>
          </reference>
          <reference field="5" count="1">
            <x v="2160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16">
      <pivotArea dataOnly="0" labelOnly="1" outline="0" fieldPosition="0">
        <references count="7">
          <reference field="0" count="1" selected="0">
            <x v="7"/>
          </reference>
          <reference field="5" count="1">
            <x v="7842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515">
      <pivotArea dataOnly="0" labelOnly="1" outline="0" fieldPosition="0">
        <references count="7">
          <reference field="0" count="1" selected="0">
            <x v="7"/>
          </reference>
          <reference field="5" count="2">
            <x v="5939"/>
            <x v="7835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14">
      <pivotArea dataOnly="0" labelOnly="1" outline="0" fieldPosition="0">
        <references count="7">
          <reference field="0" count="1" selected="0">
            <x v="7"/>
          </reference>
          <reference field="5" count="1">
            <x v="7836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513">
      <pivotArea dataOnly="0" labelOnly="1" outline="0" fieldPosition="0">
        <references count="7">
          <reference field="0" count="1" selected="0">
            <x v="7"/>
          </reference>
          <reference field="5" count="1">
            <x v="7833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512">
      <pivotArea dataOnly="0" labelOnly="1" outline="0" fieldPosition="0">
        <references count="7">
          <reference field="0" count="1" selected="0">
            <x v="7"/>
          </reference>
          <reference field="5" count="1">
            <x v="1393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11">
      <pivotArea dataOnly="0" labelOnly="1" outline="0" fieldPosition="0">
        <references count="7">
          <reference field="0" count="1" selected="0">
            <x v="7"/>
          </reference>
          <reference field="5" count="1">
            <x v="7838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510">
      <pivotArea dataOnly="0" labelOnly="1" outline="0" fieldPosition="0">
        <references count="7">
          <reference field="0" count="1" selected="0">
            <x v="7"/>
          </reference>
          <reference field="5" count="1">
            <x v="7832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509">
      <pivotArea dataOnly="0" labelOnly="1" outline="0" fieldPosition="0">
        <references count="7">
          <reference field="0" count="1" selected="0">
            <x v="7"/>
          </reference>
          <reference field="5" count="1">
            <x v="7850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08">
      <pivotArea dataOnly="0" labelOnly="1" outline="0" fieldPosition="0">
        <references count="7">
          <reference field="0" count="1" selected="0">
            <x v="7"/>
          </reference>
          <reference field="5" count="1">
            <x v="7848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507">
      <pivotArea dataOnly="0" labelOnly="1" outline="0" fieldPosition="0">
        <references count="7">
          <reference field="0" count="1" selected="0">
            <x v="7"/>
          </reference>
          <reference field="5" count="1">
            <x v="7852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06">
      <pivotArea dataOnly="0" labelOnly="1" outline="0" fieldPosition="0">
        <references count="7">
          <reference field="0" count="1" selected="0">
            <x v="7"/>
          </reference>
          <reference field="5" count="1">
            <x v="782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505">
      <pivotArea dataOnly="0" labelOnly="1" outline="0" fieldPosition="0">
        <references count="7">
          <reference field="0" count="1" selected="0">
            <x v="7"/>
          </reference>
          <reference field="5" count="1">
            <x v="7849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504">
      <pivotArea dataOnly="0" labelOnly="1" outline="0" fieldPosition="0">
        <references count="7">
          <reference field="0" count="1" selected="0">
            <x v="7"/>
          </reference>
          <reference field="5" count="1">
            <x v="7855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03">
      <pivotArea dataOnly="0" labelOnly="1" outline="0" fieldPosition="0">
        <references count="7">
          <reference field="0" count="1" selected="0">
            <x v="7"/>
          </reference>
          <reference field="5" count="1">
            <x v="7844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502">
      <pivotArea dataOnly="0" labelOnly="1" outline="0" fieldPosition="0">
        <references count="7">
          <reference field="0" count="1" selected="0">
            <x v="7"/>
          </reference>
          <reference field="5" count="1">
            <x v="7834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501">
      <pivotArea dataOnly="0" labelOnly="1" outline="0" fieldPosition="0">
        <references count="7">
          <reference field="0" count="1" selected="0">
            <x v="7"/>
          </reference>
          <reference field="5" count="1">
            <x v="7856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00">
      <pivotArea dataOnly="0" labelOnly="1" outline="0" fieldPosition="0">
        <references count="7">
          <reference field="0" count="1" selected="0">
            <x v="7"/>
          </reference>
          <reference field="5" count="1">
            <x v="7854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499">
      <pivotArea dataOnly="0" labelOnly="1" outline="0" fieldPosition="0">
        <references count="7">
          <reference field="0" count="1" selected="0">
            <x v="7"/>
          </reference>
          <reference field="5" count="1">
            <x v="785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498">
      <pivotArea dataOnly="0" labelOnly="1" outline="0" fieldPosition="0">
        <references count="7">
          <reference field="0" count="1" selected="0">
            <x v="7"/>
          </reference>
          <reference field="5" count="1">
            <x v="7830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497">
      <pivotArea dataOnly="0" labelOnly="1" outline="0" fieldPosition="0">
        <references count="7">
          <reference field="0" count="1" selected="0">
            <x v="12"/>
          </reference>
          <reference field="5" count="1">
            <x v="57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96">
      <pivotArea dataOnly="0" labelOnly="1" outline="0" fieldPosition="0">
        <references count="7">
          <reference field="0" count="1" selected="0">
            <x v="12"/>
          </reference>
          <reference field="5" count="2">
            <x v="7825"/>
            <x v="782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95">
      <pivotArea dataOnly="0" labelOnly="1" outline="0" fieldPosition="0">
        <references count="7">
          <reference field="0" count="1" selected="0">
            <x v="13"/>
          </reference>
          <reference field="5" count="1">
            <x v="76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94">
      <pivotArea dataOnly="0" labelOnly="1" outline="0" fieldPosition="0">
        <references count="7">
          <reference field="0" count="1" selected="0">
            <x v="13"/>
          </reference>
          <reference field="5" count="1">
            <x v="4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93">
      <pivotArea dataOnly="0" labelOnly="1" outline="0" fieldPosition="0">
        <references count="7">
          <reference field="0" count="1" selected="0">
            <x v="13"/>
          </reference>
          <reference field="5" count="1">
            <x v="7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92">
      <pivotArea dataOnly="0" labelOnly="1" outline="0" fieldPosition="0">
        <references count="7">
          <reference field="0" count="1" selected="0">
            <x v="13"/>
          </reference>
          <reference field="5" count="1">
            <x v="74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491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90">
      <pivotArea dataOnly="0" labelOnly="1" outline="0" fieldPosition="0">
        <references count="7">
          <reference field="0" count="1" selected="0">
            <x v="13"/>
          </reference>
          <reference field="5" count="2">
            <x v="2593"/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89">
      <pivotArea dataOnly="0" labelOnly="1" outline="0" fieldPosition="0">
        <references count="7">
          <reference field="0" count="1" selected="0">
            <x v="14"/>
          </reference>
          <reference field="5" count="1">
            <x v="777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88">
      <pivotArea dataOnly="0" labelOnly="1" outline="0" fieldPosition="0">
        <references count="7">
          <reference field="0" count="1" selected="0">
            <x v="14"/>
          </reference>
          <reference field="5" count="1">
            <x v="7823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4487">
      <pivotArea dataOnly="0" labelOnly="1" outline="0" fieldPosition="0">
        <references count="7">
          <reference field="0" count="1" selected="0">
            <x v="14"/>
          </reference>
          <reference field="5" count="1">
            <x v="614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86">
      <pivotArea dataOnly="0" labelOnly="1" outline="0" fieldPosition="0">
        <references count="7">
          <reference field="0" count="1" selected="0">
            <x v="14"/>
          </reference>
          <reference field="5" count="1">
            <x v="3433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485">
      <pivotArea dataOnly="0" labelOnly="1" outline="0" fieldPosition="0">
        <references count="7">
          <reference field="0" count="1" selected="0">
            <x v="14"/>
          </reference>
          <reference field="5" count="1">
            <x v="4335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4484">
      <pivotArea dataOnly="0" labelOnly="1" outline="0" fieldPosition="0">
        <references count="7">
          <reference field="0" count="1" selected="0">
            <x v="14"/>
          </reference>
          <reference field="5" count="1">
            <x v="3475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83">
      <pivotArea dataOnly="0" labelOnly="1" outline="0" fieldPosition="0">
        <references count="7">
          <reference field="0" count="1" selected="0">
            <x v="14"/>
          </reference>
          <reference field="5" count="1">
            <x v="782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482">
      <pivotArea dataOnly="0" labelOnly="1" outline="0" fieldPosition="0">
        <references count="7">
          <reference field="0" count="1" selected="0">
            <x v="14"/>
          </reference>
          <reference field="5" count="1">
            <x v="7822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481">
      <pivotArea dataOnly="0" labelOnly="1" outline="0" fieldPosition="0">
        <references count="7">
          <reference field="0" count="1" selected="0">
            <x v="14"/>
          </reference>
          <reference field="5" count="1">
            <x v="5082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480">
      <pivotArea dataOnly="0" labelOnly="1" outline="0" fieldPosition="0">
        <references count="7">
          <reference field="0" count="1" selected="0">
            <x v="14"/>
          </reference>
          <reference field="5" count="1">
            <x v="377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4479">
      <pivotArea dataOnly="0" labelOnly="1" outline="0" fieldPosition="0">
        <references count="7">
          <reference field="0" count="1" selected="0">
            <x v="14"/>
          </reference>
          <reference field="5" count="2">
            <x v="5943"/>
            <x v="656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478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477">
      <pivotArea dataOnly="0" labelOnly="1" outline="0" fieldPosition="0">
        <references count="7">
          <reference field="0" count="1" selected="0">
            <x v="14"/>
          </reference>
          <reference field="5" count="1">
            <x v="235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476">
      <pivotArea dataOnly="0" labelOnly="1" outline="0" fieldPosition="0">
        <references count="7">
          <reference field="0" count="1" selected="0">
            <x v="15"/>
          </reference>
          <reference field="5" count="1">
            <x v="19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75">
      <pivotArea dataOnly="0" labelOnly="1" outline="0" fieldPosition="0">
        <references count="7">
          <reference field="0" count="1" selected="0">
            <x v="15"/>
          </reference>
          <reference field="5" count="1">
            <x v="779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74">
      <pivotArea dataOnly="0" labelOnly="1" outline="0" fieldPosition="0">
        <references count="7">
          <reference field="0" count="1" selected="0">
            <x v="15"/>
          </reference>
          <reference field="5" count="1">
            <x v="77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473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472">
      <pivotArea dataOnly="0" labelOnly="1" outline="0" fieldPosition="0">
        <references count="7">
          <reference field="0" count="1" selected="0">
            <x v="15"/>
          </reference>
          <reference field="5" count="1">
            <x v="38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4471">
      <pivotArea dataOnly="0" labelOnly="1" outline="0" fieldPosition="0">
        <references count="7">
          <reference field="0" count="1" selected="0">
            <x v="15"/>
          </reference>
          <reference field="5" count="1">
            <x v="111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4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9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4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4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9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8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6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1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9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3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4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4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44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7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3"/>
          </reference>
          <reference field="9" count="1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44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3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4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4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4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44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4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5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43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4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10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430">
      <pivotArea dataOnly="0" labelOnly="1" outline="0" fieldPosition="0">
        <references count="9">
          <reference field="0" count="1" selected="0">
            <x v="7"/>
          </reference>
          <reference field="3" count="1">
            <x v="7885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429">
      <pivotArea dataOnly="0" labelOnly="1" outline="0" fieldPosition="0">
        <references count="9">
          <reference field="0" count="1" selected="0">
            <x v="7"/>
          </reference>
          <reference field="3" count="1">
            <x v="7586"/>
          </reference>
          <reference field="5" count="1" selected="0">
            <x v="759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42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2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26">
      <pivotArea dataOnly="0" labelOnly="1" outline="0" fieldPosition="0">
        <references count="9">
          <reference field="0" count="1" selected="0">
            <x v="7"/>
          </reference>
          <reference field="3" count="1">
            <x v="7876"/>
          </reference>
          <reference field="5" count="1" selected="0">
            <x v="78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2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3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424">
      <pivotArea dataOnly="0" labelOnly="1" outline="0" fieldPosition="0">
        <references count="9">
          <reference field="0" count="1" selected="0">
            <x v="7"/>
          </reference>
          <reference field="3" count="1">
            <x v="7333"/>
          </reference>
          <reference field="5" count="1" selected="0">
            <x v="21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42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2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35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21">
      <pivotArea dataOnly="0" labelOnly="1" outline="0" fieldPosition="0">
        <references count="9">
          <reference field="0" count="1" selected="0">
            <x v="7"/>
          </reference>
          <reference field="3" count="1">
            <x v="7858"/>
          </reference>
          <reference field="5" count="1" selected="0">
            <x v="78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420">
      <pivotArea dataOnly="0" labelOnly="1" outline="0" fieldPosition="0">
        <references count="9">
          <reference field="0" count="1" selected="0">
            <x v="7"/>
          </reference>
          <reference field="3" count="1">
            <x v="7877"/>
          </reference>
          <reference field="5" count="1" selected="0">
            <x v="78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419">
      <pivotArea dataOnly="0" labelOnly="1" outline="0" fieldPosition="0">
        <references count="9">
          <reference field="0" count="1" selected="0">
            <x v="7"/>
          </reference>
          <reference field="3" count="1">
            <x v="7875"/>
          </reference>
          <reference field="5" count="1" selected="0">
            <x v="39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18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1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28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16">
      <pivotArea dataOnly="0" labelOnly="1" outline="0" fieldPosition="0">
        <references count="9">
          <reference field="0" count="1" selected="0">
            <x v="7"/>
          </reference>
          <reference field="3" count="1">
            <x v="7868"/>
          </reference>
          <reference field="5" count="1" selected="0">
            <x v="78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1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14">
      <pivotArea dataOnly="0" labelOnly="1" outline="0" fieldPosition="0">
        <references count="9">
          <reference field="0" count="1" selected="0">
            <x v="7"/>
          </reference>
          <reference field="3" count="1">
            <x v="7857"/>
          </reference>
          <reference field="5" count="1" selected="0">
            <x v="78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413">
      <pivotArea dataOnly="0" labelOnly="1" outline="0" fieldPosition="0">
        <references count="9">
          <reference field="0" count="1" selected="0">
            <x v="7"/>
          </reference>
          <reference field="3" count="1">
            <x v="7867"/>
          </reference>
          <reference field="5" count="1" selected="0">
            <x v="78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41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1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10">
      <pivotArea dataOnly="0" labelOnly="1" outline="0" fieldPosition="0">
        <references count="9">
          <reference field="0" count="1" selected="0">
            <x v="7"/>
          </reference>
          <reference field="3" count="1">
            <x v="7869"/>
          </reference>
          <reference field="5" count="1" selected="0">
            <x v="46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09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11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08">
      <pivotArea dataOnly="0" labelOnly="1" outline="0" fieldPosition="0">
        <references count="9">
          <reference field="0" count="1" selected="0">
            <x v="7"/>
          </reference>
          <reference field="3" count="1">
            <x v="7862"/>
          </reference>
          <reference field="5" count="1" selected="0">
            <x v="7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407">
      <pivotArea dataOnly="0" labelOnly="1" outline="0" fieldPosition="0">
        <references count="9">
          <reference field="0" count="1" selected="0">
            <x v="7"/>
          </reference>
          <reference field="3" count="1">
            <x v="7864"/>
          </reference>
          <reference field="5" count="1" selected="0">
            <x v="78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06">
      <pivotArea dataOnly="0" labelOnly="1" outline="0" fieldPosition="0">
        <references count="9">
          <reference field="0" count="1" selected="0">
            <x v="7"/>
          </reference>
          <reference field="3" count="1">
            <x v="7855"/>
          </reference>
          <reference field="5" count="1" selected="0">
            <x v="27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40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21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0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40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59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0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01">
      <pivotArea dataOnly="0" labelOnly="1" outline="0" fieldPosition="0">
        <references count="9">
          <reference field="0" count="1" selected="0">
            <x v="7"/>
          </reference>
          <reference field="3" count="1">
            <x v="7874"/>
          </reference>
          <reference field="5" count="1" selected="0">
            <x v="13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0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39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98">
      <pivotArea dataOnly="0" labelOnly="1" outline="0" fieldPosition="0">
        <references count="9">
          <reference field="0" count="1" selected="0">
            <x v="7"/>
          </reference>
          <reference field="3" count="1">
            <x v="7873"/>
          </reference>
          <reference field="5" count="1" selected="0">
            <x v="78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97">
      <pivotArea dataOnly="0" labelOnly="1" outline="0" fieldPosition="0">
        <references count="9">
          <reference field="0" count="1" selected="0">
            <x v="7"/>
          </reference>
          <reference field="3" count="1">
            <x v="7870"/>
          </reference>
          <reference field="5" count="1" selected="0">
            <x v="78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39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95">
      <pivotArea dataOnly="0" labelOnly="1" outline="0" fieldPosition="0">
        <references count="9">
          <reference field="0" count="1" selected="0">
            <x v="7"/>
          </reference>
          <reference field="3" count="1">
            <x v="7854"/>
          </reference>
          <reference field="5" count="1" selected="0">
            <x v="7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394">
      <pivotArea dataOnly="0" labelOnly="1" outline="0" fieldPosition="0">
        <references count="9">
          <reference field="0" count="1" selected="0">
            <x v="7"/>
          </reference>
          <reference field="3" count="1">
            <x v="7871"/>
          </reference>
          <reference field="5" count="1" selected="0">
            <x v="78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393">
      <pivotArea dataOnly="0" labelOnly="1" outline="0" fieldPosition="0">
        <references count="9">
          <reference field="0" count="1" selected="0">
            <x v="7"/>
          </reference>
          <reference field="3" count="1">
            <x v="7880"/>
          </reference>
          <reference field="5" count="1" selected="0">
            <x v="78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9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91">
      <pivotArea dataOnly="0" labelOnly="1" outline="0" fieldPosition="0">
        <references count="9">
          <reference field="0" count="1" selected="0">
            <x v="7"/>
          </reference>
          <reference field="3" count="1">
            <x v="7881"/>
          </reference>
          <reference field="5" count="1" selected="0">
            <x v="78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90">
      <pivotArea dataOnly="0" labelOnly="1" outline="0" fieldPosition="0">
        <references count="9">
          <reference field="0" count="1" selected="0">
            <x v="7"/>
          </reference>
          <reference field="3" count="1">
            <x v="7879"/>
          </reference>
          <reference field="5" count="1" selected="0">
            <x v="7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89">
      <pivotArea dataOnly="0" labelOnly="1" outline="0" fieldPosition="0">
        <references count="9">
          <reference field="0" count="1" selected="0">
            <x v="7"/>
          </reference>
          <reference field="3" count="1">
            <x v="7860"/>
          </reference>
          <reference field="5" count="1" selected="0">
            <x v="78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38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7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8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386">
      <pivotArea dataOnly="0" labelOnly="1" outline="0" fieldPosition="0">
        <references count="9">
          <reference field="0" count="1" selected="0">
            <x v="14"/>
          </reference>
          <reference field="3" count="1">
            <x v="7709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8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23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438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4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83">
      <pivotArea dataOnly="0" labelOnly="1" outline="0" fieldPosition="0">
        <references count="9">
          <reference field="0" count="1" selected="0">
            <x v="14"/>
          </reference>
          <reference field="3" count="1">
            <x v="7720"/>
          </reference>
          <reference field="5" count="1" selected="0">
            <x v="343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382">
      <pivotArea dataOnly="0" labelOnly="1" outline="0" fieldPosition="0">
        <references count="9">
          <reference field="0" count="1" selected="0">
            <x v="14"/>
          </reference>
          <reference field="3" count="1">
            <x v="7366"/>
          </reference>
          <reference field="5" count="1" selected="0">
            <x v="433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4381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34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80">
      <pivotArea dataOnly="0" labelOnly="1" outline="0" fieldPosition="0">
        <references count="9">
          <reference field="0" count="1" selected="0">
            <x v="14"/>
          </reference>
          <reference field="3" count="1">
            <x v="7852"/>
          </reference>
          <reference field="5" count="1" selected="0">
            <x v="782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37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2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78">
      <pivotArea dataOnly="0" labelOnly="1" outline="0" fieldPosition="0">
        <references count="9">
          <reference field="0" count="1" selected="0">
            <x v="14"/>
          </reference>
          <reference field="3" count="1">
            <x v="7730"/>
          </reference>
          <reference field="5" count="1" selected="0">
            <x v="377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4377">
      <pivotArea dataOnly="0" labelOnly="1" outline="0" fieldPosition="0">
        <references count="9">
          <reference field="0" count="1" selected="0">
            <x v="14"/>
          </reference>
          <reference field="3" count="1">
            <x v="7710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376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375">
      <pivotArea dataOnly="0" labelOnly="1" outline="0" fieldPosition="0">
        <references count="9">
          <reference field="0" count="1" selected="0">
            <x v="14"/>
          </reference>
          <reference field="3" count="1">
            <x v="7708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374">
      <pivotArea dataOnly="0" labelOnly="1" outline="0" fieldPosition="0">
        <references count="9">
          <reference field="0" count="1" selected="0">
            <x v="14"/>
          </reference>
          <reference field="3" count="1">
            <x v="7853"/>
          </reference>
          <reference field="5" count="1" selected="0">
            <x v="235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373">
      <pivotArea dataOnly="0" labelOnly="1" outline="0" fieldPosition="0">
        <references count="9">
          <reference field="0" count="1" selected="0">
            <x v="15"/>
          </reference>
          <reference field="3" count="1">
            <x v="7803"/>
          </reference>
          <reference field="5" count="1" selected="0">
            <x v="19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7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9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71">
      <pivotArea dataOnly="0" labelOnly="1" outline="0" fieldPosition="0">
        <references count="9">
          <reference field="0" count="1" selected="0">
            <x v="15"/>
          </reference>
          <reference field="3" count="1">
            <x v="7798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37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369">
      <pivotArea dataOnly="0" labelOnly="1" outline="0" fieldPosition="0">
        <references count="9">
          <reference field="0" count="1" selected="0">
            <x v="15"/>
          </reference>
          <reference field="3" count="1">
            <x v="7728"/>
          </reference>
          <reference field="5" count="1" selected="0">
            <x v="38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4368">
      <pivotArea dataOnly="0" labelOnly="1" outline="0" fieldPosition="0">
        <references count="9">
          <reference field="0" count="1" selected="0">
            <x v="15"/>
          </reference>
          <reference field="3" count="1">
            <x v="7850"/>
          </reference>
          <reference field="5" count="1" selected="0">
            <x v="111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3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86"/>
          </reference>
          <reference field="5" count="1" selected="0">
            <x v="759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3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6"/>
          </reference>
          <reference field="5" count="1" selected="0">
            <x v="78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3"/>
          </reference>
          <reference field="5" count="1" selected="0">
            <x v="21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3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8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35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8"/>
          </reference>
          <reference field="5" count="1" selected="0">
            <x v="78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3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7"/>
          </reference>
          <reference field="5" count="1" selected="0">
            <x v="78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3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5"/>
          </reference>
          <reference field="5" count="1" selected="0">
            <x v="39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8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28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8"/>
          </reference>
          <reference field="5" count="1" selected="0">
            <x v="78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8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8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9"/>
          </reference>
          <reference field="5" count="1" selected="0">
            <x v="46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11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4"/>
          </reference>
          <reference field="5" count="1" selected="0">
            <x v="78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21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59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8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4"/>
          </reference>
          <reference field="5" count="1" selected="0">
            <x v="13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1"/>
          </reference>
          <reference field="5" count="1" selected="0">
            <x v="78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3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8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81"/>
          </reference>
          <reference field="5" count="1" selected="0">
            <x v="78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9"/>
          </reference>
          <reference field="5" count="1" selected="0">
            <x v="78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0"/>
          </reference>
          <reference field="5" count="1" selected="0">
            <x v="78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33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7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3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3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9"/>
          </reference>
          <reference field="5" count="1" selected="0">
            <x v="7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43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0"/>
          </reference>
          <reference field="5" count="1" selected="0">
            <x v="34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3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3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2"/>
          </reference>
          <reference field="5" count="1" selected="0">
            <x v="78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3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0"/>
          </reference>
          <reference field="5" count="1" selected="0">
            <x v="37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43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0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3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3"/>
          </reference>
          <reference field="5" count="1" selected="0">
            <x v="23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3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3"/>
          </reference>
          <reference field="5" count="1" selected="0">
            <x v="19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9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8"/>
          </reference>
          <reference field="5" count="1" selected="0">
            <x v="77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3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3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28"/>
          </reference>
          <reference field="5" count="1" selected="0">
            <x v="38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4321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61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20">
      <pivotArea dataOnly="0" labelOnly="1" outline="0" fieldPosition="0">
        <references count="11">
          <reference field="0" count="1" selected="0">
            <x v="7"/>
          </reference>
          <reference field="1" count="1">
            <x v="7699"/>
          </reference>
          <reference field="3" count="1" selected="0">
            <x v="7333"/>
          </reference>
          <reference field="5" count="1" selected="0">
            <x v="21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319">
      <pivotArea dataOnly="0" labelOnly="1" outline="0" fieldPosition="0">
        <references count="11">
          <reference field="0" count="1" selected="0">
            <x v="7"/>
          </reference>
          <reference field="1" count="1">
            <x v="7736"/>
          </reference>
          <reference field="3" count="1" selected="0">
            <x v="2"/>
          </reference>
          <reference field="5" count="1" selected="0">
            <x v="78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18">
      <pivotArea dataOnly="0" labelOnly="1" outline="0" fieldPosition="0">
        <references count="11">
          <reference field="0" count="1" selected="0">
            <x v="7"/>
          </reference>
          <reference field="1" count="1">
            <x v="7739"/>
          </reference>
          <reference field="3" count="1" selected="0">
            <x v="2"/>
          </reference>
          <reference field="5" count="1" selected="0">
            <x v="350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17">
      <pivotArea dataOnly="0" labelOnly="1" outline="0" fieldPosition="0">
        <references count="11">
          <reference field="0" count="1" selected="0">
            <x v="7"/>
          </reference>
          <reference field="1" count="1">
            <x v="7741"/>
          </reference>
          <reference field="3" count="1" selected="0">
            <x v="7868"/>
          </reference>
          <reference field="5" count="1" selected="0">
            <x v="78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16">
      <pivotArea dataOnly="0" labelOnly="1" outline="0" fieldPosition="0">
        <references count="11">
          <reference field="0" count="1" selected="0">
            <x v="7"/>
          </reference>
          <reference field="1" count="1">
            <x v="7738"/>
          </reference>
          <reference field="3" count="1" selected="0">
            <x v="7867"/>
          </reference>
          <reference field="5" count="1" selected="0">
            <x v="78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315">
      <pivotArea dataOnly="0" labelOnly="1" outline="0" fieldPosition="0">
        <references count="11">
          <reference field="0" count="1" selected="0">
            <x v="7"/>
          </reference>
          <reference field="1" count="1">
            <x v="7742"/>
          </reference>
          <reference field="3" count="1" selected="0">
            <x v="7869"/>
          </reference>
          <reference field="5" count="1" selected="0">
            <x v="46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14">
      <pivotArea dataOnly="0" labelOnly="1" outline="0" fieldPosition="0">
        <references count="11">
          <reference field="0" count="1" selected="0">
            <x v="7"/>
          </reference>
          <reference field="1" count="1">
            <x v="7733"/>
          </reference>
          <reference field="3" count="1" selected="0">
            <x v="7864"/>
          </reference>
          <reference field="5" count="1" selected="0">
            <x v="78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13">
      <pivotArea dataOnly="0" labelOnly="1" outline="0" fieldPosition="0">
        <references count="11">
          <reference field="0" count="1" selected="0">
            <x v="7"/>
          </reference>
          <reference field="1" count="1">
            <x v="7737"/>
          </reference>
          <reference field="3" count="1" selected="0">
            <x v="2"/>
          </reference>
          <reference field="5" count="1" selected="0">
            <x v="78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312">
      <pivotArea dataOnly="0" labelOnly="1" outline="0" fieldPosition="0">
        <references count="11">
          <reference field="0" count="1" selected="0">
            <x v="7"/>
          </reference>
          <reference field="1" count="1">
            <x v="7744"/>
          </reference>
          <reference field="3" count="1" selected="0">
            <x v="7874"/>
          </reference>
          <reference field="5" count="1" selected="0">
            <x v="13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11">
      <pivotArea dataOnly="0" labelOnly="1" outline="0" fieldPosition="0">
        <references count="11">
          <reference field="0" count="1" selected="0">
            <x v="7"/>
          </reference>
          <reference field="1" count="1">
            <x v="7735"/>
          </reference>
          <reference field="3" count="1" selected="0">
            <x v="2"/>
          </reference>
          <reference field="5" count="1" selected="0">
            <x v="78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310">
      <pivotArea dataOnly="0" labelOnly="1" outline="0" fieldPosition="0">
        <references count="11">
          <reference field="0" count="1" selected="0">
            <x v="7"/>
          </reference>
          <reference field="1" count="1">
            <x v="7743"/>
          </reference>
          <reference field="3" count="1" selected="0">
            <x v="7871"/>
          </reference>
          <reference field="5" count="1" selected="0">
            <x v="78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309">
      <pivotArea dataOnly="0" labelOnly="1" outline="0" fieldPosition="0">
        <references count="11">
          <reference field="0" count="1" selected="0">
            <x v="7"/>
          </reference>
          <reference field="1" count="1">
            <x v="7745"/>
          </reference>
          <reference field="3" count="1" selected="0">
            <x v="7880"/>
          </reference>
          <reference field="5" count="1" selected="0">
            <x v="78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08">
      <pivotArea dataOnly="0" labelOnly="1" outline="0" fieldPosition="0">
        <references count="11">
          <reference field="0" count="1" selected="0">
            <x v="7"/>
          </reference>
          <reference field="1" count="1">
            <x v="7740"/>
          </reference>
          <reference field="3" count="1" selected="0">
            <x v="2"/>
          </reference>
          <reference field="5" count="1" selected="0">
            <x v="78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07">
      <pivotArea dataOnly="0" labelOnly="1" outline="0" fieldPosition="0">
        <references count="11">
          <reference field="0" count="1" selected="0">
            <x v="12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82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06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46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05">
      <pivotArea dataOnly="0" labelOnly="1" outline="0" fieldPosition="0">
        <references count="11">
          <reference field="0" count="1" selected="0">
            <x v="13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74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304">
      <pivotArea dataOnly="0" labelOnly="1" outline="0" fieldPosition="0">
        <references count="11">
          <reference field="0" count="1" selected="0">
            <x v="13"/>
          </reference>
          <reference field="1" count="1">
            <x v="7693"/>
          </reference>
          <reference field="3" count="1" selected="0">
            <x v="0"/>
          </reference>
          <reference field="5" count="1" selected="0">
            <x v="55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03">
      <pivotArea dataOnly="0" labelOnly="1" outline="0" fieldPosition="0">
        <references count="11">
          <reference field="0" count="1" selected="0">
            <x v="13"/>
          </reference>
          <reference field="1" count="1">
            <x v="7630"/>
          </reference>
          <reference field="3" count="1" selected="0">
            <x v="0"/>
          </reference>
          <reference field="5" count="1" selected="0">
            <x v="554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02">
      <pivotArea dataOnly="0" labelOnly="1" outline="0" fieldPosition="0">
        <references count="11">
          <reference field="0" count="1" selected="0">
            <x v="14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61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01">
      <pivotArea dataOnly="0" labelOnly="1" outline="0" fieldPosition="0">
        <references count="11">
          <reference field="0" count="1" selected="0">
            <x v="14"/>
          </reference>
          <reference field="1" count="1">
            <x v="7725"/>
          </reference>
          <reference field="3" count="1" selected="0">
            <x v="7720"/>
          </reference>
          <reference field="5" count="1" selected="0">
            <x v="343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300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708"/>
          </reference>
          <reference field="5" count="1" selected="0">
            <x v="4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299">
      <pivotArea dataOnly="0" labelOnly="1" outline="0" fieldPosition="0">
        <references count="11">
          <reference field="0" count="1" selected="0">
            <x v="15"/>
          </reference>
          <reference field="1" count="1">
            <x v="7688"/>
          </reference>
          <reference field="3" count="1" selected="0">
            <x v="0"/>
          </reference>
          <reference field="5" count="1" selected="0">
            <x v="779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298">
      <pivotArea dataOnly="0" labelOnly="1" outline="0" fieldPosition="0">
        <references count="11">
          <reference field="0" count="1" selected="0">
            <x v="15"/>
          </reference>
          <reference field="1" count="1">
            <x v="7625"/>
          </reference>
          <reference field="3" count="1" selected="0">
            <x v="7798"/>
          </reference>
          <reference field="5" count="1" selected="0">
            <x v="77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297">
      <pivotArea dataOnly="0" labelOnly="1" outline="0" fieldPosition="0">
        <references count="11">
          <reference field="0" count="1" selected="0">
            <x v="15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27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296">
      <pivotArea dataOnly="0" labelOnly="1" outline="0" fieldPosition="0">
        <references count="11">
          <reference field="0" count="1" selected="0">
            <x v="15"/>
          </reference>
          <reference field="1" count="1">
            <x v="7562"/>
          </reference>
          <reference field="3" count="1" selected="0">
            <x v="7728"/>
          </reference>
          <reference field="5" count="1" selected="0">
            <x v="382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4295">
      <pivotArea outline="0" collapsedLevelsAreSubtotals="1" fieldPosition="0"/>
    </format>
    <format dxfId="4294">
      <pivotArea dataOnly="0" labelOnly="1" outline="0" axis="axisValues" fieldPosition="0"/>
    </format>
    <format dxfId="4293">
      <pivotArea outline="0" collapsedLevelsAreSubtotals="1" fieldPosition="0"/>
    </format>
    <format dxfId="4292">
      <pivotArea dataOnly="0" labelOnly="1" outline="0" axis="axisValues" fieldPosition="0"/>
    </format>
    <format dxfId="4291">
      <pivotArea dataOnly="0" outline="0" fieldPosition="0">
        <references count="1">
          <reference field="12" count="0" defaultSubtotal="1"/>
        </references>
      </pivotArea>
    </format>
    <format dxfId="4290">
      <pivotArea outline="0" collapsedLevelsAreSubtotals="1" fieldPosition="0"/>
    </format>
    <format dxfId="4289">
      <pivotArea dataOnly="0" labelOnly="1" outline="0" axis="axisValues" fieldPosition="0"/>
    </format>
    <format dxfId="4288">
      <pivotArea outline="0" collapsedLevelsAreSubtotals="1" fieldPosition="0"/>
    </format>
    <format dxfId="4287">
      <pivotArea dataOnly="0" labelOnly="1" outline="0" axis="axisValues" fieldPosition="0"/>
    </format>
    <format dxfId="4286">
      <pivotArea dataOnly="0" labelOnly="1" outline="0" axis="axisValues" fieldPosition="0"/>
    </format>
    <format dxfId="4285">
      <pivotArea outline="0" collapsedLevelsAreSubtotals="1" fieldPosition="0"/>
    </format>
    <format dxfId="4284">
      <pivotArea field="12" type="button" dataOnly="0" labelOnly="1" outline="0" axis="axisRow" fieldPosition="2"/>
    </format>
    <format dxfId="4283">
      <pivotArea field="10" type="button" dataOnly="0" labelOnly="1" outline="0" axis="axisRow" fieldPosition="3"/>
    </format>
    <format dxfId="4282">
      <pivotArea field="16" type="button" dataOnly="0" labelOnly="1" outline="0" axis="axisRow" fieldPosition="4"/>
    </format>
    <format dxfId="4281">
      <pivotArea field="18" type="button" dataOnly="0" labelOnly="1" outline="0" axis="axisRow" fieldPosition="5"/>
    </format>
    <format dxfId="4280">
      <pivotArea field="5" type="button" dataOnly="0" labelOnly="1" outline="0" axis="axisRow" fieldPosition="6"/>
    </format>
    <format dxfId="4279">
      <pivotArea field="9" type="button" dataOnly="0" labelOnly="1" outline="0" axis="axisRow" fieldPosition="7"/>
    </format>
    <format dxfId="4278">
      <pivotArea field="3" type="button" dataOnly="0" labelOnly="1" outline="0" axis="axisRow" fieldPosition="8"/>
    </format>
    <format dxfId="4277">
      <pivotArea field="7" type="button" dataOnly="0" labelOnly="1" outline="0" axis="axisRow" fieldPosition="9"/>
    </format>
    <format dxfId="4276">
      <pivotArea field="1" type="button" dataOnly="0" labelOnly="1" outline="0" axis="axisRow" fieldPosition="10"/>
    </format>
    <format dxfId="4275">
      <pivotArea dataOnly="0" labelOnly="1" outline="0" axis="axisValues" fieldPosition="0"/>
    </format>
    <format dxfId="427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27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272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3"/>
          </reference>
          <reference field="13" count="1" selected="0">
            <x v="0"/>
          </reference>
        </references>
      </pivotArea>
    </format>
    <format dxfId="427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3"/>
          </reference>
          <reference field="13" count="1" selected="0">
            <x v="0"/>
          </reference>
        </references>
      </pivotArea>
    </format>
    <format dxfId="427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426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4268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4267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426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26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26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26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262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8"/>
            <x v="10"/>
            <x v="11"/>
            <x v="13"/>
            <x v="15"/>
            <x v="17"/>
            <x v="19"/>
            <x v="21"/>
            <x v="22"/>
            <x v="27"/>
          </reference>
          <reference field="13" count="1" selected="0">
            <x v="2"/>
          </reference>
        </references>
      </pivotArea>
    </format>
    <format dxfId="4261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8"/>
            <x v="10"/>
            <x v="11"/>
            <x v="13"/>
            <x v="15"/>
            <x v="17"/>
            <x v="19"/>
            <x v="21"/>
            <x v="22"/>
            <x v="27"/>
          </reference>
          <reference field="13" count="1" selected="0">
            <x v="2"/>
          </reference>
        </references>
      </pivotArea>
    </format>
    <format dxfId="426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25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2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2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42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425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254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253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25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5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5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4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2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24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24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2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2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2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2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2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2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2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23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423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23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2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31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30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2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2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1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2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208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207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20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2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42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2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42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2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2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4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4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4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4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1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3"/>
            <x v="37"/>
            <x v="41"/>
            <x v="42"/>
            <x v="58"/>
          </reference>
        </references>
      </pivotArea>
    </format>
    <format dxfId="41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5"/>
            <x v="43"/>
            <x v="44"/>
            <x v="45"/>
            <x v="73"/>
            <x v="78"/>
            <x v="80"/>
          </reference>
        </references>
      </pivotArea>
    </format>
    <format dxfId="41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2"/>
          </reference>
        </references>
      </pivotArea>
    </format>
    <format dxfId="41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65"/>
            <x v="70"/>
          </reference>
        </references>
      </pivotArea>
    </format>
    <format dxfId="4180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79">
      <pivotArea dataOnly="0" labelOnly="1" outline="0" fieldPosition="0">
        <references count="7">
          <reference field="0" count="1" selected="0">
            <x v="14"/>
          </reference>
          <reference field="5" count="1">
            <x v="786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78">
      <pivotArea dataOnly="0" labelOnly="1" outline="0" fieldPosition="0">
        <references count="7">
          <reference field="0" count="1" selected="0">
            <x v="7"/>
          </reference>
          <reference field="5" count="1">
            <x v="213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177">
      <pivotArea dataOnly="0" labelOnly="1" outline="0" fieldPosition="0">
        <references count="7">
          <reference field="0" count="1" selected="0">
            <x v="9"/>
          </reference>
          <reference field="5" count="1">
            <x v="171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76">
      <pivotArea dataOnly="0" labelOnly="1" outline="0" fieldPosition="0">
        <references count="7">
          <reference field="0" count="1" selected="0">
            <x v="12"/>
          </reference>
          <reference field="5" count="1">
            <x v="57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75">
      <pivotArea dataOnly="0" labelOnly="1" outline="0" fieldPosition="0">
        <references count="7">
          <reference field="0" count="1" selected="0">
            <x v="13"/>
          </reference>
          <reference field="5" count="1">
            <x v="76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74">
      <pivotArea dataOnly="0" labelOnly="1" outline="0" fieldPosition="0">
        <references count="7">
          <reference field="0" count="1" selected="0">
            <x v="13"/>
          </reference>
          <reference field="5" count="1">
            <x v="4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73">
      <pivotArea dataOnly="0" labelOnly="1" outline="0" fieldPosition="0">
        <references count="7">
          <reference field="0" count="1" selected="0">
            <x v="13"/>
          </reference>
          <reference field="5" count="1">
            <x v="7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72">
      <pivotArea dataOnly="0" labelOnly="1" outline="0" fieldPosition="0">
        <references count="7">
          <reference field="0" count="1" selected="0">
            <x v="13"/>
          </reference>
          <reference field="5" count="1">
            <x v="74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171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70">
      <pivotArea dataOnly="0" labelOnly="1" outline="0" fieldPosition="0">
        <references count="7">
          <reference field="0" count="1" selected="0">
            <x v="13"/>
          </reference>
          <reference field="5" count="2">
            <x v="2593"/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69">
      <pivotArea dataOnly="0" labelOnly="1" outline="0" fieldPosition="0">
        <references count="7">
          <reference field="0" count="1" selected="0">
            <x v="14"/>
          </reference>
          <reference field="5" count="1">
            <x v="777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68">
      <pivotArea dataOnly="0" labelOnly="1" outline="0" fieldPosition="0">
        <references count="7">
          <reference field="0" count="1" selected="0">
            <x v="14"/>
          </reference>
          <reference field="5" count="1">
            <x v="786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167">
      <pivotArea dataOnly="0" labelOnly="1" outline="0" fieldPosition="0">
        <references count="7">
          <reference field="0" count="1" selected="0">
            <x v="14"/>
          </reference>
          <reference field="5" count="1">
            <x v="347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66">
      <pivotArea dataOnly="0" labelOnly="1" outline="0" fieldPosition="0">
        <references count="7">
          <reference field="0" count="1" selected="0">
            <x v="14"/>
          </reference>
          <reference field="5" count="1">
            <x v="614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165">
      <pivotArea dataOnly="0" labelOnly="1" outline="0" fieldPosition="0">
        <references count="7">
          <reference field="0" count="1" selected="0">
            <x v="14"/>
          </reference>
          <reference field="5" count="1">
            <x v="7862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164">
      <pivotArea dataOnly="0" labelOnly="1" outline="0" fieldPosition="0">
        <references count="7">
          <reference field="0" count="1" selected="0">
            <x v="14"/>
          </reference>
          <reference field="5" count="1">
            <x v="398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163">
      <pivotArea dataOnly="0" labelOnly="1" outline="0" fieldPosition="0">
        <references count="7">
          <reference field="0" count="1" selected="0">
            <x v="14"/>
          </reference>
          <reference field="5" count="1">
            <x v="3855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162">
      <pivotArea dataOnly="0" labelOnly="1" outline="0" fieldPosition="0">
        <references count="7">
          <reference field="0" count="1" selected="0">
            <x v="14"/>
          </reference>
          <reference field="5" count="1">
            <x v="2176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61">
      <pivotArea dataOnly="0" labelOnly="1" outline="0" fieldPosition="0">
        <references count="7">
          <reference field="0" count="1" selected="0">
            <x v="14"/>
          </reference>
          <reference field="5" count="2">
            <x v="5943"/>
            <x v="6567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160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159">
      <pivotArea dataOnly="0" labelOnly="1" outline="0" fieldPosition="0">
        <references count="7">
          <reference field="0" count="1" selected="0">
            <x v="15"/>
          </reference>
          <reference field="5" count="1">
            <x v="19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58">
      <pivotArea dataOnly="0" labelOnly="1" outline="0" fieldPosition="0">
        <references count="7">
          <reference field="0" count="1" selected="0">
            <x v="15"/>
          </reference>
          <reference field="5" count="1">
            <x v="77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157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156">
      <pivotArea dataOnly="0" labelOnly="1" outline="0" fieldPosition="0">
        <references count="7">
          <reference field="0" count="1" selected="0">
            <x v="15"/>
          </reference>
          <reference field="5" count="1">
            <x v="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155">
      <pivotArea dataOnly="0" labelOnly="1" outline="0" fieldPosition="0">
        <references count="7">
          <reference field="0" count="1" selected="0">
            <x v="15"/>
          </reference>
          <reference field="5" count="1">
            <x v="313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154">
      <pivotArea dataOnly="0" labelOnly="1" outline="0" fieldPosition="0">
        <references count="7">
          <reference field="0" count="1" selected="0">
            <x v="15"/>
          </reference>
          <reference field="5" count="1">
            <x v="554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4153">
      <pivotArea dataOnly="0" labelOnly="1" outline="0" fieldPosition="0">
        <references count="7">
          <reference field="0" count="1" selected="0">
            <x v="15"/>
          </reference>
          <reference field="5" count="1">
            <x v="78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4152">
      <pivotArea dataOnly="0" labelOnly="1" outline="0" fieldPosition="0">
        <references count="7">
          <reference field="0" count="1" selected="0">
            <x v="15"/>
          </reference>
          <reference field="5" count="1">
            <x v="1944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4151">
      <pivotArea dataOnly="0" labelOnly="1" outline="0" fieldPosition="0">
        <references count="7">
          <reference field="0" count="1" selected="0">
            <x v="15"/>
          </reference>
          <reference field="5" count="1">
            <x v="217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1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147">
      <pivotArea dataOnly="0" labelOnly="1" outline="0" fieldPosition="0">
        <references count="8">
          <reference field="0" count="1" selected="0">
            <x v="9"/>
          </reference>
          <reference field="5" count="1" selected="0">
            <x v="171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4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7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1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1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1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1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1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7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1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3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1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3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30">
      <pivotArea dataOnly="0" labelOnly="1" outline="0" fieldPosition="0">
        <references count="9">
          <reference field="0" count="1" selected="0">
            <x v="7"/>
          </reference>
          <reference field="3" count="1">
            <x v="7333"/>
          </reference>
          <reference field="5" count="1" selected="0">
            <x v="21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129">
      <pivotArea dataOnly="0" labelOnly="1" outline="0" fieldPosition="0">
        <references count="9">
          <reference field="0" count="1" selected="0">
            <x v="9"/>
          </reference>
          <reference field="3" count="1">
            <x v="7888"/>
          </reference>
          <reference field="5" count="1" selected="0">
            <x v="171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2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7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26">
      <pivotArea dataOnly="0" labelOnly="1" outline="0" fieldPosition="0">
        <references count="9">
          <reference field="0" count="1" selected="0">
            <x v="14"/>
          </reference>
          <reference field="3" count="1">
            <x v="7709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124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34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2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4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12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121">
      <pivotArea dataOnly="0" labelOnly="1" outline="0" fieldPosition="0">
        <references count="9">
          <reference field="0" count="1" selected="0">
            <x v="14"/>
          </reference>
          <reference field="3" count="1">
            <x v="7750"/>
          </reference>
          <reference field="5" count="1" selected="0">
            <x v="398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120">
      <pivotArea dataOnly="0" labelOnly="1" outline="0" fieldPosition="0">
        <references count="9">
          <reference field="0" count="1" selected="0">
            <x v="14"/>
          </reference>
          <reference field="3" count="1">
            <x v="7529"/>
          </reference>
          <reference field="5" count="1" selected="0">
            <x v="3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119">
      <pivotArea dataOnly="0" labelOnly="1" outline="0" fieldPosition="0">
        <references count="9">
          <reference field="0" count="1" selected="0">
            <x v="14"/>
          </reference>
          <reference field="3" count="1">
            <x v="7886"/>
          </reference>
          <reference field="5" count="1" selected="0">
            <x v="217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18">
      <pivotArea dataOnly="0" labelOnly="1" outline="0" fieldPosition="0">
        <references count="9">
          <reference field="0" count="1" selected="0">
            <x v="14"/>
          </reference>
          <reference field="3" count="1">
            <x v="7710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117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116">
      <pivotArea dataOnly="0" labelOnly="1" outline="0" fieldPosition="0">
        <references count="9">
          <reference field="0" count="1" selected="0">
            <x v="14"/>
          </reference>
          <reference field="3" count="1">
            <x v="7708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115">
      <pivotArea dataOnly="0" labelOnly="1" outline="0" fieldPosition="0">
        <references count="9">
          <reference field="0" count="1" selected="0">
            <x v="15"/>
          </reference>
          <reference field="3" count="1">
            <x v="7803"/>
          </reference>
          <reference field="5" count="1" selected="0">
            <x v="19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14">
      <pivotArea dataOnly="0" labelOnly="1" outline="0" fieldPosition="0">
        <references count="9">
          <reference field="0" count="1" selected="0">
            <x v="15"/>
          </reference>
          <reference field="3" count="1">
            <x v="7798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11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112">
      <pivotArea dataOnly="0" labelOnly="1" outline="0" fieldPosition="0">
        <references count="9">
          <reference field="0" count="1" selected="0">
            <x v="15"/>
          </reference>
          <reference field="3" count="1">
            <x v="7748"/>
          </reference>
          <reference field="5" count="1" selected="0">
            <x v="1944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41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3"/>
          </reference>
          <reference field="5" count="1" selected="0">
            <x v="21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108">
      <pivotArea dataOnly="0" labelOnly="1" outline="0" fieldPosition="0">
        <references count="10">
          <reference field="0" count="1" selected="0">
            <x v="9"/>
          </reference>
          <reference field="3" count="1" selected="0">
            <x v="7888"/>
          </reference>
          <reference field="5" count="1" selected="0">
            <x v="17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0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7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9"/>
          </reference>
          <reference field="5" count="1" selected="0">
            <x v="7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1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3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1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1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0"/>
          </reference>
          <reference field="5" count="1" selected="0">
            <x v="39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0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9"/>
          </reference>
          <reference field="5" count="1" selected="0">
            <x v="38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0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6"/>
          </reference>
          <reference field="5" count="1" selected="0">
            <x v="21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0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0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3"/>
          </reference>
          <reference field="5" count="1" selected="0">
            <x v="19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8"/>
          </reference>
          <reference field="5" count="1" selected="0">
            <x v="77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0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0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48"/>
          </reference>
          <reference field="5" count="1" selected="0">
            <x v="19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4092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61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91">
      <pivotArea dataOnly="0" labelOnly="1" outline="0" fieldPosition="0">
        <references count="11">
          <reference field="0" count="1" selected="0">
            <x v="7"/>
          </reference>
          <reference field="1" count="1">
            <x v="7699"/>
          </reference>
          <reference field="3" count="1" selected="0">
            <x v="7333"/>
          </reference>
          <reference field="5" count="1" selected="0">
            <x v="21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090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46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89">
      <pivotArea dataOnly="0" labelOnly="1" outline="0" fieldPosition="0">
        <references count="11">
          <reference field="0" count="1" selected="0">
            <x v="13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74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088">
      <pivotArea dataOnly="0" labelOnly="1" outline="0" fieldPosition="0">
        <references count="11">
          <reference field="0" count="1" selected="0">
            <x v="13"/>
          </reference>
          <reference field="1" count="1">
            <x v="7693"/>
          </reference>
          <reference field="3" count="1" selected="0">
            <x v="0"/>
          </reference>
          <reference field="5" count="1" selected="0">
            <x v="55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87">
      <pivotArea dataOnly="0" labelOnly="1" outline="0" fieldPosition="0">
        <references count="11">
          <reference field="0" count="1" selected="0">
            <x v="13"/>
          </reference>
          <reference field="1" count="1">
            <x v="7630"/>
          </reference>
          <reference field="3" count="1" selected="0">
            <x v="0"/>
          </reference>
          <reference field="5" count="1" selected="0">
            <x v="554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86">
      <pivotArea dataOnly="0" labelOnly="1" outline="0" fieldPosition="0">
        <references count="11">
          <reference field="0" count="1" selected="0">
            <x v="14"/>
          </reference>
          <reference field="1" count="1">
            <x v="7750"/>
          </reference>
          <reference field="3" count="1" selected="0">
            <x v="2"/>
          </reference>
          <reference field="5" count="1" selected="0">
            <x v="78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085">
      <pivotArea dataOnly="0" labelOnly="1" outline="0" fieldPosition="0">
        <references count="11">
          <reference field="0" count="1" selected="0">
            <x v="14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61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084">
      <pivotArea dataOnly="0" labelOnly="1" outline="0" fieldPosition="0">
        <references count="11">
          <reference field="0" count="1" selected="0">
            <x v="14"/>
          </reference>
          <reference field="1" count="1">
            <x v="7749"/>
          </reference>
          <reference field="3" count="1" selected="0">
            <x v="0"/>
          </reference>
          <reference field="5" count="1" selected="0">
            <x v="786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083">
      <pivotArea dataOnly="0" labelOnly="1" outline="0" fieldPosition="0">
        <references count="11">
          <reference field="0" count="1" selected="0">
            <x v="14"/>
          </reference>
          <reference field="1" count="1">
            <x v="7306"/>
          </reference>
          <reference field="3" count="1" selected="0">
            <x v="7529"/>
          </reference>
          <reference field="5" count="1" selected="0">
            <x v="385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082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708"/>
          </reference>
          <reference field="5" count="1" selected="0">
            <x v="4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081">
      <pivotArea dataOnly="0" labelOnly="1" outline="0" fieldPosition="0">
        <references count="11">
          <reference field="0" count="1" selected="0">
            <x v="15"/>
          </reference>
          <reference field="1" count="1">
            <x v="7625"/>
          </reference>
          <reference field="3" count="1" selected="0">
            <x v="7798"/>
          </reference>
          <reference field="5" count="1" selected="0">
            <x v="77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080">
      <pivotArea dataOnly="0" labelOnly="1" outline="0" fieldPosition="0">
        <references count="11">
          <reference field="0" count="1" selected="0">
            <x v="15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27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079">
      <pivotArea dataOnly="0" labelOnly="1" outline="0" fieldPosition="0">
        <references count="11">
          <reference field="0" count="1" selected="0">
            <x v="15"/>
          </reference>
          <reference field="1" count="1">
            <x v="7591"/>
          </reference>
          <reference field="3" count="1" selected="0">
            <x v="7748"/>
          </reference>
          <reference field="5" count="1" selected="0">
            <x v="194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4078">
      <pivotArea outline="0" collapsedLevelsAreSubtotals="1" fieldPosition="0"/>
    </format>
    <format dxfId="4077">
      <pivotArea dataOnly="0" labelOnly="1" outline="0" axis="axisValues" fieldPosition="0"/>
    </format>
    <format dxfId="4076">
      <pivotArea dataOnly="0" outline="0" fieldPosition="0">
        <references count="1">
          <reference field="12" count="0" defaultSubtotal="1"/>
        </references>
      </pivotArea>
    </format>
    <format dxfId="4075">
      <pivotArea outline="0" collapsedLevelsAreSubtotals="1" fieldPosition="0"/>
    </format>
    <format dxfId="4074">
      <pivotArea dataOnly="0" labelOnly="1" outline="0" axis="axisValues" fieldPosition="0"/>
    </format>
    <format dxfId="4073">
      <pivotArea outline="0" collapsedLevelsAreSubtotals="1" fieldPosition="0"/>
    </format>
    <format dxfId="4072">
      <pivotArea dataOnly="0" labelOnly="1" outline="0" axis="axisValues" fieldPosition="0"/>
    </format>
    <format dxfId="4071">
      <pivotArea dataOnly="0" labelOnly="1" outline="0" axis="axisValues" fieldPosition="0"/>
    </format>
    <format dxfId="4070">
      <pivotArea outline="0" collapsedLevelsAreSubtotals="1" fieldPosition="0"/>
    </format>
    <format dxfId="4069">
      <pivotArea field="12" type="button" dataOnly="0" labelOnly="1" outline="0" axis="axisRow" fieldPosition="2"/>
    </format>
    <format dxfId="4068">
      <pivotArea field="10" type="button" dataOnly="0" labelOnly="1" outline="0" axis="axisRow" fieldPosition="3"/>
    </format>
    <format dxfId="4067">
      <pivotArea field="16" type="button" dataOnly="0" labelOnly="1" outline="0" axis="axisRow" fieldPosition="4"/>
    </format>
    <format dxfId="4066">
      <pivotArea field="18" type="button" dataOnly="0" labelOnly="1" outline="0" axis="axisRow" fieldPosition="5"/>
    </format>
    <format dxfId="4065">
      <pivotArea field="5" type="button" dataOnly="0" labelOnly="1" outline="0" axis="axisRow" fieldPosition="6"/>
    </format>
    <format dxfId="4064">
      <pivotArea field="9" type="button" dataOnly="0" labelOnly="1" outline="0" axis="axisRow" fieldPosition="7"/>
    </format>
    <format dxfId="4063">
      <pivotArea field="3" type="button" dataOnly="0" labelOnly="1" outline="0" axis="axisRow" fieldPosition="8"/>
    </format>
    <format dxfId="4062">
      <pivotArea field="7" type="button" dataOnly="0" labelOnly="1" outline="0" axis="axisRow" fieldPosition="9"/>
    </format>
    <format dxfId="4061">
      <pivotArea field="1" type="button" dataOnly="0" labelOnly="1" outline="0" axis="axisRow" fieldPosition="10"/>
    </format>
    <format dxfId="4060">
      <pivotArea dataOnly="0" labelOnly="1" outline="0" axis="axisValues" fieldPosition="0"/>
    </format>
    <format dxfId="4059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405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405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05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055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054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05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05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05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05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049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6"/>
            <x v="7"/>
            <x v="8"/>
            <x v="9"/>
            <x v="11"/>
            <x v="16"/>
            <x v="18"/>
            <x v="23"/>
            <x v="25"/>
            <x v="27"/>
            <x v="28"/>
            <x v="31"/>
            <x v="32"/>
          </reference>
          <reference field="13" count="1" selected="0">
            <x v="2"/>
          </reference>
        </references>
      </pivotArea>
    </format>
    <format dxfId="4048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6"/>
            <x v="7"/>
            <x v="8"/>
            <x v="9"/>
            <x v="11"/>
            <x v="16"/>
            <x v="18"/>
            <x v="23"/>
            <x v="25"/>
            <x v="27"/>
            <x v="28"/>
            <x v="31"/>
            <x v="32"/>
          </reference>
          <reference field="13" count="1" selected="0">
            <x v="2"/>
          </reference>
        </references>
      </pivotArea>
    </format>
    <format dxfId="404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04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0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404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4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04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04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04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03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03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03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3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35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0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03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03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03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0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0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02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40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0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02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0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0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02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02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401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0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1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1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1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1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1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1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1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0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99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9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98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398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5"/>
            <x v="85"/>
          </reference>
        </references>
      </pivotArea>
    </format>
    <format dxfId="398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98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59"/>
            <x v="63"/>
          </reference>
        </references>
      </pivotArea>
    </format>
    <format dxfId="398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398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98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9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39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9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39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9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9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39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9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9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9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9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39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6"/>
          </reference>
        </references>
      </pivotArea>
    </format>
    <format dxfId="39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9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9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70"/>
          </reference>
        </references>
      </pivotArea>
    </format>
    <format dxfId="39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9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9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9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7"/>
          </reference>
        </references>
      </pivotArea>
    </format>
    <format dxfId="39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9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39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9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39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3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9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39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3"/>
            <x v="39"/>
            <x v="41"/>
            <x v="42"/>
            <x v="58"/>
          </reference>
        </references>
      </pivotArea>
    </format>
    <format dxfId="39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39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0"/>
            <x v="41"/>
          </reference>
        </references>
      </pivotArea>
    </format>
    <format dxfId="3952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51">
      <pivotArea dataOnly="0" labelOnly="1" outline="0" fieldPosition="0">
        <references count="7">
          <reference field="0" count="1" selected="0">
            <x v="7"/>
          </reference>
          <reference field="5" count="1">
            <x v="213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950">
      <pivotArea dataOnly="0" labelOnly="1" outline="0" fieldPosition="0">
        <references count="7">
          <reference field="0" count="1" selected="0">
            <x v="11"/>
          </reference>
          <reference field="5" count="1">
            <x v="495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49">
      <pivotArea dataOnly="0" labelOnly="1" outline="0" fieldPosition="0">
        <references count="7">
          <reference field="0" count="1" selected="0">
            <x v="11"/>
          </reference>
          <reference field="5" count="1">
            <x v="619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3948">
      <pivotArea dataOnly="0" labelOnly="1" outline="0" fieldPosition="0">
        <references count="7">
          <reference field="0" count="1" selected="0">
            <x v="11"/>
          </reference>
          <reference field="5" count="1">
            <x v="718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947">
      <pivotArea dataOnly="0" labelOnly="1" outline="0" fieldPosition="0">
        <references count="7">
          <reference field="0" count="1" selected="0">
            <x v="11"/>
          </reference>
          <reference field="5" count="1">
            <x v="528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46">
      <pivotArea dataOnly="0" labelOnly="1" outline="0" fieldPosition="0">
        <references count="7">
          <reference field="0" count="1" selected="0">
            <x v="11"/>
          </reference>
          <reference field="5" count="1">
            <x v="709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45">
      <pivotArea dataOnly="0" labelOnly="1" outline="0" fieldPosition="0">
        <references count="7">
          <reference field="0" count="1" selected="0">
            <x v="11"/>
          </reference>
          <reference field="5" count="1">
            <x v="509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944">
      <pivotArea dataOnly="0" labelOnly="1" outline="0" fieldPosition="0">
        <references count="7">
          <reference field="0" count="1" selected="0">
            <x v="12"/>
          </reference>
          <reference field="5" count="1">
            <x v="594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943">
      <pivotArea dataOnly="0" labelOnly="1" outline="0" fieldPosition="0">
        <references count="7">
          <reference field="0" count="1" selected="0">
            <x v="13"/>
          </reference>
          <reference field="5" count="1">
            <x v="76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42">
      <pivotArea dataOnly="0" labelOnly="1" outline="0" fieldPosition="0">
        <references count="7">
          <reference field="0" count="1" selected="0">
            <x v="13"/>
          </reference>
          <reference field="5" count="1">
            <x v="4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41">
      <pivotArea dataOnly="0" labelOnly="1" outline="0" fieldPosition="0">
        <references count="7">
          <reference field="0" count="1" selected="0">
            <x v="13"/>
          </reference>
          <reference field="5" count="1">
            <x v="7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40">
      <pivotArea dataOnly="0" labelOnly="1" outline="0" fieldPosition="0">
        <references count="7">
          <reference field="0" count="1" selected="0">
            <x v="13"/>
          </reference>
          <reference field="5" count="1">
            <x v="74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939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38">
      <pivotArea dataOnly="0" labelOnly="1" outline="0" fieldPosition="0">
        <references count="7">
          <reference field="0" count="1" selected="0">
            <x v="13"/>
          </reference>
          <reference field="5" count="2">
            <x v="2593"/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37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36">
      <pivotArea dataOnly="0" labelOnly="1" outline="0" fieldPosition="0">
        <references count="7">
          <reference field="0" count="1" selected="0">
            <x v="14"/>
          </reference>
          <reference field="5" count="1">
            <x v="347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35">
      <pivotArea dataOnly="0" labelOnly="1" outline="0" fieldPosition="0">
        <references count="7">
          <reference field="0" count="1" selected="0">
            <x v="14"/>
          </reference>
          <reference field="5" count="1">
            <x v="777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34">
      <pivotArea dataOnly="0" labelOnly="1" outline="0" fieldPosition="0">
        <references count="7">
          <reference field="0" count="1" selected="0">
            <x v="14"/>
          </reference>
          <reference field="5" count="1">
            <x v="786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933">
      <pivotArea dataOnly="0" labelOnly="1" outline="0" fieldPosition="0">
        <references count="7">
          <reference field="0" count="1" selected="0">
            <x v="14"/>
          </reference>
          <reference field="5" count="1">
            <x v="7778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6"/>
          </reference>
        </references>
      </pivotArea>
    </format>
    <format dxfId="3932">
      <pivotArea dataOnly="0" labelOnly="1" outline="0" fieldPosition="0">
        <references count="7">
          <reference field="0" count="1" selected="0">
            <x v="14"/>
          </reference>
          <reference field="5" count="1">
            <x v="614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31">
      <pivotArea dataOnly="0" labelOnly="1" outline="0" fieldPosition="0">
        <references count="7">
          <reference field="0" count="1" selected="0">
            <x v="14"/>
          </reference>
          <reference field="5" count="1">
            <x v="610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930">
      <pivotArea dataOnly="0" labelOnly="1" outline="0" fieldPosition="0">
        <references count="7">
          <reference field="0" count="1" selected="0">
            <x v="14"/>
          </reference>
          <reference field="5" count="1">
            <x v="7715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29">
      <pivotArea dataOnly="0" labelOnly="1" outline="0" fieldPosition="0">
        <references count="7">
          <reference field="0" count="1" selected="0">
            <x v="14"/>
          </reference>
          <reference field="5" count="1">
            <x v="7786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928">
      <pivotArea dataOnly="0" labelOnly="1" outline="0" fieldPosition="0">
        <references count="7">
          <reference field="0" count="1" selected="0">
            <x v="14"/>
          </reference>
          <reference field="5" count="1">
            <x v="7777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927">
      <pivotArea dataOnly="0" labelOnly="1" outline="0" fieldPosition="0">
        <references count="7">
          <reference field="0" count="1" selected="0">
            <x v="14"/>
          </reference>
          <reference field="5" count="1">
            <x v="508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26">
      <pivotArea dataOnly="0" labelOnly="1" outline="0" fieldPosition="0">
        <references count="7">
          <reference field="0" count="1" selected="0">
            <x v="14"/>
          </reference>
          <reference field="5" count="1">
            <x v="7866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925">
      <pivotArea dataOnly="0" labelOnly="1" outline="0" fieldPosition="0">
        <references count="7">
          <reference field="0" count="1" selected="0">
            <x v="14"/>
          </reference>
          <reference field="5" count="2">
            <x v="5943"/>
            <x v="656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924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923">
      <pivotArea dataOnly="0" labelOnly="1" outline="0" fieldPosition="0">
        <references count="7">
          <reference field="0" count="1" selected="0">
            <x v="14"/>
          </reference>
          <reference field="5" count="1">
            <x v="7867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922">
      <pivotArea dataOnly="0" labelOnly="1" outline="0" fieldPosition="0">
        <references count="7">
          <reference field="0" count="1" selected="0">
            <x v="15"/>
          </reference>
          <reference field="5" count="1">
            <x v="19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21">
      <pivotArea dataOnly="0" labelOnly="1" outline="0" fieldPosition="0">
        <references count="7">
          <reference field="0" count="1" selected="0">
            <x v="15"/>
          </reference>
          <reference field="5" count="1">
            <x v="78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20">
      <pivotArea dataOnly="0" labelOnly="1" outline="0" fieldPosition="0">
        <references count="7">
          <reference field="0" count="1" selected="0">
            <x v="15"/>
          </reference>
          <reference field="5" count="1">
            <x v="77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919">
      <pivotArea dataOnly="0" labelOnly="1" outline="0" fieldPosition="0">
        <references count="7">
          <reference field="0" count="1" selected="0">
            <x v="15"/>
          </reference>
          <reference field="5" count="1"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918">
      <pivotArea dataOnly="0" labelOnly="1" outline="0" fieldPosition="0">
        <references count="7">
          <reference field="0" count="1" selected="0">
            <x v="15"/>
          </reference>
          <reference field="5" count="1">
            <x v="78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39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91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91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4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9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9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6"/>
          </reference>
        </references>
      </pivotArea>
    </format>
    <format dxfId="39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9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9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9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9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9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9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8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97">
      <pivotArea dataOnly="0" labelOnly="1" outline="0" fieldPosition="0">
        <references count="9">
          <reference field="0" count="1" selected="0">
            <x v="7"/>
          </reference>
          <reference field="3" count="1">
            <x v="7333"/>
          </reference>
          <reference field="5" count="1" selected="0">
            <x v="21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896">
      <pivotArea dataOnly="0" labelOnly="1" outline="0" fieldPosition="0">
        <references count="9">
          <reference field="0" count="1" selected="0">
            <x v="11"/>
          </reference>
          <reference field="3" count="1">
            <x v="7318"/>
          </reference>
          <reference field="5" count="1" selected="0">
            <x v="49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895">
      <pivotArea dataOnly="0" labelOnly="1" outline="0" fieldPosition="0">
        <references count="9">
          <reference field="0" count="1" selected="0">
            <x v="11"/>
          </reference>
          <reference field="3" count="1">
            <x v="7745"/>
          </reference>
          <reference field="5" count="1" selected="0">
            <x v="61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3894">
      <pivotArea dataOnly="0" labelOnly="1" outline="0" fieldPosition="0">
        <references count="9">
          <reference field="0" count="1" selected="0">
            <x v="11"/>
          </reference>
          <reference field="3" count="1">
            <x v="7744"/>
          </reference>
          <reference field="5" count="1" selected="0">
            <x v="71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893">
      <pivotArea dataOnly="0" labelOnly="1" outline="0" fieldPosition="0">
        <references count="9">
          <reference field="0" count="1" selected="0">
            <x v="11"/>
          </reference>
          <reference field="3" count="1">
            <x v="7743"/>
          </reference>
          <reference field="5" count="1" selected="0">
            <x v="52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892">
      <pivotArea dataOnly="0" labelOnly="1" outline="0" fieldPosition="0">
        <references count="9">
          <reference field="0" count="1" selected="0">
            <x v="11"/>
          </reference>
          <reference field="3" count="1">
            <x v="7409"/>
          </reference>
          <reference field="5" count="1" selected="0">
            <x v="70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891">
      <pivotArea dataOnly="0" labelOnly="1" outline="0" fieldPosition="0">
        <references count="9">
          <reference field="0" count="1" selected="0">
            <x v="11"/>
          </reference>
          <reference field="3" count="1">
            <x v="7641"/>
          </reference>
          <reference field="5" count="1" selected="0">
            <x v="50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89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4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88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888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34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87">
      <pivotArea dataOnly="0" labelOnly="1" outline="0" fieldPosition="0">
        <references count="9">
          <reference field="0" count="1" selected="0">
            <x v="14"/>
          </reference>
          <reference field="3" count="1">
            <x v="7709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6"/>
          </reference>
        </references>
      </pivotArea>
    </format>
    <format dxfId="388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4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84">
      <pivotArea dataOnly="0" labelOnly="1" outline="0" fieldPosition="0">
        <references count="9">
          <reference field="0" count="1" selected="0">
            <x v="14"/>
          </reference>
          <reference field="3" count="1">
            <x v="7226"/>
          </reference>
          <reference field="5" count="1" selected="0">
            <x v="61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883">
      <pivotArea dataOnly="0" labelOnly="1" outline="0" fieldPosition="0">
        <references count="9">
          <reference field="0" count="1" selected="0">
            <x v="14"/>
          </reference>
          <reference field="3" count="1">
            <x v="7739"/>
          </reference>
          <reference field="5" count="1" selected="0">
            <x v="771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88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881">
      <pivotArea dataOnly="0" labelOnly="1" outline="0" fieldPosition="0">
        <references count="9">
          <reference field="0" count="1" selected="0">
            <x v="14"/>
          </reference>
          <reference field="3" count="1">
            <x v="7892"/>
          </reference>
          <reference field="5" count="1" selected="0">
            <x v="786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880">
      <pivotArea dataOnly="0" labelOnly="1" outline="0" fieldPosition="0">
        <references count="9">
          <reference field="0" count="1" selected="0">
            <x v="14"/>
          </reference>
          <reference field="3" count="1">
            <x v="7710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879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878">
      <pivotArea dataOnly="0" labelOnly="1" outline="0" fieldPosition="0">
        <references count="9">
          <reference field="0" count="1" selected="0">
            <x v="14"/>
          </reference>
          <reference field="3" count="1">
            <x v="7708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8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876">
      <pivotArea dataOnly="0" labelOnly="1" outline="0" fieldPosition="0">
        <references count="9">
          <reference field="0" count="1" selected="0">
            <x v="15"/>
          </reference>
          <reference field="3" count="1">
            <x v="7803"/>
          </reference>
          <reference field="5" count="1" selected="0">
            <x v="19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7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6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74">
      <pivotArea dataOnly="0" labelOnly="1" outline="0" fieldPosition="0">
        <references count="9">
          <reference field="0" count="1" selected="0">
            <x v="15"/>
          </reference>
          <reference field="3" count="1">
            <x v="7798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87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8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3"/>
          </reference>
          <reference field="5" count="1" selected="0">
            <x v="21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87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41"/>
          </reference>
          <reference field="5" count="1" selected="0">
            <x v="50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86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86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8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3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9"/>
          </reference>
          <reference field="5" count="1" selected="0">
            <x v="7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6"/>
          </reference>
        </references>
      </pivotArea>
    </format>
    <format dxfId="38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6"/>
          </reference>
          <reference field="5" count="1" selected="0">
            <x v="61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8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9"/>
          </reference>
          <reference field="5" count="1" selected="0">
            <x v="771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8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8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2"/>
          </reference>
          <reference field="5" count="1" selected="0">
            <x v="78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8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0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8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8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3"/>
          </reference>
          <reference field="5" count="1" selected="0">
            <x v="19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8"/>
          </reference>
          <reference field="5" count="1" selected="0">
            <x v="77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8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853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61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52">
      <pivotArea dataOnly="0" labelOnly="1" outline="0" fieldPosition="0">
        <references count="11">
          <reference field="0" count="1" selected="0">
            <x v="7"/>
          </reference>
          <reference field="1" count="1">
            <x v="7699"/>
          </reference>
          <reference field="3" count="1" selected="0">
            <x v="7333"/>
          </reference>
          <reference field="5" count="1" selected="0">
            <x v="21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851">
      <pivotArea dataOnly="0" labelOnly="1" outline="0" fieldPosition="0">
        <references count="11">
          <reference field="0" count="1" selected="0">
            <x v="11"/>
          </reference>
          <reference field="1" count="1">
            <x v="7589"/>
          </reference>
          <reference field="3" count="1" selected="0">
            <x v="7743"/>
          </reference>
          <reference field="5" count="1" selected="0">
            <x v="52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850">
      <pivotArea dataOnly="0" labelOnly="1" outline="0" fieldPosition="0">
        <references count="11">
          <reference field="0" count="1" selected="0">
            <x v="11"/>
          </reference>
          <reference field="1" count="1">
            <x v="7757"/>
          </reference>
          <reference field="3" count="1" selected="0">
            <x v="7641"/>
          </reference>
          <reference field="5" count="1" selected="0">
            <x v="50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849">
      <pivotArea dataOnly="0" labelOnly="1" outline="0" fieldPosition="0">
        <references count="11">
          <reference field="0" count="1" selected="0">
            <x v="12"/>
          </reference>
          <reference field="1" count="1">
            <x v="7458"/>
          </reference>
          <reference field="3" count="1" selected="0">
            <x v="0"/>
          </reference>
          <reference field="5" count="1" selected="0">
            <x v="59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848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46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47">
      <pivotArea dataOnly="0" labelOnly="1" outline="0" fieldPosition="0">
        <references count="11">
          <reference field="0" count="1" selected="0">
            <x v="13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74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846">
      <pivotArea dataOnly="0" labelOnly="1" outline="0" fieldPosition="0">
        <references count="11">
          <reference field="0" count="1" selected="0">
            <x v="13"/>
          </reference>
          <reference field="1" count="1">
            <x v="7693"/>
          </reference>
          <reference field="3" count="1" selected="0">
            <x v="0"/>
          </reference>
          <reference field="5" count="1" selected="0">
            <x v="55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45">
      <pivotArea dataOnly="0" labelOnly="1" outline="0" fieldPosition="0">
        <references count="11">
          <reference field="0" count="1" selected="0">
            <x v="13"/>
          </reference>
          <reference field="1" count="1">
            <x v="7630"/>
          </reference>
          <reference field="3" count="1" selected="0">
            <x v="0"/>
          </reference>
          <reference field="5" count="1" selected="0">
            <x v="554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44">
      <pivotArea dataOnly="0" labelOnly="1" outline="0" fieldPosition="0">
        <references count="11">
          <reference field="0" count="1" selected="0">
            <x v="13"/>
          </reference>
          <reference field="1" count="1">
            <x v="7756"/>
          </reference>
          <reference field="3" count="1" selected="0">
            <x v="0"/>
          </reference>
          <reference field="5" count="1" selected="0">
            <x v="3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43">
      <pivotArea dataOnly="0" labelOnly="1" outline="0" fieldPosition="0">
        <references count="11">
          <reference field="0" count="1" selected="0">
            <x v="14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61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42">
      <pivotArea dataOnly="0" labelOnly="1" outline="0" fieldPosition="0">
        <references count="11">
          <reference field="0" count="1" selected="0">
            <x v="14"/>
          </reference>
          <reference field="1" count="1">
            <x v="7753"/>
          </reference>
          <reference field="3" count="1" selected="0">
            <x v="7892"/>
          </reference>
          <reference field="5" count="1" selected="0">
            <x v="786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841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708"/>
          </reference>
          <reference field="5" count="1" selected="0">
            <x v="4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840">
      <pivotArea dataOnly="0" labelOnly="1" outline="0" fieldPosition="0">
        <references count="11">
          <reference field="0" count="1" selected="0">
            <x v="15"/>
          </reference>
          <reference field="1" count="1">
            <x v="7625"/>
          </reference>
          <reference field="3" count="1" selected="0">
            <x v="7798"/>
          </reference>
          <reference field="5" count="1" selected="0">
            <x v="77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839">
      <pivotArea dataOnly="0" labelOnly="1" outline="0" fieldPosition="0">
        <references count="11">
          <reference field="0" count="1" selected="0">
            <x v="15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27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838">
      <pivotArea outline="0" collapsedLevelsAreSubtotals="1" fieldPosition="0"/>
    </format>
    <format dxfId="3837">
      <pivotArea dataOnly="0" labelOnly="1" outline="0" axis="axisValues" fieldPosition="0"/>
    </format>
    <format dxfId="3836">
      <pivotArea dataOnly="0" outline="0" fieldPosition="0">
        <references count="1">
          <reference field="12" count="0" defaultSubtotal="1"/>
        </references>
      </pivotArea>
    </format>
    <format dxfId="3835">
      <pivotArea outline="0" collapsedLevelsAreSubtotals="1" fieldPosition="0"/>
    </format>
    <format dxfId="3834">
      <pivotArea dataOnly="0" labelOnly="1" outline="0" axis="axisValues" fieldPosition="0"/>
    </format>
    <format dxfId="3833">
      <pivotArea outline="0" collapsedLevelsAreSubtotals="1" fieldPosition="0"/>
    </format>
    <format dxfId="3832">
      <pivotArea dataOnly="0" labelOnly="1" outline="0" axis="axisValues" fieldPosition="0"/>
    </format>
    <format dxfId="3831">
      <pivotArea dataOnly="0" labelOnly="1" outline="0" axis="axisValues" fieldPosition="0"/>
    </format>
    <format dxfId="3830">
      <pivotArea outline="0" collapsedLevelsAreSubtotals="1" fieldPosition="0"/>
    </format>
    <format dxfId="3829">
      <pivotArea field="12" type="button" dataOnly="0" labelOnly="1" outline="0" axis="axisRow" fieldPosition="2"/>
    </format>
    <format dxfId="3828">
      <pivotArea field="10" type="button" dataOnly="0" labelOnly="1" outline="0" axis="axisRow" fieldPosition="3"/>
    </format>
    <format dxfId="3827">
      <pivotArea field="16" type="button" dataOnly="0" labelOnly="1" outline="0" axis="axisRow" fieldPosition="4"/>
    </format>
    <format dxfId="3826">
      <pivotArea field="18" type="button" dataOnly="0" labelOnly="1" outline="0" axis="axisRow" fieldPosition="5"/>
    </format>
    <format dxfId="3825">
      <pivotArea field="5" type="button" dataOnly="0" labelOnly="1" outline="0" axis="axisRow" fieldPosition="6"/>
    </format>
    <format dxfId="3824">
      <pivotArea field="9" type="button" dataOnly="0" labelOnly="1" outline="0" axis="axisRow" fieldPosition="7"/>
    </format>
    <format dxfId="3823">
      <pivotArea field="3" type="button" dataOnly="0" labelOnly="1" outline="0" axis="axisRow" fieldPosition="8"/>
    </format>
    <format dxfId="3822">
      <pivotArea field="7" type="button" dataOnly="0" labelOnly="1" outline="0" axis="axisRow" fieldPosition="9"/>
    </format>
    <format dxfId="3821">
      <pivotArea field="1" type="button" dataOnly="0" labelOnly="1" outline="0" axis="axisRow" fieldPosition="10"/>
    </format>
    <format dxfId="3820">
      <pivotArea dataOnly="0" labelOnly="1" outline="0" axis="axisValues" fieldPosition="0"/>
    </format>
    <format dxfId="3819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381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381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81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81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81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81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81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811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3810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380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80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8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380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80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80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803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80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8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80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7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79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7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796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7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7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79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7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79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37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7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78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7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78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78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78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7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8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8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7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7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7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7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75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7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75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7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37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7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37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7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7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37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09"/>
          </reference>
        </references>
      </pivotArea>
    </format>
    <format dxfId="3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3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3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3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7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37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37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09"/>
          </reference>
        </references>
      </pivotArea>
    </format>
    <format dxfId="37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7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114"/>
          </reference>
        </references>
      </pivotArea>
    </format>
    <format dxfId="3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3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37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9"/>
            <x v="41"/>
            <x v="42"/>
            <x v="58"/>
          </reference>
        </references>
      </pivotArea>
    </format>
    <format dxfId="37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3"/>
            <x v="45"/>
            <x v="71"/>
            <x v="78"/>
            <x v="80"/>
          </reference>
        </references>
      </pivotArea>
    </format>
    <format dxfId="37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9"/>
            <x v="44"/>
            <x v="49"/>
            <x v="70"/>
          </reference>
        </references>
      </pivotArea>
    </format>
    <format dxfId="3722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21">
      <pivotArea dataOnly="0" labelOnly="1" outline="0" fieldPosition="0">
        <references count="7">
          <reference field="0" count="1" selected="0">
            <x v="7"/>
          </reference>
          <reference field="5" count="1">
            <x v="213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720">
      <pivotArea dataOnly="0" labelOnly="1" outline="0" fieldPosition="0">
        <references count="7">
          <reference field="0" count="1" selected="0">
            <x v="12"/>
          </reference>
          <reference field="5" count="1">
            <x v="787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19">
      <pivotArea dataOnly="0" labelOnly="1" outline="0" fieldPosition="0">
        <references count="7">
          <reference field="0" count="1" selected="0">
            <x v="13"/>
          </reference>
          <reference field="5" count="1">
            <x v="76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18">
      <pivotArea dataOnly="0" labelOnly="1" outline="0" fieldPosition="0">
        <references count="7">
          <reference field="0" count="1" selected="0">
            <x v="13"/>
          </reference>
          <reference field="5" count="1">
            <x v="4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17">
      <pivotArea dataOnly="0" labelOnly="1" outline="0" fieldPosition="0">
        <references count="7">
          <reference field="0" count="1" selected="0">
            <x v="13"/>
          </reference>
          <reference field="5" count="1">
            <x v="7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16">
      <pivotArea dataOnly="0" labelOnly="1" outline="0" fieldPosition="0">
        <references count="7">
          <reference field="0" count="1" selected="0">
            <x v="13"/>
          </reference>
          <reference field="5" count="1">
            <x v="74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715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14">
      <pivotArea dataOnly="0" labelOnly="1" outline="0" fieldPosition="0">
        <references count="7">
          <reference field="0" count="1" selected="0">
            <x v="13"/>
          </reference>
          <reference field="5" count="2">
            <x v="2593"/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13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12">
      <pivotArea dataOnly="0" labelOnly="1" outline="0" fieldPosition="0">
        <references count="7">
          <reference field="0" count="1" selected="0">
            <x v="14"/>
          </reference>
          <reference field="5" count="1">
            <x v="347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11">
      <pivotArea dataOnly="0" labelOnly="1" outline="0" fieldPosition="0">
        <references count="7">
          <reference field="0" count="1" selected="0">
            <x v="14"/>
          </reference>
          <reference field="5" count="1">
            <x v="777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10">
      <pivotArea dataOnly="0" labelOnly="1" outline="0" fieldPosition="0">
        <references count="7">
          <reference field="0" count="1" selected="0">
            <x v="14"/>
          </reference>
          <reference field="5" count="1">
            <x v="787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709">
      <pivotArea dataOnly="0" labelOnly="1" outline="0" fieldPosition="0">
        <references count="7">
          <reference field="0" count="1" selected="0">
            <x v="14"/>
          </reference>
          <reference field="5" count="1">
            <x v="786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09"/>
          </reference>
        </references>
      </pivotArea>
    </format>
    <format dxfId="3708">
      <pivotArea dataOnly="0" labelOnly="1" outline="0" fieldPosition="0">
        <references count="7">
          <reference field="0" count="1" selected="0">
            <x v="14"/>
          </reference>
          <reference field="5" count="1">
            <x v="343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707">
      <pivotArea dataOnly="0" labelOnly="1" outline="0" fieldPosition="0">
        <references count="7">
          <reference field="0" count="1" selected="0">
            <x v="14"/>
          </reference>
          <reference field="5" count="1">
            <x v="7247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06">
      <pivotArea dataOnly="0" labelOnly="1" outline="0" fieldPosition="0">
        <references count="7">
          <reference field="0" count="1" selected="0">
            <x v="14"/>
          </reference>
          <reference field="5" count="1">
            <x v="786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705">
      <pivotArea dataOnly="0" labelOnly="1" outline="0" fieldPosition="0">
        <references count="7">
          <reference field="0" count="1" selected="0">
            <x v="14"/>
          </reference>
          <reference field="5" count="1">
            <x v="614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04">
      <pivotArea dataOnly="0" labelOnly="1" outline="0" fieldPosition="0">
        <references count="7">
          <reference field="0" count="1" selected="0">
            <x v="14"/>
          </reference>
          <reference field="5" count="1">
            <x v="272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703">
      <pivotArea dataOnly="0" labelOnly="1" outline="0" fieldPosition="0">
        <references count="7">
          <reference field="0" count="1" selected="0">
            <x v="14"/>
          </reference>
          <reference field="5" count="1">
            <x v="3855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702">
      <pivotArea dataOnly="0" labelOnly="1" outline="0" fieldPosition="0">
        <references count="7">
          <reference field="0" count="1" selected="0">
            <x v="14"/>
          </reference>
          <reference field="5" count="1">
            <x v="7786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701">
      <pivotArea dataOnly="0" labelOnly="1" outline="0" fieldPosition="0">
        <references count="7">
          <reference field="0" count="1" selected="0">
            <x v="14"/>
          </reference>
          <reference field="5" count="1">
            <x v="3988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700">
      <pivotArea dataOnly="0" labelOnly="1" outline="0" fieldPosition="0">
        <references count="7">
          <reference field="0" count="1" selected="0">
            <x v="14"/>
          </reference>
          <reference field="5" count="1">
            <x v="7870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699">
      <pivotArea dataOnly="0" labelOnly="1" outline="0" fieldPosition="0">
        <references count="7">
          <reference field="0" count="1" selected="0">
            <x v="14"/>
          </reference>
          <reference field="5" count="1">
            <x v="6890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698">
      <pivotArea dataOnly="0" labelOnly="1" outline="0" fieldPosition="0">
        <references count="7">
          <reference field="0" count="1" selected="0">
            <x v="14"/>
          </reference>
          <reference field="5" count="2">
            <x v="5943"/>
            <x v="656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697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696">
      <pivotArea dataOnly="0" labelOnly="1" outline="0" fieldPosition="0">
        <references count="7">
          <reference field="0" count="1" selected="0">
            <x v="14"/>
          </reference>
          <reference field="5" count="1">
            <x v="786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695">
      <pivotArea dataOnly="0" labelOnly="1" outline="0" fieldPosition="0">
        <references count="7">
          <reference field="0" count="1" selected="0">
            <x v="15"/>
          </reference>
          <reference field="5" count="1">
            <x v="19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94">
      <pivotArea dataOnly="0" labelOnly="1" outline="0" fieldPosition="0">
        <references count="7">
          <reference field="0" count="1" selected="0">
            <x v="15"/>
          </reference>
          <reference field="5" count="1">
            <x v="78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693">
      <pivotArea dataOnly="0" labelOnly="1" outline="0" fieldPosition="0">
        <references count="7">
          <reference field="0" count="1" selected="0">
            <x v="15"/>
          </reference>
          <reference field="5" count="1">
            <x v="77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692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691">
      <pivotArea dataOnly="0" labelOnly="1" outline="0" fieldPosition="0">
        <references count="7">
          <reference field="0" count="1" selected="0">
            <x v="15"/>
          </reference>
          <reference field="5" count="1">
            <x v="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690">
      <pivotArea dataOnly="0" labelOnly="1" outline="0" fieldPosition="0">
        <references count="7">
          <reference field="0" count="1" selected="0">
            <x v="15"/>
          </reference>
          <reference field="5" count="1">
            <x v="554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689">
      <pivotArea dataOnly="0" labelOnly="1" outline="0" fieldPosition="0">
        <references count="7">
          <reference field="0" count="1" selected="0">
            <x v="15"/>
          </reference>
          <reference field="5" count="1">
            <x v="78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3688">
      <pivotArea dataOnly="0" labelOnly="1" outline="0" fieldPosition="0">
        <references count="7">
          <reference field="0" count="1" selected="0">
            <x v="15"/>
          </reference>
          <reference field="5" count="2">
            <x v="2348"/>
            <x v="77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687">
      <pivotArea dataOnly="0" labelOnly="1" outline="0" fieldPosition="0">
        <references count="7">
          <reference field="0" count="1" selected="0">
            <x v="15"/>
          </reference>
          <reference field="5" count="1">
            <x v="217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6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68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7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6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6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6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09"/>
          </reference>
        </references>
      </pivotArea>
    </format>
    <format dxfId="36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3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6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6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6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6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6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6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9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6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6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66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6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66">
      <pivotArea dataOnly="0" labelOnly="1" outline="0" fieldPosition="0">
        <references count="9">
          <reference field="0" count="1" selected="0">
            <x v="7"/>
          </reference>
          <reference field="3" count="1">
            <x v="7333"/>
          </reference>
          <reference field="5" count="1" selected="0">
            <x v="21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66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7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663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34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62">
      <pivotArea dataOnly="0" labelOnly="1" outline="0" fieldPosition="0">
        <references count="9">
          <reference field="0" count="1" selected="0">
            <x v="14"/>
          </reference>
          <reference field="3" count="1">
            <x v="7709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660">
      <pivotArea dataOnly="0" labelOnly="1" outline="0" fieldPosition="0">
        <references count="9">
          <reference field="0" count="1" selected="0">
            <x v="14"/>
          </reference>
          <reference field="3" count="1">
            <x v="7894"/>
          </reference>
          <reference field="5" count="1" selected="0">
            <x v="78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09"/>
          </reference>
        </references>
      </pivotArea>
    </format>
    <format dxfId="3659">
      <pivotArea dataOnly="0" labelOnly="1" outline="0" fieldPosition="0">
        <references count="9">
          <reference field="0" count="1" selected="0">
            <x v="14"/>
          </reference>
          <reference field="3" count="1">
            <x v="7898"/>
          </reference>
          <reference field="5" count="1" selected="0">
            <x v="343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65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4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65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4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656">
      <pivotArea dataOnly="0" labelOnly="1" outline="0" fieldPosition="0">
        <references count="9">
          <reference field="0" count="1" selected="0">
            <x v="14"/>
          </reference>
          <reference field="3" count="1">
            <x v="7897"/>
          </reference>
          <reference field="5" count="1" selected="0">
            <x v="27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655">
      <pivotArea dataOnly="0" labelOnly="1" outline="0" fieldPosition="0">
        <references count="9">
          <reference field="0" count="1" selected="0">
            <x v="14"/>
          </reference>
          <reference field="3" count="1">
            <x v="7529"/>
          </reference>
          <reference field="5" count="1" selected="0">
            <x v="3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65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653">
      <pivotArea dataOnly="0" labelOnly="1" outline="0" fieldPosition="0">
        <references count="9">
          <reference field="0" count="1" selected="0">
            <x v="14"/>
          </reference>
          <reference field="3" count="1">
            <x v="7750"/>
          </reference>
          <reference field="5" count="1" selected="0">
            <x v="398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65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651">
      <pivotArea dataOnly="0" labelOnly="1" outline="0" fieldPosition="0">
        <references count="9">
          <reference field="0" count="1" selected="0">
            <x v="14"/>
          </reference>
          <reference field="3" count="1">
            <x v="7895"/>
          </reference>
          <reference field="5" count="1" selected="0">
            <x v="68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650">
      <pivotArea dataOnly="0" labelOnly="1" outline="0" fieldPosition="0">
        <references count="9">
          <reference field="0" count="1" selected="0">
            <x v="14"/>
          </reference>
          <reference field="3" count="1">
            <x v="7710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649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648">
      <pivotArea dataOnly="0" labelOnly="1" outline="0" fieldPosition="0">
        <references count="9">
          <reference field="0" count="1" selected="0">
            <x v="14"/>
          </reference>
          <reference field="3" count="1">
            <x v="7708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6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646">
      <pivotArea dataOnly="0" labelOnly="1" outline="0" fieldPosition="0">
        <references count="9">
          <reference field="0" count="1" selected="0">
            <x v="15"/>
          </reference>
          <reference field="3" count="1">
            <x v="7803"/>
          </reference>
          <reference field="5" count="1" selected="0">
            <x v="19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45">
      <pivotArea dataOnly="0" labelOnly="1" outline="0" fieldPosition="0">
        <references count="9">
          <reference field="0" count="1" selected="0">
            <x v="15"/>
          </reference>
          <reference field="3" count="1">
            <x v="7798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64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6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3"/>
          </reference>
          <reference field="5" count="1" selected="0">
            <x v="21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64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4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6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3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9"/>
          </reference>
          <reference field="5" count="1" selected="0">
            <x v="7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6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4"/>
          </reference>
          <reference field="5" count="1" selected="0">
            <x v="78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09"/>
          </reference>
        </references>
      </pivotArea>
    </format>
    <format dxfId="36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8"/>
          </reference>
          <reference field="5" count="1" selected="0">
            <x v="34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6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6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6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7"/>
          </reference>
          <reference field="5" count="1" selected="0">
            <x v="27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6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9"/>
          </reference>
          <reference field="5" count="1" selected="0">
            <x v="38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6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6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0"/>
          </reference>
          <reference field="5" count="1" selected="0">
            <x v="39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6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6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5"/>
          </reference>
          <reference field="5" count="1" selected="0">
            <x v="68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6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0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6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6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3"/>
          </reference>
          <reference field="5" count="1" selected="0">
            <x v="19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8"/>
          </reference>
          <reference field="5" count="1" selected="0">
            <x v="77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6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621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61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20">
      <pivotArea dataOnly="0" labelOnly="1" outline="0" fieldPosition="0">
        <references count="11">
          <reference field="0" count="1" selected="0">
            <x v="7"/>
          </reference>
          <reference field="1" count="1">
            <x v="7699"/>
          </reference>
          <reference field="3" count="1" selected="0">
            <x v="7333"/>
          </reference>
          <reference field="5" count="1" selected="0">
            <x v="21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619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46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18">
      <pivotArea dataOnly="0" labelOnly="1" outline="0" fieldPosition="0">
        <references count="11">
          <reference field="0" count="1" selected="0">
            <x v="13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74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617">
      <pivotArea dataOnly="0" labelOnly="1" outline="0" fieldPosition="0">
        <references count="11">
          <reference field="0" count="1" selected="0">
            <x v="13"/>
          </reference>
          <reference field="1" count="1">
            <x v="7693"/>
          </reference>
          <reference field="3" count="1" selected="0">
            <x v="0"/>
          </reference>
          <reference field="5" count="1" selected="0">
            <x v="55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16">
      <pivotArea dataOnly="0" labelOnly="1" outline="0" fieldPosition="0">
        <references count="11">
          <reference field="0" count="1" selected="0">
            <x v="13"/>
          </reference>
          <reference field="1" count="1">
            <x v="7630"/>
          </reference>
          <reference field="3" count="1" selected="0">
            <x v="0"/>
          </reference>
          <reference field="5" count="1" selected="0">
            <x v="554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615">
      <pivotArea dataOnly="0" labelOnly="1" outline="0" fieldPosition="0">
        <references count="11">
          <reference field="0" count="1" selected="0">
            <x v="13"/>
          </reference>
          <reference field="1" count="1">
            <x v="7756"/>
          </reference>
          <reference field="3" count="1" selected="0">
            <x v="0"/>
          </reference>
          <reference field="5" count="1" selected="0">
            <x v="3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14">
      <pivotArea dataOnly="0" labelOnly="1" outline="0" fieldPosition="0">
        <references count="11">
          <reference field="0" count="1" selected="0">
            <x v="14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61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613">
      <pivotArea dataOnly="0" labelOnly="1" outline="0" fieldPosition="0">
        <references count="11">
          <reference field="0" count="1" selected="0">
            <x v="14"/>
          </reference>
          <reference field="1" count="1">
            <x v="7306"/>
          </reference>
          <reference field="3" count="1" selected="0">
            <x v="7529"/>
          </reference>
          <reference field="5" count="1" selected="0">
            <x v="385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612">
      <pivotArea dataOnly="0" labelOnly="1" outline="0" fieldPosition="0">
        <references count="11">
          <reference field="0" count="1" selected="0">
            <x v="14"/>
          </reference>
          <reference field="1" count="1">
            <x v="7679"/>
          </reference>
          <reference field="3" count="1" selected="0">
            <x v="7895"/>
          </reference>
          <reference field="5" count="1" selected="0">
            <x v="68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611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708"/>
          </reference>
          <reference field="5" count="1" selected="0">
            <x v="4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610">
      <pivotArea dataOnly="0" labelOnly="1" outline="0" fieldPosition="0">
        <references count="11">
          <reference field="0" count="1" selected="0">
            <x v="14"/>
          </reference>
          <reference field="1" count="1">
            <x v="7764"/>
          </reference>
          <reference field="3" count="1" selected="0">
            <x v="2"/>
          </reference>
          <reference field="5" count="1" selected="0">
            <x v="78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609">
      <pivotArea dataOnly="0" labelOnly="1" outline="0" fieldPosition="0">
        <references count="11">
          <reference field="0" count="1" selected="0">
            <x v="15"/>
          </reference>
          <reference field="1" count="1">
            <x v="7625"/>
          </reference>
          <reference field="3" count="1" selected="0">
            <x v="7798"/>
          </reference>
          <reference field="5" count="1" selected="0">
            <x v="77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608">
      <pivotArea dataOnly="0" labelOnly="1" outline="0" fieldPosition="0">
        <references count="11">
          <reference field="0" count="1" selected="0">
            <x v="15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27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607">
      <pivotArea outline="0" collapsedLevelsAreSubtotals="1" fieldPosition="0"/>
    </format>
    <format dxfId="3606">
      <pivotArea dataOnly="0" labelOnly="1" outline="0" axis="axisValues" fieldPosition="0"/>
    </format>
    <format dxfId="3605">
      <pivotArea dataOnly="0" outline="0" fieldPosition="0">
        <references count="1">
          <reference field="12" count="0" defaultSubtotal="1"/>
        </references>
      </pivotArea>
    </format>
    <format dxfId="3604">
      <pivotArea outline="0" collapsedLevelsAreSubtotals="1" fieldPosition="0"/>
    </format>
    <format dxfId="3603">
      <pivotArea dataOnly="0" labelOnly="1" outline="0" axis="axisValues" fieldPosition="0"/>
    </format>
    <format dxfId="3602">
      <pivotArea outline="0" collapsedLevelsAreSubtotals="1" fieldPosition="0"/>
    </format>
    <format dxfId="3601">
      <pivotArea dataOnly="0" labelOnly="1" outline="0" axis="axisValues" fieldPosition="0"/>
    </format>
    <format dxfId="3600">
      <pivotArea dataOnly="0" labelOnly="1" outline="0" axis="axisValues" fieldPosition="0"/>
    </format>
    <format dxfId="3599">
      <pivotArea outline="0" collapsedLevelsAreSubtotals="1" fieldPosition="0"/>
    </format>
    <format dxfId="3598">
      <pivotArea field="12" type="button" dataOnly="0" labelOnly="1" outline="0" axis="axisRow" fieldPosition="2"/>
    </format>
    <format dxfId="3597">
      <pivotArea field="10" type="button" dataOnly="0" labelOnly="1" outline="0" axis="axisRow" fieldPosition="3"/>
    </format>
    <format dxfId="3596">
      <pivotArea field="16" type="button" dataOnly="0" labelOnly="1" outline="0" axis="axisRow" fieldPosition="4"/>
    </format>
    <format dxfId="3595">
      <pivotArea field="18" type="button" dataOnly="0" labelOnly="1" outline="0" axis="axisRow" fieldPosition="5"/>
    </format>
    <format dxfId="3594">
      <pivotArea field="5" type="button" dataOnly="0" labelOnly="1" outline="0" axis="axisRow" fieldPosition="6"/>
    </format>
    <format dxfId="3593">
      <pivotArea field="9" type="button" dataOnly="0" labelOnly="1" outline="0" axis="axisRow" fieldPosition="7"/>
    </format>
    <format dxfId="3592">
      <pivotArea field="3" type="button" dataOnly="0" labelOnly="1" outline="0" axis="axisRow" fieldPosition="8"/>
    </format>
    <format dxfId="3591">
      <pivotArea field="7" type="button" dataOnly="0" labelOnly="1" outline="0" axis="axisRow" fieldPosition="9"/>
    </format>
    <format dxfId="3590">
      <pivotArea field="1" type="button" dataOnly="0" labelOnly="1" outline="0" axis="axisRow" fieldPosition="10"/>
    </format>
    <format dxfId="3589">
      <pivotArea dataOnly="0" labelOnly="1" outline="0" axis="axisValues" fieldPosition="0"/>
    </format>
    <format dxfId="3588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358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358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58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58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58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58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58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580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3579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357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57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5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357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57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7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72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7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5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56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5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5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5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565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5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5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56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5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5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35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5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5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5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55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55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553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5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5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4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5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5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5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5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52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5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52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5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35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5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35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5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5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35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09"/>
          </reference>
        </references>
      </pivotArea>
    </format>
    <format dxfId="3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3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3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3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3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3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09"/>
          </reference>
        </references>
      </pivotArea>
    </format>
    <format dxfId="3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114"/>
          </reference>
        </references>
      </pivotArea>
    </format>
    <format dxfId="3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3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4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34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42"/>
          </reference>
        </references>
      </pivotArea>
    </format>
    <format dxfId="3493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92">
      <pivotArea dataOnly="0" labelOnly="1" outline="0" fieldPosition="0">
        <references count="7">
          <reference field="0" count="1" selected="0">
            <x v="7"/>
          </reference>
          <reference field="5" count="1">
            <x v="213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491">
      <pivotArea dataOnly="0" labelOnly="1" outline="0" fieldPosition="0">
        <references count="7">
          <reference field="0" count="1" selected="0">
            <x v="12"/>
          </reference>
          <reference field="5" count="1">
            <x v="787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90">
      <pivotArea dataOnly="0" labelOnly="1" outline="0" fieldPosition="0">
        <references count="7">
          <reference field="0" count="1" selected="0">
            <x v="13"/>
          </reference>
          <reference field="5" count="1">
            <x v="76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489">
      <pivotArea dataOnly="0" labelOnly="1" outline="0" fieldPosition="0">
        <references count="7">
          <reference field="0" count="1" selected="0">
            <x v="13"/>
          </reference>
          <reference field="5" count="1">
            <x v="4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88">
      <pivotArea dataOnly="0" labelOnly="1" outline="0" fieldPosition="0">
        <references count="7">
          <reference field="0" count="1" selected="0">
            <x v="13"/>
          </reference>
          <reference field="5" count="1">
            <x v="7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87">
      <pivotArea dataOnly="0" labelOnly="1" outline="0" fieldPosition="0">
        <references count="7">
          <reference field="0" count="1" selected="0">
            <x v="13"/>
          </reference>
          <reference field="5" count="1">
            <x v="74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486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85">
      <pivotArea dataOnly="0" labelOnly="1" outline="0" fieldPosition="0">
        <references count="7">
          <reference field="0" count="1" selected="0">
            <x v="13"/>
          </reference>
          <reference field="5" count="2">
            <x v="2593"/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484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83">
      <pivotArea dataOnly="0" labelOnly="1" outline="0" fieldPosition="0">
        <references count="7">
          <reference field="0" count="1" selected="0">
            <x v="14"/>
          </reference>
          <reference field="5" count="1">
            <x v="347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82">
      <pivotArea dataOnly="0" labelOnly="1" outline="0" fieldPosition="0">
        <references count="7">
          <reference field="0" count="1" selected="0">
            <x v="14"/>
          </reference>
          <reference field="5" count="1">
            <x v="777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81">
      <pivotArea dataOnly="0" labelOnly="1" outline="0" fieldPosition="0">
        <references count="7">
          <reference field="0" count="1" selected="0">
            <x v="14"/>
          </reference>
          <reference field="5" count="1">
            <x v="787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480">
      <pivotArea dataOnly="0" labelOnly="1" outline="0" fieldPosition="0">
        <references count="7">
          <reference field="0" count="1" selected="0">
            <x v="14"/>
          </reference>
          <reference field="5" count="1">
            <x v="786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09"/>
          </reference>
        </references>
      </pivotArea>
    </format>
    <format dxfId="3479">
      <pivotArea dataOnly="0" labelOnly="1" outline="0" fieldPosition="0">
        <references count="7">
          <reference field="0" count="1" selected="0">
            <x v="14"/>
          </reference>
          <reference field="5" count="1">
            <x v="343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478">
      <pivotArea dataOnly="0" labelOnly="1" outline="0" fieldPosition="0">
        <references count="7">
          <reference field="0" count="1" selected="0">
            <x v="14"/>
          </reference>
          <reference field="5" count="1">
            <x v="7247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477">
      <pivotArea dataOnly="0" labelOnly="1" outline="0" fieldPosition="0">
        <references count="7">
          <reference field="0" count="1" selected="0">
            <x v="14"/>
          </reference>
          <reference field="5" count="1">
            <x v="786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476">
      <pivotArea dataOnly="0" labelOnly="1" outline="0" fieldPosition="0">
        <references count="7">
          <reference field="0" count="1" selected="0">
            <x v="14"/>
          </reference>
          <reference field="5" count="1">
            <x v="614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475">
      <pivotArea dataOnly="0" labelOnly="1" outline="0" fieldPosition="0">
        <references count="7">
          <reference field="0" count="1" selected="0">
            <x v="14"/>
          </reference>
          <reference field="5" count="1">
            <x v="272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474">
      <pivotArea dataOnly="0" labelOnly="1" outline="0" fieldPosition="0">
        <references count="7">
          <reference field="0" count="1" selected="0">
            <x v="14"/>
          </reference>
          <reference field="5" count="1">
            <x v="3855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473">
      <pivotArea dataOnly="0" labelOnly="1" outline="0" fieldPosition="0">
        <references count="7">
          <reference field="0" count="1" selected="0">
            <x v="14"/>
          </reference>
          <reference field="5" count="1">
            <x v="7786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472">
      <pivotArea dataOnly="0" labelOnly="1" outline="0" fieldPosition="0">
        <references count="7">
          <reference field="0" count="1" selected="0">
            <x v="14"/>
          </reference>
          <reference field="5" count="1">
            <x v="3988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471">
      <pivotArea dataOnly="0" labelOnly="1" outline="0" fieldPosition="0">
        <references count="7">
          <reference field="0" count="1" selected="0">
            <x v="14"/>
          </reference>
          <reference field="5" count="1">
            <x v="7870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470">
      <pivotArea dataOnly="0" labelOnly="1" outline="0" fieldPosition="0">
        <references count="7">
          <reference field="0" count="1" selected="0">
            <x v="14"/>
          </reference>
          <reference field="5" count="1">
            <x v="6890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469">
      <pivotArea dataOnly="0" labelOnly="1" outline="0" fieldPosition="0">
        <references count="7">
          <reference field="0" count="1" selected="0">
            <x v="14"/>
          </reference>
          <reference field="5" count="2">
            <x v="5943"/>
            <x v="656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468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467">
      <pivotArea dataOnly="0" labelOnly="1" outline="0" fieldPosition="0">
        <references count="7">
          <reference field="0" count="1" selected="0">
            <x v="14"/>
          </reference>
          <reference field="5" count="1">
            <x v="786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466">
      <pivotArea dataOnly="0" labelOnly="1" outline="0" fieldPosition="0">
        <references count="7">
          <reference field="0" count="1" selected="0">
            <x v="15"/>
          </reference>
          <reference field="5" count="1">
            <x v="19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65">
      <pivotArea dataOnly="0" labelOnly="1" outline="0" fieldPosition="0">
        <references count="7">
          <reference field="0" count="1" selected="0">
            <x v="15"/>
          </reference>
          <reference field="5" count="1">
            <x v="77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4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46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7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4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4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4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09"/>
          </reference>
        </references>
      </pivotArea>
    </format>
    <format dxfId="34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3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4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4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4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4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4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4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9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4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4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4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4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53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4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44">
      <pivotArea dataOnly="0" labelOnly="1" outline="0" fieldPosition="0">
        <references count="9">
          <reference field="0" count="1" selected="0">
            <x v="7"/>
          </reference>
          <reference field="3" count="1">
            <x v="7333"/>
          </reference>
          <reference field="5" count="1" selected="0">
            <x v="21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44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7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4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441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34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40">
      <pivotArea dataOnly="0" labelOnly="1" outline="0" fieldPosition="0">
        <references count="9">
          <reference field="0" count="1" selected="0">
            <x v="14"/>
          </reference>
          <reference field="3" count="1">
            <x v="7709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438">
      <pivotArea dataOnly="0" labelOnly="1" outline="0" fieldPosition="0">
        <references count="9">
          <reference field="0" count="1" selected="0">
            <x v="14"/>
          </reference>
          <reference field="3" count="1">
            <x v="7894"/>
          </reference>
          <reference field="5" count="1" selected="0">
            <x v="78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09"/>
          </reference>
        </references>
      </pivotArea>
    </format>
    <format dxfId="3437">
      <pivotArea dataOnly="0" labelOnly="1" outline="0" fieldPosition="0">
        <references count="9">
          <reference field="0" count="1" selected="0">
            <x v="14"/>
          </reference>
          <reference field="3" count="1">
            <x v="7898"/>
          </reference>
          <reference field="5" count="1" selected="0">
            <x v="343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43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4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43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4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434">
      <pivotArea dataOnly="0" labelOnly="1" outline="0" fieldPosition="0">
        <references count="9">
          <reference field="0" count="1" selected="0">
            <x v="14"/>
          </reference>
          <reference field="3" count="1">
            <x v="7897"/>
          </reference>
          <reference field="5" count="1" selected="0">
            <x v="27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433">
      <pivotArea dataOnly="0" labelOnly="1" outline="0" fieldPosition="0">
        <references count="9">
          <reference field="0" count="1" selected="0">
            <x v="14"/>
          </reference>
          <reference field="3" count="1">
            <x v="7529"/>
          </reference>
          <reference field="5" count="1" selected="0">
            <x v="3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43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431">
      <pivotArea dataOnly="0" labelOnly="1" outline="0" fieldPosition="0">
        <references count="9">
          <reference field="0" count="1" selected="0">
            <x v="14"/>
          </reference>
          <reference field="3" count="1">
            <x v="7750"/>
          </reference>
          <reference field="5" count="1" selected="0">
            <x v="398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43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429">
      <pivotArea dataOnly="0" labelOnly="1" outline="0" fieldPosition="0">
        <references count="9">
          <reference field="0" count="1" selected="0">
            <x v="14"/>
          </reference>
          <reference field="3" count="1">
            <x v="7895"/>
          </reference>
          <reference field="5" count="1" selected="0">
            <x v="68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428">
      <pivotArea dataOnly="0" labelOnly="1" outline="0" fieldPosition="0">
        <references count="9">
          <reference field="0" count="1" selected="0">
            <x v="14"/>
          </reference>
          <reference field="3" count="1">
            <x v="7710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427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426">
      <pivotArea dataOnly="0" labelOnly="1" outline="0" fieldPosition="0">
        <references count="9">
          <reference field="0" count="1" selected="0">
            <x v="14"/>
          </reference>
          <reference field="3" count="1">
            <x v="7708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4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424">
      <pivotArea dataOnly="0" labelOnly="1" outline="0" fieldPosition="0">
        <references count="9">
          <reference field="0" count="1" selected="0">
            <x v="15"/>
          </reference>
          <reference field="3" count="1">
            <x v="7803"/>
          </reference>
          <reference field="5" count="1" selected="0">
            <x v="19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23">
      <pivotArea dataOnly="0" labelOnly="1" outline="0" fieldPosition="0">
        <references count="9">
          <reference field="0" count="1" selected="0">
            <x v="15"/>
          </reference>
          <reference field="3" count="1">
            <x v="7798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4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3"/>
          </reference>
          <reference field="5" count="1" selected="0">
            <x v="21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42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1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4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3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9"/>
          </reference>
          <reference field="5" count="1" selected="0">
            <x v="7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4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4"/>
          </reference>
          <reference field="5" count="1" selected="0">
            <x v="78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09"/>
          </reference>
        </references>
      </pivotArea>
    </format>
    <format dxfId="34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8"/>
          </reference>
          <reference field="5" count="1" selected="0">
            <x v="34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4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4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4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7"/>
          </reference>
          <reference field="5" count="1" selected="0">
            <x v="27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4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9"/>
          </reference>
          <reference field="5" count="1" selected="0">
            <x v="38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4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4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0"/>
          </reference>
          <reference field="5" count="1" selected="0">
            <x v="39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4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4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5"/>
          </reference>
          <reference field="5" count="1" selected="0">
            <x v="68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4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0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4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4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3"/>
          </reference>
          <reference field="5" count="1" selected="0">
            <x v="19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02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61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01">
      <pivotArea dataOnly="0" labelOnly="1" outline="0" fieldPosition="0">
        <references count="11">
          <reference field="0" count="1" selected="0">
            <x v="7"/>
          </reference>
          <reference field="1" count="1">
            <x v="7699"/>
          </reference>
          <reference field="3" count="1" selected="0">
            <x v="7333"/>
          </reference>
          <reference field="5" count="1" selected="0">
            <x v="21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400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46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99">
      <pivotArea dataOnly="0" labelOnly="1" outline="0" fieldPosition="0">
        <references count="11">
          <reference field="0" count="1" selected="0">
            <x v="13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74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398">
      <pivotArea dataOnly="0" labelOnly="1" outline="0" fieldPosition="0">
        <references count="11">
          <reference field="0" count="1" selected="0">
            <x v="13"/>
          </reference>
          <reference field="1" count="1">
            <x v="7693"/>
          </reference>
          <reference field="3" count="1" selected="0">
            <x v="0"/>
          </reference>
          <reference field="5" count="1" selected="0">
            <x v="55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97">
      <pivotArea dataOnly="0" labelOnly="1" outline="0" fieldPosition="0">
        <references count="11">
          <reference field="0" count="1" selected="0">
            <x v="13"/>
          </reference>
          <reference field="1" count="1">
            <x v="7630"/>
          </reference>
          <reference field="3" count="1" selected="0">
            <x v="0"/>
          </reference>
          <reference field="5" count="1" selected="0">
            <x v="554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96">
      <pivotArea dataOnly="0" labelOnly="1" outline="0" fieldPosition="0">
        <references count="11">
          <reference field="0" count="1" selected="0">
            <x v="13"/>
          </reference>
          <reference field="1" count="1">
            <x v="7756"/>
          </reference>
          <reference field="3" count="1" selected="0">
            <x v="0"/>
          </reference>
          <reference field="5" count="1" selected="0">
            <x v="3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95">
      <pivotArea dataOnly="0" labelOnly="1" outline="0" fieldPosition="0">
        <references count="11">
          <reference field="0" count="1" selected="0">
            <x v="14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61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94">
      <pivotArea dataOnly="0" labelOnly="1" outline="0" fieldPosition="0">
        <references count="11">
          <reference field="0" count="1" selected="0">
            <x v="14"/>
          </reference>
          <reference field="1" count="1">
            <x v="7306"/>
          </reference>
          <reference field="3" count="1" selected="0">
            <x v="7529"/>
          </reference>
          <reference field="5" count="1" selected="0">
            <x v="385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393">
      <pivotArea dataOnly="0" labelOnly="1" outline="0" fieldPosition="0">
        <references count="11">
          <reference field="0" count="1" selected="0">
            <x v="14"/>
          </reference>
          <reference field="1" count="1">
            <x v="7679"/>
          </reference>
          <reference field="3" count="1" selected="0">
            <x v="7895"/>
          </reference>
          <reference field="5" count="1" selected="0">
            <x v="68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392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708"/>
          </reference>
          <reference field="5" count="1" selected="0">
            <x v="4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391">
      <pivotArea dataOnly="0" labelOnly="1" outline="0" fieldPosition="0">
        <references count="11">
          <reference field="0" count="1" selected="0">
            <x v="14"/>
          </reference>
          <reference field="1" count="1">
            <x v="7764"/>
          </reference>
          <reference field="3" count="1" selected="0">
            <x v="2"/>
          </reference>
          <reference field="5" count="1" selected="0">
            <x v="78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390">
      <pivotArea dataOnly="0" labelOnly="1" outline="0" fieldPosition="0">
        <references count="11">
          <reference field="0" count="1" selected="0">
            <x v="15"/>
          </reference>
          <reference field="1" count="1">
            <x v="7625"/>
          </reference>
          <reference field="3" count="1" selected="0">
            <x v="7798"/>
          </reference>
          <reference field="5" count="1" selected="0">
            <x v="77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389">
      <pivotArea outline="0" collapsedLevelsAreSubtotals="1" fieldPosition="0"/>
    </format>
    <format dxfId="3388">
      <pivotArea dataOnly="0" labelOnly="1" outline="0" axis="axisValues" fieldPosition="0"/>
    </format>
    <format dxfId="3387">
      <pivotArea dataOnly="0" outline="0" fieldPosition="0">
        <references count="1">
          <reference field="12" count="0" defaultSubtotal="1"/>
        </references>
      </pivotArea>
    </format>
    <format dxfId="3386">
      <pivotArea outline="0" collapsedLevelsAreSubtotals="1" fieldPosition="0"/>
    </format>
    <format dxfId="3385">
      <pivotArea dataOnly="0" labelOnly="1" outline="0" axis="axisValues" fieldPosition="0"/>
    </format>
    <format dxfId="3384">
      <pivotArea outline="0" collapsedLevelsAreSubtotals="1" fieldPosition="0"/>
    </format>
    <format dxfId="3383">
      <pivotArea dataOnly="0" labelOnly="1" outline="0" axis="axisValues" fieldPosition="0"/>
    </format>
    <format dxfId="3382">
      <pivotArea dataOnly="0" labelOnly="1" outline="0" axis="axisValues" fieldPosition="0"/>
    </format>
    <format dxfId="3381">
      <pivotArea outline="0" collapsedLevelsAreSubtotals="1" fieldPosition="0"/>
    </format>
    <format dxfId="3380">
      <pivotArea field="12" type="button" dataOnly="0" labelOnly="1" outline="0" axis="axisRow" fieldPosition="2"/>
    </format>
    <format dxfId="3379">
      <pivotArea field="10" type="button" dataOnly="0" labelOnly="1" outline="0" axis="axisRow" fieldPosition="3"/>
    </format>
    <format dxfId="3378">
      <pivotArea field="16" type="button" dataOnly="0" labelOnly="1" outline="0" axis="axisRow" fieldPosition="4"/>
    </format>
    <format dxfId="3377">
      <pivotArea field="18" type="button" dataOnly="0" labelOnly="1" outline="0" axis="axisRow" fieldPosition="5"/>
    </format>
    <format dxfId="3376">
      <pivotArea field="5" type="button" dataOnly="0" labelOnly="1" outline="0" axis="axisRow" fieldPosition="6"/>
    </format>
    <format dxfId="3375">
      <pivotArea field="9" type="button" dataOnly="0" labelOnly="1" outline="0" axis="axisRow" fieldPosition="7"/>
    </format>
    <format dxfId="3374">
      <pivotArea field="3" type="button" dataOnly="0" labelOnly="1" outline="0" axis="axisRow" fieldPosition="8"/>
    </format>
    <format dxfId="3373">
      <pivotArea field="7" type="button" dataOnly="0" labelOnly="1" outline="0" axis="axisRow" fieldPosition="9"/>
    </format>
    <format dxfId="3372">
      <pivotArea field="1" type="button" dataOnly="0" labelOnly="1" outline="0" axis="axisRow" fieldPosition="10"/>
    </format>
    <format dxfId="3371">
      <pivotArea dataOnly="0" labelOnly="1" outline="0" axis="axisValues" fieldPosition="0"/>
    </format>
    <format dxfId="3370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336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336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36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366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336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336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36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36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36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360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359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35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35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35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35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35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1"/>
            <x v="15"/>
            <x v="17"/>
            <x v="18"/>
            <x v="21"/>
            <x v="23"/>
            <x v="28"/>
            <x v="30"/>
            <x v="35"/>
          </reference>
          <reference field="13" count="1" selected="0">
            <x v="2"/>
          </reference>
        </references>
      </pivotArea>
    </format>
    <format dxfId="335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1"/>
            <x v="15"/>
            <x v="17"/>
            <x v="18"/>
            <x v="21"/>
            <x v="23"/>
            <x v="28"/>
            <x v="30"/>
            <x v="35"/>
          </reference>
          <reference field="13" count="1" selected="0">
            <x v="2"/>
          </reference>
        </references>
      </pivotArea>
    </format>
    <format dxfId="335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35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35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3349">
      <pivotArea dataOnly="0" labelOnly="1" outline="0" fieldPosition="0">
        <references count="4">
          <reference field="0" count="1" selected="0">
            <x v="13"/>
          </reference>
          <reference field="10" count="1">
            <x v="9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3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3347">
      <pivotArea dataOnly="0" labelOnly="1" outline="0" fieldPosition="0">
        <references count="4">
          <reference field="0" count="1" selected="0">
            <x v="15"/>
          </reference>
          <reference field="10" count="1">
            <x v="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34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34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34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34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34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34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34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33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33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3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3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3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33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332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3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3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3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3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32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3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3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3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3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332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32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331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33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331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33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31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331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331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31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31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331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30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30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30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3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3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3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3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33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33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32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32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32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32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32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32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32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32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329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2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32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3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32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45"/>
          </reference>
        </references>
      </pivotArea>
    </format>
    <format dxfId="32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328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328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9"/>
          </reference>
        </references>
      </pivotArea>
    </format>
    <format dxfId="328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28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5"/>
            <x v="59"/>
            <x v="109"/>
          </reference>
        </references>
      </pivotArea>
    </format>
    <format dxfId="328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4"/>
            <x v="88"/>
          </reference>
        </references>
      </pivotArea>
    </format>
    <format dxfId="328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327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6"/>
          </reference>
        </references>
      </pivotArea>
    </format>
    <format dxfId="327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8"/>
            <x v="35"/>
            <x v="39"/>
            <x v="63"/>
          </reference>
        </references>
      </pivotArea>
    </format>
    <format dxfId="32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32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2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32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2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2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32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32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3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3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3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3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3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3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3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3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32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32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32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3"/>
            <x v="36"/>
            <x v="39"/>
            <x v="41"/>
            <x v="42"/>
            <x v="58"/>
          </reference>
        </references>
      </pivotArea>
    </format>
    <format dxfId="32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4"/>
            <x v="45"/>
            <x v="78"/>
          </reference>
        </references>
      </pivotArea>
    </format>
    <format dxfId="32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5"/>
          </reference>
        </references>
      </pivotArea>
    </format>
    <format dxfId="3251">
      <pivotArea dataOnly="0" labelOnly="1" outline="0" fieldPosition="0">
        <references count="7">
          <reference field="0" count="1" selected="0">
            <x v="7"/>
          </reference>
          <reference field="5" count="1">
            <x v="7885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3250">
      <pivotArea dataOnly="0" labelOnly="1" outline="0" fieldPosition="0">
        <references count="7">
          <reference field="0" count="1" selected="0">
            <x v="13"/>
          </reference>
          <reference field="5" count="1">
            <x v="7882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3249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248">
      <pivotArea dataOnly="0" labelOnly="1" outline="0" fieldPosition="0">
        <references count="7">
          <reference field="0" count="1" selected="0">
            <x v="7"/>
          </reference>
          <reference field="5" count="1">
            <x v="213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247">
      <pivotArea dataOnly="0" labelOnly="1" outline="0" fieldPosition="0">
        <references count="7">
          <reference field="0" count="1" selected="0">
            <x v="10"/>
          </reference>
          <reference field="5" count="1">
            <x v="707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246">
      <pivotArea dataOnly="0" labelOnly="1" outline="0" fieldPosition="0">
        <references count="7">
          <reference field="0" count="1" selected="0">
            <x v="10"/>
          </reference>
          <reference field="5" count="1">
            <x v="737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245">
      <pivotArea dataOnly="0" labelOnly="1" outline="0" fieldPosition="0">
        <references count="7">
          <reference field="0" count="1" selected="0">
            <x v="10"/>
          </reference>
          <reference field="5" count="1">
            <x v="464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244">
      <pivotArea dataOnly="0" labelOnly="1" outline="0" fieldPosition="0">
        <references count="7">
          <reference field="0" count="1" selected="0">
            <x v="10"/>
          </reference>
          <reference field="5" count="1">
            <x v="571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3243">
      <pivotArea dataOnly="0" labelOnly="1" outline="0" fieldPosition="0">
        <references count="7">
          <reference field="0" count="1" selected="0">
            <x v="10"/>
          </reference>
          <reference field="5" count="1">
            <x v="499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242">
      <pivotArea dataOnly="0" labelOnly="1" outline="0" fieldPosition="0">
        <references count="7">
          <reference field="0" count="1" selected="0">
            <x v="10"/>
          </reference>
          <reference field="5" count="1">
            <x v="195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241">
      <pivotArea dataOnly="0" labelOnly="1" outline="0" fieldPosition="0">
        <references count="7">
          <reference field="0" count="1" selected="0">
            <x v="12"/>
          </reference>
          <reference field="5" count="1">
            <x v="788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240">
      <pivotArea dataOnly="0" labelOnly="1" outline="0" fieldPosition="0">
        <references count="7">
          <reference field="0" count="1" selected="0">
            <x v="12"/>
          </reference>
          <reference field="5" count="1">
            <x v="57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239">
      <pivotArea dataOnly="0" labelOnly="1" outline="0" fieldPosition="0">
        <references count="7">
          <reference field="0" count="1" selected="0">
            <x v="12"/>
          </reference>
          <reference field="5" count="1">
            <x v="78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238">
      <pivotArea dataOnly="0" labelOnly="1" outline="0" fieldPosition="0">
        <references count="7">
          <reference field="0" count="1" selected="0">
            <x v="13"/>
          </reference>
          <reference field="5" count="1">
            <x v="76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237">
      <pivotArea dataOnly="0" labelOnly="1" outline="0" fieldPosition="0">
        <references count="7">
          <reference field="0" count="1" selected="0">
            <x v="13"/>
          </reference>
          <reference field="5" count="1">
            <x v="4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236">
      <pivotArea dataOnly="0" labelOnly="1" outline="0" fieldPosition="0">
        <references count="7">
          <reference field="0" count="1" selected="0">
            <x v="13"/>
          </reference>
          <reference field="5" count="1">
            <x v="7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235">
      <pivotArea dataOnly="0" labelOnly="1" outline="0" fieldPosition="0">
        <references count="7">
          <reference field="0" count="1" selected="0">
            <x v="13"/>
          </reference>
          <reference field="5" count="1">
            <x v="74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234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233">
      <pivotArea dataOnly="0" labelOnly="1" outline="0" fieldPosition="0">
        <references count="7">
          <reference field="0" count="1" selected="0">
            <x v="13"/>
          </reference>
          <reference field="5" count="2">
            <x v="2593"/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232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231">
      <pivotArea dataOnly="0" labelOnly="1" outline="0" fieldPosition="0">
        <references count="7">
          <reference field="0" count="1" selected="0">
            <x v="14"/>
          </reference>
          <reference field="5" count="1">
            <x v="777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230">
      <pivotArea dataOnly="0" labelOnly="1" outline="0" fieldPosition="0">
        <references count="7">
          <reference field="0" count="1" selected="0">
            <x v="14"/>
          </reference>
          <reference field="5" count="1">
            <x v="786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229">
      <pivotArea dataOnly="0" labelOnly="1" outline="0" fieldPosition="0">
        <references count="7">
          <reference field="0" count="1" selected="0">
            <x v="14"/>
          </reference>
          <reference field="5" count="1">
            <x v="788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228">
      <pivotArea dataOnly="0" labelOnly="1" outline="0" fieldPosition="0">
        <references count="7">
          <reference field="0" count="1" selected="0">
            <x v="14"/>
          </reference>
          <reference field="5" count="1">
            <x v="614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227">
      <pivotArea dataOnly="0" labelOnly="1" outline="0" fieldPosition="0">
        <references count="7">
          <reference field="0" count="1" selected="0">
            <x v="14"/>
          </reference>
          <reference field="5" count="1">
            <x v="171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226">
      <pivotArea dataOnly="0" labelOnly="1" outline="0" fieldPosition="0">
        <references count="7">
          <reference field="0" count="1" selected="0">
            <x v="14"/>
          </reference>
          <reference field="5" count="1">
            <x v="788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225">
      <pivotArea dataOnly="0" labelOnly="1" outline="0" fieldPosition="0">
        <references count="7">
          <reference field="0" count="1" selected="0">
            <x v="14"/>
          </reference>
          <reference field="5" count="1">
            <x v="3475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224">
      <pivotArea dataOnly="0" labelOnly="1" outline="0" fieldPosition="0">
        <references count="7">
          <reference field="0" count="1" selected="0">
            <x v="14"/>
          </reference>
          <reference field="5" count="1">
            <x v="440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223">
      <pivotArea dataOnly="0" labelOnly="1" outline="0" fieldPosition="0">
        <references count="7">
          <reference field="0" count="1" selected="0">
            <x v="14"/>
          </reference>
          <reference field="5" count="1">
            <x v="7879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3222">
      <pivotArea dataOnly="0" labelOnly="1" outline="0" fieldPosition="0">
        <references count="7">
          <reference field="0" count="1" selected="0">
            <x v="14"/>
          </reference>
          <reference field="5" count="2">
            <x v="5943"/>
            <x v="656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221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3220">
      <pivotArea dataOnly="0" labelOnly="1" outline="0" fieldPosition="0">
        <references count="7">
          <reference field="0" count="1" selected="0">
            <x v="15"/>
          </reference>
          <reference field="5" count="1">
            <x v="19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219">
      <pivotArea dataOnly="0" labelOnly="1" outline="0" fieldPosition="0">
        <references count="7">
          <reference field="0" count="1" selected="0">
            <x v="15"/>
          </reference>
          <reference field="5" count="2">
            <x v="7865"/>
            <x v="78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218">
      <pivotArea dataOnly="0" labelOnly="1" outline="0" fieldPosition="0">
        <references count="7">
          <reference field="0" count="1" selected="0">
            <x v="15"/>
          </reference>
          <reference field="5" count="1">
            <x v="77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217">
      <pivotArea dataOnly="0" labelOnly="1" outline="0" fieldPosition="0">
        <references count="7">
          <reference field="0" count="1" selected="0">
            <x v="15"/>
          </reference>
          <reference field="5" count="1"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3216">
      <pivotArea dataOnly="0" labelOnly="1" outline="0" fieldPosition="0">
        <references count="7">
          <reference field="0" count="1" selected="0">
            <x v="15"/>
          </reference>
          <reference field="5" count="1">
            <x v="787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3215">
      <pivotArea dataOnly="0" labelOnly="1" outline="0" fieldPosition="0">
        <references count="7">
          <reference field="0" count="1" selected="0">
            <x v="15"/>
          </reference>
          <reference field="5" count="1">
            <x v="78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8"/>
          </reference>
        </references>
      </pivotArea>
    </format>
    <format dxfId="3214">
      <pivotArea dataOnly="0" labelOnly="1" outline="0" fieldPosition="0">
        <references count="7">
          <reference field="0" count="1" selected="0">
            <x v="15"/>
          </reference>
          <reference field="5" count="1">
            <x v="787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32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8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32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82"/>
          </reference>
          <reference field="9" count="1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32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2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20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3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20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20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83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20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7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2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20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2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2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2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2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1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1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1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1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1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0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1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31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1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19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3191">
      <pivotArea dataOnly="0" labelOnly="1" outline="0" fieldPosition="0">
        <references count="9">
          <reference field="0" count="1" selected="0">
            <x v="7"/>
          </reference>
          <reference field="3" count="1">
            <x v="7549"/>
          </reference>
          <reference field="5" count="1" selected="0">
            <x v="788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319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82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31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188">
      <pivotArea dataOnly="0" labelOnly="1" outline="0" fieldPosition="0">
        <references count="9">
          <reference field="0" count="1" selected="0">
            <x v="7"/>
          </reference>
          <reference field="3" count="1">
            <x v="7333"/>
          </reference>
          <reference field="5" count="1" selected="0">
            <x v="21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187">
      <pivotArea dataOnly="0" labelOnly="1" outline="0" fieldPosition="0">
        <references count="9">
          <reference field="0" count="1" selected="0">
            <x v="10"/>
          </reference>
          <reference field="3" count="1">
            <x v="7904"/>
          </reference>
          <reference field="5" count="1" selected="0">
            <x v="70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186">
      <pivotArea dataOnly="0" labelOnly="1" outline="0" fieldPosition="0">
        <references count="9">
          <reference field="0" count="1" selected="0">
            <x v="10"/>
          </reference>
          <reference field="3" count="1">
            <x v="7793"/>
          </reference>
          <reference field="5" count="1" selected="0">
            <x v="73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85">
      <pivotArea dataOnly="0" labelOnly="1" outline="0" fieldPosition="0">
        <references count="9">
          <reference field="0" count="1" selected="0">
            <x v="10"/>
          </reference>
          <reference field="3" count="1">
            <x v="7827"/>
          </reference>
          <reference field="5" count="1" selected="0">
            <x v="46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184">
      <pivotArea dataOnly="0" labelOnly="1" outline="0" fieldPosition="0">
        <references count="9">
          <reference field="0" count="1" selected="0">
            <x v="10"/>
          </reference>
          <reference field="3" count="1">
            <x v="7828"/>
          </reference>
          <reference field="5" count="1" selected="0">
            <x v="57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3183">
      <pivotArea dataOnly="0" labelOnly="1" outline="0" fieldPosition="0">
        <references count="9">
          <reference field="0" count="1" selected="0">
            <x v="10"/>
          </reference>
          <reference field="3" count="1">
            <x v="7788"/>
          </reference>
          <reference field="5" count="1" selected="0">
            <x v="49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182">
      <pivotArea dataOnly="0" labelOnly="1" outline="0" fieldPosition="0">
        <references count="9">
          <reference field="0" count="1" selected="0">
            <x v="10"/>
          </reference>
          <reference field="3" count="1">
            <x v="7796"/>
          </reference>
          <reference field="5" count="1" selected="0">
            <x v="19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181">
      <pivotArea dataOnly="0" labelOnly="1" outline="0" fieldPosition="0">
        <references count="9">
          <reference field="0" count="1" selected="0">
            <x v="12"/>
          </reference>
          <reference field="3" count="1">
            <x v="7903"/>
          </reference>
          <reference field="5" count="1" selected="0">
            <x v="7883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18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7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7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178">
      <pivotArea dataOnly="0" labelOnly="1" outline="0" fieldPosition="0">
        <references count="9">
          <reference field="0" count="1" selected="0">
            <x v="14"/>
          </reference>
          <reference field="3" count="1">
            <x v="7709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17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8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17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4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175">
      <pivotArea dataOnly="0" labelOnly="1" outline="0" fieldPosition="0">
        <references count="9">
          <reference field="0" count="1" selected="0">
            <x v="14"/>
          </reference>
          <reference field="3" count="1">
            <x v="7739"/>
          </reference>
          <reference field="5" count="1" selected="0">
            <x v="788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174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34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173">
      <pivotArea dataOnly="0" labelOnly="1" outline="0" fieldPosition="0">
        <references count="9">
          <reference field="0" count="1" selected="0">
            <x v="14"/>
          </reference>
          <reference field="3" count="1">
            <x v="7902"/>
          </reference>
          <reference field="5" count="1" selected="0">
            <x v="78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3172">
      <pivotArea dataOnly="0" labelOnly="1" outline="0" fieldPosition="0">
        <references count="9">
          <reference field="0" count="1" selected="0">
            <x v="14"/>
          </reference>
          <reference field="3" count="1">
            <x v="7710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171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170">
      <pivotArea dataOnly="0" labelOnly="1" outline="0" fieldPosition="0">
        <references count="9">
          <reference field="0" count="1" selected="0">
            <x v="14"/>
          </reference>
          <reference field="3" count="1">
            <x v="7708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3169">
      <pivotArea dataOnly="0" labelOnly="1" outline="0" fieldPosition="0">
        <references count="9">
          <reference field="0" count="1" selected="0">
            <x v="15"/>
          </reference>
          <reference field="3" count="1">
            <x v="7803"/>
          </reference>
          <reference field="5" count="1" selected="0">
            <x v="19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168">
      <pivotArea dataOnly="0" labelOnly="1" outline="0" fieldPosition="0">
        <references count="9">
          <reference field="0" count="1" selected="0">
            <x v="15"/>
          </reference>
          <reference field="3" count="1">
            <x v="7901"/>
          </reference>
          <reference field="5" count="1" selected="0">
            <x v="78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167">
      <pivotArea dataOnly="0" labelOnly="1" outline="0" fieldPosition="0">
        <references count="9">
          <reference field="0" count="1" selected="0">
            <x v="15"/>
          </reference>
          <reference field="3" count="1">
            <x v="7798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16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31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9"/>
          </reference>
          <reference field="5" count="1" selected="0">
            <x v="78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316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31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1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3"/>
          </reference>
          <reference field="5" count="1" selected="0">
            <x v="21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16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93"/>
          </reference>
          <reference field="5" count="1" selected="0">
            <x v="73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6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88"/>
          </reference>
          <reference field="5" count="1" selected="0">
            <x v="49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15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96"/>
          </reference>
          <reference field="5" count="1" selected="0">
            <x v="19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15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03"/>
          </reference>
          <reference field="5" count="1" selected="0">
            <x v="78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15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7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5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1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9"/>
          </reference>
          <reference field="5" count="1" selected="0">
            <x v="7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1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1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1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9"/>
          </reference>
          <reference field="5" count="1" selected="0">
            <x v="788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1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3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1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2"/>
          </reference>
          <reference field="5" count="1" selected="0">
            <x v="78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31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0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1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3"/>
          </reference>
          <reference field="5" count="1" selected="0">
            <x v="19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1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1"/>
          </reference>
          <reference field="5" count="1" selected="0">
            <x v="787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1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8"/>
          </reference>
          <reference field="5" count="1" selected="0">
            <x v="77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1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3144">
      <pivotArea dataOnly="0" labelOnly="1" outline="0" fieldPosition="0">
        <references count="11">
          <reference field="0" count="1" selected="0">
            <x v="7"/>
          </reference>
          <reference field="1" count="1">
            <x v="7777"/>
          </reference>
          <reference field="3" count="1" selected="0">
            <x v="7549"/>
          </reference>
          <reference field="5" count="1" selected="0">
            <x v="78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3143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61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142">
      <pivotArea dataOnly="0" labelOnly="1" outline="0" fieldPosition="0">
        <references count="11">
          <reference field="0" count="1" selected="0">
            <x v="7"/>
          </reference>
          <reference field="1" count="1">
            <x v="7776"/>
          </reference>
          <reference field="3" count="1" selected="0">
            <x v="7333"/>
          </reference>
          <reference field="5" count="1" selected="0">
            <x v="21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141">
      <pivotArea dataOnly="0" labelOnly="1" outline="0" fieldPosition="0">
        <references count="11">
          <reference field="0" count="1" selected="0">
            <x v="10"/>
          </reference>
          <reference field="1" count="1">
            <x v="7774"/>
          </reference>
          <reference field="3" count="1" selected="0">
            <x v="7828"/>
          </reference>
          <reference field="5" count="1" selected="0">
            <x v="57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3140">
      <pivotArea dataOnly="0" labelOnly="1" outline="0" fieldPosition="0">
        <references count="11">
          <reference field="0" count="1" selected="0">
            <x v="10"/>
          </reference>
          <reference field="1" count="1">
            <x v="7618"/>
          </reference>
          <reference field="3" count="1" selected="0">
            <x v="7788"/>
          </reference>
          <reference field="5" count="1" selected="0">
            <x v="49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139">
      <pivotArea dataOnly="0" labelOnly="1" outline="0" fieldPosition="0">
        <references count="11">
          <reference field="0" count="1" selected="0">
            <x v="12"/>
          </reference>
          <reference field="1" count="1">
            <x v="7771"/>
          </reference>
          <reference field="3" count="1" selected="0">
            <x v="7903"/>
          </reference>
          <reference field="5" count="1" selected="0">
            <x v="78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138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46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137">
      <pivotArea dataOnly="0" labelOnly="1" outline="0" fieldPosition="0">
        <references count="11">
          <reference field="0" count="1" selected="0">
            <x v="13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74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136">
      <pivotArea dataOnly="0" labelOnly="1" outline="0" fieldPosition="0">
        <references count="11">
          <reference field="0" count="1" selected="0">
            <x v="13"/>
          </reference>
          <reference field="1" count="1">
            <x v="7693"/>
          </reference>
          <reference field="3" count="1" selected="0">
            <x v="0"/>
          </reference>
          <reference field="5" count="1" selected="0">
            <x v="55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135">
      <pivotArea dataOnly="0" labelOnly="1" outline="0" fieldPosition="0">
        <references count="11">
          <reference field="0" count="1" selected="0">
            <x v="13"/>
          </reference>
          <reference field="1" count="1">
            <x v="7630"/>
          </reference>
          <reference field="3" count="1" selected="0">
            <x v="0"/>
          </reference>
          <reference field="5" count="1" selected="0">
            <x v="554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134">
      <pivotArea dataOnly="0" labelOnly="1" outline="0" fieldPosition="0">
        <references count="11">
          <reference field="0" count="1" selected="0">
            <x v="13"/>
          </reference>
          <reference field="1" count="1">
            <x v="7756"/>
          </reference>
          <reference field="3" count="1" selected="0">
            <x v="0"/>
          </reference>
          <reference field="5" count="1" selected="0">
            <x v="3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133">
      <pivotArea dataOnly="0" labelOnly="1" outline="0" fieldPosition="0">
        <references count="11">
          <reference field="0" count="1" selected="0">
            <x v="14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61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132">
      <pivotArea dataOnly="0" labelOnly="1" outline="0" fieldPosition="0">
        <references count="11">
          <reference field="0" count="1" selected="0">
            <x v="14"/>
          </reference>
          <reference field="1" count="1">
            <x v="7770"/>
          </reference>
          <reference field="3" count="1" selected="0">
            <x v="7739"/>
          </reference>
          <reference field="5" count="1" selected="0">
            <x v="788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131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708"/>
          </reference>
          <reference field="5" count="1" selected="0">
            <x v="4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3130">
      <pivotArea dataOnly="0" labelOnly="1" outline="0" fieldPosition="0">
        <references count="11">
          <reference field="0" count="1" selected="0">
            <x v="15"/>
          </reference>
          <reference field="1" count="1">
            <x v="7625"/>
          </reference>
          <reference field="3" count="1" selected="0">
            <x v="7798"/>
          </reference>
          <reference field="5" count="1" selected="0">
            <x v="77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129">
      <pivotArea dataOnly="0" labelOnly="1" outline="0" fieldPosition="0">
        <references count="11">
          <reference field="0" count="1" selected="0">
            <x v="15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27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3128">
      <pivotArea dataOnly="0" labelOnly="1" outline="0" fieldPosition="0">
        <references count="11">
          <reference field="0" count="1" selected="0">
            <x v="15"/>
          </reference>
          <reference field="1" count="1">
            <x v="7766"/>
          </reference>
          <reference field="3" count="1" selected="0">
            <x v="0"/>
          </reference>
          <reference field="5" count="1" selected="0">
            <x v="78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3127">
      <pivotArea outline="0" collapsedLevelsAreSubtotals="1" fieldPosition="0"/>
    </format>
    <format dxfId="3126">
      <pivotArea dataOnly="0" labelOnly="1" outline="0" axis="axisValues" fieldPosition="0"/>
    </format>
    <format dxfId="3125">
      <pivotArea dataOnly="0" outline="0" fieldPosition="0">
        <references count="1">
          <reference field="12" count="0" defaultSubtotal="1"/>
        </references>
      </pivotArea>
    </format>
    <format dxfId="3124">
      <pivotArea outline="0" collapsedLevelsAreSubtotals="1" fieldPosition="0"/>
    </format>
    <format dxfId="3123">
      <pivotArea dataOnly="0" labelOnly="1" outline="0" axis="axisValues" fieldPosition="0"/>
    </format>
    <format dxfId="3122">
      <pivotArea outline="0" collapsedLevelsAreSubtotals="1" fieldPosition="0"/>
    </format>
    <format dxfId="3121">
      <pivotArea dataOnly="0" labelOnly="1" outline="0" axis="axisValues" fieldPosition="0"/>
    </format>
    <format dxfId="3120">
      <pivotArea dataOnly="0" labelOnly="1" outline="0" axis="axisValues" fieldPosition="0"/>
    </format>
    <format dxfId="3119">
      <pivotArea outline="0" collapsedLevelsAreSubtotals="1" fieldPosition="0"/>
    </format>
    <format dxfId="3118">
      <pivotArea field="12" type="button" dataOnly="0" labelOnly="1" outline="0" axis="axisRow" fieldPosition="2"/>
    </format>
    <format dxfId="3117">
      <pivotArea field="10" type="button" dataOnly="0" labelOnly="1" outline="0" axis="axisRow" fieldPosition="3"/>
    </format>
    <format dxfId="3116">
      <pivotArea field="16" type="button" dataOnly="0" labelOnly="1" outline="0" axis="axisRow" fieldPosition="4"/>
    </format>
    <format dxfId="3115">
      <pivotArea field="18" type="button" dataOnly="0" labelOnly="1" outline="0" axis="axisRow" fieldPosition="5"/>
    </format>
    <format dxfId="3114">
      <pivotArea field="5" type="button" dataOnly="0" labelOnly="1" outline="0" axis="axisRow" fieldPosition="6"/>
    </format>
    <format dxfId="3113">
      <pivotArea field="9" type="button" dataOnly="0" labelOnly="1" outline="0" axis="axisRow" fieldPosition="7"/>
    </format>
    <format dxfId="3112">
      <pivotArea field="3" type="button" dataOnly="0" labelOnly="1" outline="0" axis="axisRow" fieldPosition="8"/>
    </format>
    <format dxfId="3111">
      <pivotArea field="7" type="button" dataOnly="0" labelOnly="1" outline="0" axis="axisRow" fieldPosition="9"/>
    </format>
    <format dxfId="3110">
      <pivotArea field="1" type="button" dataOnly="0" labelOnly="1" outline="0" axis="axisRow" fieldPosition="10"/>
    </format>
    <format dxfId="3109">
      <pivotArea dataOnly="0" labelOnly="1" outline="0" axis="axisValues" fieldPosition="0"/>
    </format>
    <format dxfId="310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10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106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310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3104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3103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310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0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0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9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9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9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96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8"/>
            <x v="19"/>
            <x v="21"/>
            <x v="26"/>
            <x v="30"/>
            <x v="31"/>
            <x v="32"/>
            <x v="33"/>
            <x v="35"/>
            <x v="36"/>
          </reference>
          <reference field="13" count="1" selected="0">
            <x v="2"/>
          </reference>
        </references>
      </pivotArea>
    </format>
    <format dxfId="3095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8"/>
            <x v="19"/>
            <x v="21"/>
            <x v="26"/>
            <x v="30"/>
            <x v="31"/>
            <x v="32"/>
            <x v="33"/>
            <x v="35"/>
            <x v="36"/>
          </reference>
          <reference field="13" count="1" selected="0">
            <x v="2"/>
          </reference>
        </references>
      </pivotArea>
    </format>
    <format dxfId="309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9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92">
      <pivotArea dataOnly="0" labelOnly="1" outline="0" fieldPosition="0">
        <references count="4">
          <reference field="0" count="1" selected="0">
            <x v="13"/>
          </reference>
          <reference field="10" count="1">
            <x v="9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0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309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08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08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08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08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8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8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8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0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0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0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07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077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0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0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0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0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0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0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0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0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0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30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0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065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306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06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06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6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5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5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5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5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5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5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3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02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02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302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302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30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02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8"/>
            <x v="35"/>
            <x v="39"/>
          </reference>
        </references>
      </pivotArea>
    </format>
    <format dxfId="30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30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0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30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0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0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30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3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2">
            <x v="63"/>
            <x v="109"/>
          </reference>
        </references>
      </pivotArea>
    </format>
    <format dxfId="3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3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09"/>
          </reference>
        </references>
      </pivotArea>
    </format>
    <format dxfId="3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3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3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3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2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9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9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9"/>
            <x v="41"/>
            <x v="42"/>
            <x v="58"/>
          </reference>
        </references>
      </pivotArea>
    </format>
    <format dxfId="29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0"/>
          </reference>
        </references>
      </pivotArea>
    </format>
    <format dxfId="29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9"/>
          </reference>
        </references>
      </pivotArea>
    </format>
    <format dxfId="2990">
      <pivotArea dataOnly="0" labelOnly="1" outline="0" fieldPosition="0">
        <references count="7">
          <reference field="0" count="1" selected="0">
            <x v="13"/>
          </reference>
          <reference field="5" count="1">
            <x v="7882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989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88">
      <pivotArea dataOnly="0" labelOnly="1" outline="0" fieldPosition="0">
        <references count="7">
          <reference field="0" count="1" selected="0">
            <x v="2"/>
          </reference>
          <reference field="5" count="1">
            <x v="600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87">
      <pivotArea dataOnly="0" labelOnly="1" outline="0" fieldPosition="0">
        <references count="7">
          <reference field="0" count="1" selected="0">
            <x v="2"/>
          </reference>
          <reference field="5" count="1">
            <x v="470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986">
      <pivotArea dataOnly="0" labelOnly="1" outline="0" fieldPosition="0">
        <references count="7">
          <reference field="0" count="1" selected="0">
            <x v="2"/>
          </reference>
          <reference field="5" count="1">
            <x v="43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985">
      <pivotArea dataOnly="0" labelOnly="1" outline="0" fieldPosition="0">
        <references count="7">
          <reference field="0" count="1" selected="0">
            <x v="2"/>
          </reference>
          <reference field="5" count="1">
            <x v="196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984">
      <pivotArea dataOnly="0" labelOnly="1" outline="0" fieldPosition="0">
        <references count="7">
          <reference field="0" count="1" selected="0">
            <x v="7"/>
          </reference>
          <reference field="5" count="1">
            <x v="213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983">
      <pivotArea dataOnly="0" labelOnly="1" outline="0" fieldPosition="0">
        <references count="7">
          <reference field="0" count="1" selected="0">
            <x v="12"/>
          </reference>
          <reference field="5" count="1">
            <x v="594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982">
      <pivotArea dataOnly="0" labelOnly="1" outline="0" fieldPosition="0">
        <references count="7">
          <reference field="0" count="1" selected="0">
            <x v="12"/>
          </reference>
          <reference field="5" count="1">
            <x v="57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81">
      <pivotArea dataOnly="0" labelOnly="1" outline="0" fieldPosition="0">
        <references count="7">
          <reference field="0" count="1" selected="0">
            <x v="12"/>
          </reference>
          <reference field="5" count="1">
            <x v="789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980">
      <pivotArea dataOnly="0" labelOnly="1" outline="0" fieldPosition="0">
        <references count="7">
          <reference field="0" count="1" selected="0">
            <x v="13"/>
          </reference>
          <reference field="5" count="1">
            <x v="76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979">
      <pivotArea dataOnly="0" labelOnly="1" outline="0" fieldPosition="0">
        <references count="7">
          <reference field="0" count="1" selected="0">
            <x v="13"/>
          </reference>
          <reference field="5" count="1">
            <x v="4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78">
      <pivotArea dataOnly="0" labelOnly="1" outline="0" fieldPosition="0">
        <references count="7">
          <reference field="0" count="1" selected="0">
            <x v="13"/>
          </reference>
          <reference field="5" count="1">
            <x v="7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77">
      <pivotArea dataOnly="0" labelOnly="1" outline="0" fieldPosition="0">
        <references count="7">
          <reference field="0" count="1" selected="0">
            <x v="13"/>
          </reference>
          <reference field="5" count="1">
            <x v="74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76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75">
      <pivotArea dataOnly="0" labelOnly="1" outline="0" fieldPosition="0">
        <references count="7">
          <reference field="0" count="1" selected="0">
            <x v="13"/>
          </reference>
          <reference field="5" count="1">
            <x v="259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74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73">
      <pivotArea dataOnly="0" labelOnly="1" outline="0" fieldPosition="0">
        <references count="7">
          <reference field="0" count="1" selected="0">
            <x v="14"/>
          </reference>
          <reference field="5" count="1">
            <x v="777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72">
      <pivotArea dataOnly="0" labelOnly="1" outline="0" fieldPosition="0">
        <references count="7">
          <reference field="0" count="1" selected="0">
            <x v="14"/>
          </reference>
          <reference field="5" count="1">
            <x v="786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971">
      <pivotArea dataOnly="0" labelOnly="1" outline="0" fieldPosition="0">
        <references count="7">
          <reference field="0" count="1" selected="0">
            <x v="14"/>
          </reference>
          <reference field="5" count="1">
            <x v="433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70">
      <pivotArea dataOnly="0" labelOnly="1" outline="0" fieldPosition="0">
        <references count="7">
          <reference field="0" count="1" selected="0">
            <x v="14"/>
          </reference>
          <reference field="5" count="1">
            <x v="343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969">
      <pivotArea dataOnly="0" labelOnly="1" outline="0" fieldPosition="0">
        <references count="7">
          <reference field="0" count="1" selected="0">
            <x v="14"/>
          </reference>
          <reference field="5" count="1">
            <x v="789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3"/>
          </reference>
        </references>
      </pivotArea>
    </format>
    <format dxfId="2968">
      <pivotArea dataOnly="0" labelOnly="1" outline="0" fieldPosition="0">
        <references count="7">
          <reference field="0" count="1" selected="0">
            <x v="14"/>
          </reference>
          <reference field="5" count="1">
            <x v="7813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09"/>
          </reference>
        </references>
      </pivotArea>
    </format>
    <format dxfId="2967">
      <pivotArea dataOnly="0" labelOnly="1" outline="0" fieldPosition="0">
        <references count="7">
          <reference field="0" count="1" selected="0">
            <x v="14"/>
          </reference>
          <reference field="5" count="1">
            <x v="7893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966">
      <pivotArea dataOnly="0" labelOnly="1" outline="0" fieldPosition="0">
        <references count="7">
          <reference field="0" count="1" selected="0">
            <x v="14"/>
          </reference>
          <reference field="5" count="1">
            <x v="716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965">
      <pivotArea dataOnly="0" labelOnly="1" outline="0" fieldPosition="0">
        <references count="7">
          <reference field="0" count="1" selected="0">
            <x v="14"/>
          </reference>
          <reference field="5" count="1">
            <x v="789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964">
      <pivotArea dataOnly="0" labelOnly="1" outline="0" fieldPosition="0">
        <references count="7">
          <reference field="0" count="1" selected="0">
            <x v="14"/>
          </reference>
          <reference field="5" count="1">
            <x v="788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963">
      <pivotArea dataOnly="0" labelOnly="1" outline="0" fieldPosition="0">
        <references count="7">
          <reference field="0" count="1" selected="0">
            <x v="14"/>
          </reference>
          <reference field="5" count="1">
            <x v="7896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962">
      <pivotArea dataOnly="0" labelOnly="1" outline="0" fieldPosition="0">
        <references count="7">
          <reference field="0" count="1" selected="0">
            <x v="14"/>
          </reference>
          <reference field="5" count="1">
            <x v="7609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961">
      <pivotArea dataOnly="0" labelOnly="1" outline="0" fieldPosition="0">
        <references count="7">
          <reference field="0" count="1" selected="0">
            <x v="14"/>
          </reference>
          <reference field="5" count="1">
            <x v="3475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60">
      <pivotArea dataOnly="0" labelOnly="1" outline="0" fieldPosition="0">
        <references count="7">
          <reference field="0" count="1" selected="0">
            <x v="14"/>
          </reference>
          <reference field="5" count="1">
            <x v="3988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959">
      <pivotArea dataOnly="0" labelOnly="1" outline="0" fieldPosition="0">
        <references count="7">
          <reference field="0" count="1" selected="0">
            <x v="14"/>
          </reference>
          <reference field="5" count="2">
            <x v="5943"/>
            <x v="656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958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957">
      <pivotArea dataOnly="0" labelOnly="1" outline="0" fieldPosition="0">
        <references count="7">
          <reference field="0" count="1" selected="0">
            <x v="14"/>
          </reference>
          <reference field="5" count="1">
            <x v="235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956">
      <pivotArea dataOnly="0" labelOnly="1" outline="0" fieldPosition="0">
        <references count="7">
          <reference field="0" count="1" selected="0">
            <x v="15"/>
          </reference>
          <reference field="5" count="1">
            <x v="19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55">
      <pivotArea dataOnly="0" labelOnly="1" outline="0" fieldPosition="0">
        <references count="7">
          <reference field="0" count="1" selected="0">
            <x v="15"/>
          </reference>
          <reference field="5" count="1">
            <x v="78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54">
      <pivotArea dataOnly="0" labelOnly="1" outline="0" fieldPosition="0">
        <references count="7">
          <reference field="0" count="1" selected="0">
            <x v="15"/>
          </reference>
          <reference field="5" count="2">
            <x v="7865"/>
            <x v="78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953">
      <pivotArea dataOnly="0" labelOnly="1" outline="0" fieldPosition="0">
        <references count="7">
          <reference field="0" count="1" selected="0">
            <x v="15"/>
          </reference>
          <reference field="5" count="1">
            <x v="77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952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951">
      <pivotArea dataOnly="0" labelOnly="1" outline="0" fieldPosition="0">
        <references count="7">
          <reference field="0" count="1" selected="0">
            <x v="15"/>
          </reference>
          <reference field="5" count="1">
            <x v="789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9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82"/>
          </reference>
          <reference field="9" count="1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9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4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0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4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9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94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4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94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7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9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9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3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3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9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3"/>
          </reference>
        </references>
      </pivotArea>
    </format>
    <format dxfId="29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9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9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9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9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9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9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9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9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5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92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2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92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82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9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23">
      <pivotArea dataOnly="0" labelOnly="1" outline="0" fieldPosition="0">
        <references count="9">
          <reference field="0" count="1" selected="0">
            <x v="2"/>
          </reference>
          <reference field="3" count="1">
            <x v="7719"/>
          </reference>
          <reference field="5" count="1" selected="0">
            <x v="60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22">
      <pivotArea dataOnly="0" labelOnly="1" outline="0" fieldPosition="0">
        <references count="9">
          <reference field="0" count="1" selected="0">
            <x v="2"/>
          </reference>
          <reference field="3" count="1">
            <x v="7720"/>
          </reference>
          <reference field="5" count="1" selected="0">
            <x v="47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921">
      <pivotArea dataOnly="0" labelOnly="1" outline="0" fieldPosition="0">
        <references count="9">
          <reference field="0" count="1" selected="0">
            <x v="2"/>
          </reference>
          <reference field="3" count="1">
            <x v="7722"/>
          </reference>
          <reference field="5" count="1" selected="0">
            <x v="43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92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919">
      <pivotArea dataOnly="0" labelOnly="1" outline="0" fieldPosition="0">
        <references count="9">
          <reference field="0" count="1" selected="0">
            <x v="7"/>
          </reference>
          <reference field="3" count="1">
            <x v="7333"/>
          </reference>
          <reference field="5" count="1" selected="0">
            <x v="21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91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4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91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7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915">
      <pivotArea dataOnly="0" labelOnly="1" outline="0" fieldPosition="0">
        <references count="9">
          <reference field="0" count="1" selected="0">
            <x v="14"/>
          </reference>
          <reference field="3" count="1">
            <x v="7709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14">
      <pivotArea dataOnly="0" labelOnly="1" outline="0" fieldPosition="0">
        <references count="9">
          <reference field="0" count="1" selected="0">
            <x v="14"/>
          </reference>
          <reference field="3" count="1">
            <x v="7366"/>
          </reference>
          <reference field="5" count="1" selected="0">
            <x v="433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13">
      <pivotArea dataOnly="0" labelOnly="1" outline="0" fieldPosition="0">
        <references count="9">
          <reference field="0" count="1" selected="0">
            <x v="14"/>
          </reference>
          <reference field="3" count="1">
            <x v="7720"/>
          </reference>
          <reference field="5" count="1" selected="0">
            <x v="343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912">
      <pivotArea dataOnly="0" labelOnly="1" outline="0" fieldPosition="0">
        <references count="9">
          <reference field="0" count="1" selected="0">
            <x v="14"/>
          </reference>
          <reference field="3" count="1">
            <x v="7909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09"/>
          </reference>
        </references>
      </pivotArea>
    </format>
    <format dxfId="29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910">
      <pivotArea dataOnly="0" labelOnly="1" outline="0" fieldPosition="0">
        <references count="9">
          <reference field="0" count="1" selected="0">
            <x v="14"/>
          </reference>
          <reference field="3" count="1">
            <x v="7910"/>
          </reference>
          <reference field="5" count="1" selected="0">
            <x v="71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909">
      <pivotArea dataOnly="0" labelOnly="1" outline="0" fieldPosition="0">
        <references count="9">
          <reference field="0" count="1" selected="0">
            <x v="14"/>
          </reference>
          <reference field="3" count="1">
            <x v="7739"/>
          </reference>
          <reference field="5" count="1" selected="0">
            <x v="788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908">
      <pivotArea dataOnly="0" labelOnly="1" outline="0" fieldPosition="0">
        <references count="9">
          <reference field="0" count="1" selected="0">
            <x v="14"/>
          </reference>
          <reference field="3" count="1">
            <x v="7911"/>
          </reference>
          <reference field="5" count="1" selected="0">
            <x v="789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907">
      <pivotArea dataOnly="0" labelOnly="1" outline="0" fieldPosition="0">
        <references count="9">
          <reference field="0" count="1" selected="0">
            <x v="14"/>
          </reference>
          <reference field="3" count="1">
            <x v="7618"/>
          </reference>
          <reference field="5" count="1" selected="0">
            <x v="76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906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34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05">
      <pivotArea dataOnly="0" labelOnly="1" outline="0" fieldPosition="0">
        <references count="9">
          <reference field="0" count="1" selected="0">
            <x v="14"/>
          </reference>
          <reference field="3" count="1">
            <x v="7750"/>
          </reference>
          <reference field="5" count="1" selected="0">
            <x v="398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904">
      <pivotArea dataOnly="0" labelOnly="1" outline="0" fieldPosition="0">
        <references count="9">
          <reference field="0" count="1" selected="0">
            <x v="14"/>
          </reference>
          <reference field="3" count="1">
            <x v="7710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903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902">
      <pivotArea dataOnly="0" labelOnly="1" outline="0" fieldPosition="0">
        <references count="9">
          <reference field="0" count="1" selected="0">
            <x v="14"/>
          </reference>
          <reference field="3" count="1">
            <x v="7708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901">
      <pivotArea dataOnly="0" labelOnly="1" outline="0" fieldPosition="0">
        <references count="9">
          <reference field="0" count="1" selected="0">
            <x v="14"/>
          </reference>
          <reference field="3" count="1">
            <x v="7912"/>
          </reference>
          <reference field="5" count="1" selected="0">
            <x v="235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900">
      <pivotArea dataOnly="0" labelOnly="1" outline="0" fieldPosition="0">
        <references count="9">
          <reference field="0" count="1" selected="0">
            <x v="15"/>
          </reference>
          <reference field="3" count="1">
            <x v="7803"/>
          </reference>
          <reference field="5" count="1" selected="0">
            <x v="19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99">
      <pivotArea dataOnly="0" labelOnly="1" outline="0" fieldPosition="0">
        <references count="9">
          <reference field="0" count="1" selected="0">
            <x v="15"/>
          </reference>
          <reference field="3" count="1">
            <x v="7907"/>
          </reference>
          <reference field="5" count="1" selected="0">
            <x v="78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9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6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97">
      <pivotArea dataOnly="0" labelOnly="1" outline="0" fieldPosition="0">
        <references count="9">
          <reference field="0" count="1" selected="0">
            <x v="15"/>
          </reference>
          <reference field="3" count="1">
            <x v="7901"/>
          </reference>
          <reference field="5" count="1" selected="0">
            <x v="78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96">
      <pivotArea dataOnly="0" labelOnly="1" outline="0" fieldPosition="0">
        <references count="9">
          <reference field="0" count="1" selected="0">
            <x v="15"/>
          </reference>
          <reference field="3" count="1">
            <x v="7798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89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8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8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9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19"/>
          </reference>
          <reference field="5" count="1" selected="0">
            <x v="60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9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22"/>
          </reference>
          <reference field="5" count="1" selected="0">
            <x v="43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89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6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8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3"/>
          </reference>
          <reference field="5" count="1" selected="0">
            <x v="21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88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88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7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8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9"/>
          </reference>
          <reference field="5" count="1" selected="0">
            <x v="7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6"/>
          </reference>
          <reference field="5" count="1" selected="0">
            <x v="43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0"/>
          </reference>
          <reference field="5" count="1" selected="0">
            <x v="34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8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8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0"/>
          </reference>
          <reference field="5" count="1" selected="0">
            <x v="71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8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9"/>
          </reference>
          <reference field="5" count="1" selected="0">
            <x v="788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8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1"/>
          </reference>
          <reference field="5" count="1" selected="0">
            <x v="789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8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8"/>
          </reference>
          <reference field="5" count="1" selected="0">
            <x v="76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8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3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0"/>
          </reference>
          <reference field="5" count="1" selected="0">
            <x v="39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8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0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8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2"/>
          </reference>
          <reference field="5" count="1" selected="0">
            <x v="23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8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3"/>
          </reference>
          <reference field="5" count="1" selected="0">
            <x v="19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7"/>
          </reference>
          <reference field="5" count="1" selected="0">
            <x v="789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1"/>
          </reference>
          <reference field="5" count="1" selected="0">
            <x v="787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8"/>
          </reference>
          <reference field="5" count="1" selected="0">
            <x v="77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8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867">
      <pivotArea dataOnly="0" labelOnly="1" outline="0" fieldPosition="0">
        <references count="11">
          <reference field="0" count="1" selected="0">
            <x v="13"/>
          </reference>
          <reference field="1" count="1">
            <x v="7789"/>
          </reference>
          <reference field="3" count="1" selected="0">
            <x v="0"/>
          </reference>
          <reference field="5" count="1" selected="0">
            <x v="78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866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61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65">
      <pivotArea dataOnly="0" labelOnly="1" outline="0" fieldPosition="0">
        <references count="11">
          <reference field="0" count="1" selected="0">
            <x v="2"/>
          </reference>
          <reference field="1" count="1">
            <x v="7790"/>
          </reference>
          <reference field="3" count="1" selected="0">
            <x v="7720"/>
          </reference>
          <reference field="5" count="1" selected="0">
            <x v="47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864">
      <pivotArea dataOnly="0" labelOnly="1" outline="0" fieldPosition="0">
        <references count="11">
          <reference field="0" count="1" selected="0">
            <x v="2"/>
          </reference>
          <reference field="1" count="1">
            <x v="7710"/>
          </reference>
          <reference field="3" count="1" selected="0">
            <x v="7722"/>
          </reference>
          <reference field="5" count="1" selected="0">
            <x v="43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863">
      <pivotArea dataOnly="0" labelOnly="1" outline="0" fieldPosition="0">
        <references count="11">
          <reference field="0" count="1" selected="0">
            <x v="7"/>
          </reference>
          <reference field="1" count="1">
            <x v="7776"/>
          </reference>
          <reference field="3" count="1" selected="0">
            <x v="7333"/>
          </reference>
          <reference field="5" count="1" selected="0">
            <x v="21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862">
      <pivotArea dataOnly="0" labelOnly="1" outline="0" fieldPosition="0">
        <references count="11">
          <reference field="0" count="1" selected="0">
            <x v="12"/>
          </reference>
          <reference field="1" count="1">
            <x v="7458"/>
          </reference>
          <reference field="3" count="1" selected="0">
            <x v="0"/>
          </reference>
          <reference field="5" count="1" selected="0">
            <x v="59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861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46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60">
      <pivotArea dataOnly="0" labelOnly="1" outline="0" fieldPosition="0">
        <references count="11">
          <reference field="0" count="1" selected="0">
            <x v="13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74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59">
      <pivotArea dataOnly="0" labelOnly="1" outline="0" fieldPosition="0">
        <references count="11">
          <reference field="0" count="1" selected="0">
            <x v="13"/>
          </reference>
          <reference field="1" count="1">
            <x v="7693"/>
          </reference>
          <reference field="3" count="1" selected="0">
            <x v="0"/>
          </reference>
          <reference field="5" count="1" selected="0">
            <x v="55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58">
      <pivotArea dataOnly="0" labelOnly="1" outline="0" fieldPosition="0">
        <references count="11">
          <reference field="0" count="1" selected="0">
            <x v="13"/>
          </reference>
          <reference field="1" count="1">
            <x v="7756"/>
          </reference>
          <reference field="3" count="1" selected="0">
            <x v="0"/>
          </reference>
          <reference field="5" count="1" selected="0">
            <x v="3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57">
      <pivotArea dataOnly="0" labelOnly="1" outline="0" fieldPosition="0">
        <references count="11">
          <reference field="0" count="1" selected="0">
            <x v="14"/>
          </reference>
          <reference field="1" count="1">
            <x v="7788"/>
          </reference>
          <reference field="3" count="1" selected="0">
            <x v="7720"/>
          </reference>
          <reference field="5" count="1" selected="0">
            <x v="343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856">
      <pivotArea dataOnly="0" labelOnly="1" outline="0" fieldPosition="0">
        <references count="11">
          <reference field="0" count="1" selected="0">
            <x v="14"/>
          </reference>
          <reference field="1" count="1">
            <x v="7787"/>
          </reference>
          <reference field="3" count="1" selected="0">
            <x v="7910"/>
          </reference>
          <reference field="5" count="1" selected="0">
            <x v="71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855">
      <pivotArea dataOnly="0" labelOnly="1" outline="0" fieldPosition="0">
        <references count="11">
          <reference field="0" count="1" selected="0">
            <x v="14"/>
          </reference>
          <reference field="1" count="1">
            <x v="7784"/>
          </reference>
          <reference field="3" count="1" selected="0">
            <x v="7739"/>
          </reference>
          <reference field="5" count="1" selected="0">
            <x v="788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854">
      <pivotArea dataOnly="0" labelOnly="1" outline="0" fieldPosition="0">
        <references count="11">
          <reference field="0" count="1" selected="0">
            <x v="14"/>
          </reference>
          <reference field="1" count="1">
            <x v="7627"/>
          </reference>
          <reference field="3" count="1" selected="0">
            <x v="7618"/>
          </reference>
          <reference field="5" count="1" selected="0">
            <x v="760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853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708"/>
          </reference>
          <reference field="5" count="1" selected="0">
            <x v="4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852">
      <pivotArea dataOnly="0" labelOnly="1" outline="0" fieldPosition="0">
        <references count="11">
          <reference field="0" count="1" selected="0">
            <x v="15"/>
          </reference>
          <reference field="1" count="1">
            <x v="7625"/>
          </reference>
          <reference field="3" count="1" selected="0">
            <x v="7798"/>
          </reference>
          <reference field="5" count="1" selected="0">
            <x v="77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851">
      <pivotArea dataOnly="0" labelOnly="1" outline="0" fieldPosition="0">
        <references count="11">
          <reference field="0" count="1" selected="0">
            <x v="15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27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850">
      <pivotArea outline="0" collapsedLevelsAreSubtotals="1" fieldPosition="0"/>
    </format>
    <format dxfId="2849">
      <pivotArea dataOnly="0" labelOnly="1" outline="0" axis="axisValues" fieldPosition="0"/>
    </format>
    <format dxfId="2848">
      <pivotArea dataOnly="0" outline="0" fieldPosition="0">
        <references count="1">
          <reference field="12" count="0" defaultSubtotal="1"/>
        </references>
      </pivotArea>
    </format>
    <format dxfId="2847">
      <pivotArea outline="0" collapsedLevelsAreSubtotals="1" fieldPosition="0"/>
    </format>
    <format dxfId="2846">
      <pivotArea dataOnly="0" labelOnly="1" outline="0" axis="axisValues" fieldPosition="0"/>
    </format>
    <format dxfId="2845">
      <pivotArea outline="0" collapsedLevelsAreSubtotals="1" fieldPosition="0"/>
    </format>
    <format dxfId="2844">
      <pivotArea dataOnly="0" labelOnly="1" outline="0" axis="axisValues" fieldPosition="0"/>
    </format>
    <format dxfId="2843">
      <pivotArea dataOnly="0" labelOnly="1" outline="0" axis="axisValues" fieldPosition="0"/>
    </format>
    <format dxfId="2842">
      <pivotArea outline="0" collapsedLevelsAreSubtotals="1" fieldPosition="0"/>
    </format>
    <format dxfId="2841">
      <pivotArea field="12" type="button" dataOnly="0" labelOnly="1" outline="0" axis="axisRow" fieldPosition="2"/>
    </format>
    <format dxfId="2840">
      <pivotArea field="10" type="button" dataOnly="0" labelOnly="1" outline="0" axis="axisRow" fieldPosition="3"/>
    </format>
    <format dxfId="2839">
      <pivotArea field="16" type="button" dataOnly="0" labelOnly="1" outline="0" axis="axisRow" fieldPosition="4"/>
    </format>
    <format dxfId="2838">
      <pivotArea field="18" type="button" dataOnly="0" labelOnly="1" outline="0" axis="axisRow" fieldPosition="5"/>
    </format>
    <format dxfId="2837">
      <pivotArea field="5" type="button" dataOnly="0" labelOnly="1" outline="0" axis="axisRow" fieldPosition="6"/>
    </format>
    <format dxfId="2836">
      <pivotArea field="9" type="button" dataOnly="0" labelOnly="1" outline="0" axis="axisRow" fieldPosition="7"/>
    </format>
    <format dxfId="2835">
      <pivotArea field="3" type="button" dataOnly="0" labelOnly="1" outline="0" axis="axisRow" fieldPosition="8"/>
    </format>
    <format dxfId="2834">
      <pivotArea field="7" type="button" dataOnly="0" labelOnly="1" outline="0" axis="axisRow" fieldPosition="9"/>
    </format>
    <format dxfId="2833">
      <pivotArea field="1" type="button" dataOnly="0" labelOnly="1" outline="0" axis="axisRow" fieldPosition="10"/>
    </format>
    <format dxfId="2832">
      <pivotArea dataOnly="0" labelOnly="1" outline="0" axis="axisValues" fieldPosition="0"/>
    </format>
    <format dxfId="2831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283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2829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828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82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82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82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2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2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2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21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2820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281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1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281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81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1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1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12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1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0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0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0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8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8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8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8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8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8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7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79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79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79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9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9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77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77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77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27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76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27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27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7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27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7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7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7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7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7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7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4"/>
          </reference>
        </references>
      </pivotArea>
    </format>
    <format dxfId="2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2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7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3"/>
            <x v="36"/>
            <x v="37"/>
            <x v="38"/>
            <x v="39"/>
            <x v="41"/>
            <x v="42"/>
            <x v="58"/>
          </reference>
        </references>
      </pivotArea>
    </format>
    <format dxfId="27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73"/>
          </reference>
        </references>
      </pivotArea>
    </format>
    <format dxfId="2742">
      <pivotArea dataOnly="0" labelOnly="1" outline="0" fieldPosition="0">
        <references count="7">
          <reference field="0" count="1" selected="0">
            <x v="14"/>
          </reference>
          <reference field="5" count="1">
            <x v="6608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41">
      <pivotArea dataOnly="0" labelOnly="1" outline="0" fieldPosition="0">
        <references count="7">
          <reference field="0" count="1" selected="0">
            <x v="0"/>
          </reference>
          <reference field="5" count="1">
            <x v="660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740">
      <pivotArea dataOnly="0" labelOnly="1" outline="0" fieldPosition="0">
        <references count="7">
          <reference field="0" count="1" selected="0">
            <x v="0"/>
          </reference>
          <reference field="5" count="1">
            <x v="789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39">
      <pivotArea dataOnly="0" labelOnly="1" outline="0" fieldPosition="0">
        <references count="7">
          <reference field="0" count="1" selected="0">
            <x v="0"/>
          </reference>
          <reference field="5" count="1">
            <x v="660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738">
      <pivotArea dataOnly="0" labelOnly="1" outline="0" fieldPosition="0">
        <references count="7">
          <reference field="0" count="1" selected="0">
            <x v="7"/>
          </reference>
          <reference field="5" count="1">
            <x v="660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737">
      <pivotArea dataOnly="0" labelOnly="1" outline="0" fieldPosition="0">
        <references count="7">
          <reference field="0" count="1" selected="0">
            <x v="12"/>
          </reference>
          <reference field="5" count="1">
            <x v="66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36">
      <pivotArea dataOnly="0" labelOnly="1" outline="0" fieldPosition="0">
        <references count="7">
          <reference field="0" count="1" selected="0">
            <x v="13"/>
          </reference>
          <reference field="5" count="2">
            <x v="6608"/>
            <x v="77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735">
      <pivotArea dataOnly="0" labelOnly="1" outline="0" fieldPosition="0">
        <references count="7">
          <reference field="0" count="1" selected="0">
            <x v="13"/>
          </reference>
          <reference field="5" count="1">
            <x v="66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34">
      <pivotArea dataOnly="0" labelOnly="1" outline="0" fieldPosition="0">
        <references count="7">
          <reference field="0" count="1" selected="0">
            <x v="13"/>
          </reference>
          <reference field="5" count="1">
            <x v="571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33">
      <pivotArea dataOnly="0" labelOnly="1" outline="0" fieldPosition="0">
        <references count="7">
          <reference field="0" count="1" selected="0">
            <x v="13"/>
          </reference>
          <reference field="5" count="1">
            <x v="660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732">
      <pivotArea dataOnly="0" labelOnly="1" outline="0" fieldPosition="0">
        <references count="7">
          <reference field="0" count="1" selected="0">
            <x v="13"/>
          </reference>
          <reference field="5" count="1">
            <x v="763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31">
      <pivotArea dataOnly="0" labelOnly="1" outline="0" fieldPosition="0">
        <references count="7">
          <reference field="0" count="1" selected="0">
            <x v="13"/>
          </reference>
          <reference field="5" count="1">
            <x v="6608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730">
      <pivotArea dataOnly="0" labelOnly="1" outline="0" fieldPosition="0">
        <references count="7">
          <reference field="0" count="1" selected="0">
            <x v="14"/>
          </reference>
          <reference field="5" count="1">
            <x v="6608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29">
      <pivotArea dataOnly="0" labelOnly="1" outline="0" fieldPosition="0">
        <references count="7">
          <reference field="0" count="1" selected="0">
            <x v="14"/>
          </reference>
          <reference field="5" count="1">
            <x v="660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728">
      <pivotArea dataOnly="0" labelOnly="1" outline="0" fieldPosition="0">
        <references count="7">
          <reference field="0" count="1" selected="0">
            <x v="14"/>
          </reference>
          <reference field="5" count="1">
            <x v="660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27">
      <pivotArea dataOnly="0" labelOnly="1" outline="0" fieldPosition="0">
        <references count="7">
          <reference field="0" count="1" selected="0">
            <x v="14"/>
          </reference>
          <reference field="5" count="1">
            <x v="660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26">
      <pivotArea dataOnly="0" labelOnly="1" outline="0" fieldPosition="0">
        <references count="7">
          <reference field="0" count="1" selected="0">
            <x v="14"/>
          </reference>
          <reference field="5" count="1">
            <x v="660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725">
      <pivotArea dataOnly="0" labelOnly="1" outline="0" fieldPosition="0">
        <references count="7">
          <reference field="0" count="1" selected="0">
            <x v="14"/>
          </reference>
          <reference field="5" count="1">
            <x v="660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724">
      <pivotArea dataOnly="0" labelOnly="1" outline="0" fieldPosition="0">
        <references count="7">
          <reference field="0" count="1" selected="0">
            <x v="14"/>
          </reference>
          <reference field="5" count="1">
            <x v="6608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723">
      <pivotArea dataOnly="0" labelOnly="1" outline="0" fieldPosition="0">
        <references count="7">
          <reference field="0" count="1" selected="0">
            <x v="14"/>
          </reference>
          <reference field="5" count="1">
            <x v="660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722">
      <pivotArea dataOnly="0" labelOnly="1" outline="0" fieldPosition="0">
        <references count="7">
          <reference field="0" count="1" selected="0">
            <x v="14"/>
          </reference>
          <reference field="5" count="1">
            <x v="660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721">
      <pivotArea dataOnly="0" labelOnly="1" outline="0" fieldPosition="0">
        <references count="7">
          <reference field="0" count="1" selected="0">
            <x v="14"/>
          </reference>
          <reference field="5" count="1">
            <x v="6608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720">
      <pivotArea dataOnly="0" labelOnly="1" outline="0" fieldPosition="0">
        <references count="7">
          <reference field="0" count="1" selected="0">
            <x v="14"/>
          </reference>
          <reference field="5" count="1">
            <x v="6608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19">
      <pivotArea dataOnly="0" labelOnly="1" outline="0" fieldPosition="0">
        <references count="7">
          <reference field="0" count="1" selected="0">
            <x v="14"/>
          </reference>
          <reference field="5" count="1">
            <x v="660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718">
      <pivotArea dataOnly="0" labelOnly="1" outline="0" fieldPosition="0">
        <references count="7">
          <reference field="0" count="1" selected="0">
            <x v="14"/>
          </reference>
          <reference field="5" count="1">
            <x v="6608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717">
      <pivotArea dataOnly="0" labelOnly="1" outline="0" fieldPosition="0">
        <references count="7">
          <reference field="0" count="1" selected="0">
            <x v="14"/>
          </reference>
          <reference field="5" count="1">
            <x v="660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716">
      <pivotArea dataOnly="0" labelOnly="1" outline="0" fieldPosition="0">
        <references count="7">
          <reference field="0" count="1" selected="0">
            <x v="14"/>
          </reference>
          <reference field="5" count="1">
            <x v="6608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715">
      <pivotArea dataOnly="0" labelOnly="1" outline="0" fieldPosition="0">
        <references count="7">
          <reference field="0" count="1" selected="0">
            <x v="15"/>
          </reference>
          <reference field="5" count="1">
            <x v="572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14">
      <pivotArea dataOnly="0" labelOnly="1" outline="0" fieldPosition="0">
        <references count="7">
          <reference field="0" count="1" selected="0">
            <x v="15"/>
          </reference>
          <reference field="5" count="1">
            <x v="660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13">
      <pivotArea dataOnly="0" labelOnly="1" outline="0" fieldPosition="0">
        <references count="7">
          <reference field="0" count="1" selected="0">
            <x v="15"/>
          </reference>
          <reference field="5" count="1">
            <x v="1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12">
      <pivotArea dataOnly="0" labelOnly="1" outline="0" fieldPosition="0">
        <references count="7">
          <reference field="0" count="1" selected="0">
            <x v="15"/>
          </reference>
          <reference field="5" count="2">
            <x v="1592"/>
            <x v="660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711">
      <pivotArea dataOnly="0" labelOnly="1" outline="0" fieldPosition="0">
        <references count="7">
          <reference field="0" count="1" selected="0">
            <x v="15"/>
          </reference>
          <reference field="5" count="1">
            <x v="158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710">
      <pivotArea dataOnly="0" labelOnly="1" outline="0" fieldPosition="0">
        <references count="7">
          <reference field="0" count="1" selected="0">
            <x v="15"/>
          </reference>
          <reference field="5" count="1">
            <x v="660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709">
      <pivotArea dataOnly="0" labelOnly="1" outline="0" fieldPosition="0">
        <references count="7">
          <reference field="0" count="1" selected="0">
            <x v="15"/>
          </reference>
          <reference field="5" count="1">
            <x v="77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708">
      <pivotArea dataOnly="0" labelOnly="1" outline="0" fieldPosition="0">
        <references count="7">
          <reference field="0" count="1" selected="0">
            <x v="15"/>
          </reference>
          <reference field="5" count="1">
            <x v="660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7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0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06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66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705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78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60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70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60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08"/>
          </reference>
          <reference field="9" count="0"/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7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08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0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0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6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0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0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0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6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0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6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0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6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0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6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0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6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0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0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0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6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0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6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0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6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0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68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572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8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81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6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6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60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81">
      <pivotArea dataOnly="0" labelOnly="1" outline="0" fieldPosition="0">
        <references count="9">
          <reference field="0" count="1" selected="0">
            <x v="0"/>
          </reference>
          <reference field="3" count="1">
            <x v="7225"/>
          </reference>
          <reference field="5" count="1" selected="0">
            <x v="66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680">
      <pivotArea dataOnly="0" labelOnly="1" outline="0" fieldPosition="0">
        <references count="9">
          <reference field="0" count="1" selected="0">
            <x v="0"/>
          </reference>
          <reference field="3" count="1">
            <x v="7224"/>
          </reference>
          <reference field="5" count="1" selected="0">
            <x v="66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679">
      <pivotArea dataOnly="0" labelOnly="1" outline="0" fieldPosition="0">
        <references count="9">
          <reference field="0" count="1" selected="0">
            <x v="7"/>
          </reference>
          <reference field="3" count="1">
            <x v="7333"/>
          </reference>
          <reference field="5" count="1" selected="0">
            <x v="660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67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60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7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676">
      <pivotArea dataOnly="0" labelOnly="1" outline="0" fieldPosition="0">
        <references count="9">
          <reference field="0" count="1" selected="0">
            <x v="13"/>
          </reference>
          <reference field="3" count="1">
            <x v="7716"/>
          </reference>
          <reference field="5" count="1" selected="0">
            <x v="6608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75">
      <pivotArea dataOnly="0" labelOnly="1" outline="0" fieldPosition="0">
        <references count="9">
          <reference field="0" count="1" selected="0">
            <x v="14"/>
          </reference>
          <reference field="3" count="1">
            <x v="7709"/>
          </reference>
          <reference field="5" count="1" selected="0">
            <x v="660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74">
      <pivotArea dataOnly="0" labelOnly="1" outline="0" fieldPosition="0">
        <references count="9">
          <reference field="0" count="1" selected="0">
            <x v="14"/>
          </reference>
          <reference field="3" count="1">
            <x v="7366"/>
          </reference>
          <reference field="5" count="1" selected="0">
            <x v="660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60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608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71">
      <pivotArea dataOnly="0" labelOnly="1" outline="0" fieldPosition="0">
        <references count="9">
          <reference field="0" count="1" selected="0">
            <x v="14"/>
          </reference>
          <reference field="3" count="1">
            <x v="7896"/>
          </reference>
          <reference field="5" count="1" selected="0">
            <x v="660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670">
      <pivotArea dataOnly="0" labelOnly="1" outline="0" fieldPosition="0">
        <references count="9">
          <reference field="0" count="1" selected="0">
            <x v="14"/>
          </reference>
          <reference field="3" count="1">
            <x v="7720"/>
          </reference>
          <reference field="5" count="1" selected="0">
            <x v="660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669">
      <pivotArea dataOnly="0" labelOnly="1" outline="0" fieldPosition="0">
        <references count="9">
          <reference field="0" count="1" selected="0">
            <x v="14"/>
          </reference>
          <reference field="3" count="1">
            <x v="7915"/>
          </reference>
          <reference field="5" count="1" selected="0">
            <x v="660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66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60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67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660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66">
      <pivotArea dataOnly="0" labelOnly="1" outline="0" fieldPosition="0">
        <references count="9">
          <reference field="0" count="1" selected="0">
            <x v="14"/>
          </reference>
          <reference field="3" count="1">
            <x v="6454"/>
          </reference>
          <reference field="5" count="1" selected="0">
            <x v="660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665">
      <pivotArea dataOnly="0" labelOnly="1" outline="0" fieldPosition="0">
        <references count="9">
          <reference field="0" count="1" selected="0">
            <x v="14"/>
          </reference>
          <reference field="3" count="1">
            <x v="7724"/>
          </reference>
          <reference field="5" count="1" selected="0">
            <x v="660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64">
      <pivotArea dataOnly="0" labelOnly="1" outline="0" fieldPosition="0">
        <references count="9">
          <reference field="0" count="1" selected="0">
            <x v="14"/>
          </reference>
          <reference field="3" count="1">
            <x v="7914"/>
          </reference>
          <reference field="5" count="1" selected="0">
            <x v="660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663">
      <pivotArea dataOnly="0" labelOnly="1" outline="0" fieldPosition="0">
        <references count="9">
          <reference field="0" count="1" selected="0">
            <x v="14"/>
          </reference>
          <reference field="3" count="2">
            <x v="7710"/>
            <x v="7711"/>
          </reference>
          <reference field="5" count="1" selected="0">
            <x v="660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662">
      <pivotArea dataOnly="0" labelOnly="1" outline="0" fieldPosition="0">
        <references count="9">
          <reference field="0" count="1" selected="0">
            <x v="14"/>
          </reference>
          <reference field="3" count="1">
            <x v="7708"/>
          </reference>
          <reference field="5" count="1" selected="0">
            <x v="66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661">
      <pivotArea dataOnly="0" labelOnly="1" outline="0" fieldPosition="0">
        <references count="9">
          <reference field="0" count="1" selected="0">
            <x v="14"/>
          </reference>
          <reference field="3" count="1">
            <x v="7715"/>
          </reference>
          <reference field="5" count="1" selected="0">
            <x v="6608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6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60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659">
      <pivotArea dataOnly="0" labelOnly="1" outline="0" fieldPosition="0">
        <references count="9">
          <reference field="0" count="1" selected="0">
            <x v="15"/>
          </reference>
          <reference field="3" count="1">
            <x v="7803"/>
          </reference>
          <reference field="5" count="1" selected="0">
            <x v="572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58">
      <pivotArea dataOnly="0" labelOnly="1" outline="0" fieldPosition="0">
        <references count="9">
          <reference field="0" count="1" selected="0">
            <x v="15"/>
          </reference>
          <reference field="3" count="1">
            <x v="7907"/>
          </reference>
          <reference field="5" count="1" selected="0">
            <x v="660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57">
      <pivotArea dataOnly="0" labelOnly="1" outline="0" fieldPosition="0">
        <references count="9">
          <reference field="0" count="1" selected="0">
            <x v="15"/>
          </reference>
          <reference field="3" count="1">
            <x v="7901"/>
          </reference>
          <reference field="5" count="1" selected="0">
            <x v="15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65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60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655">
      <pivotArea dataOnly="0" labelOnly="1" outline="0" fieldPosition="0">
        <references count="9">
          <reference field="0" count="1" selected="0">
            <x v="15"/>
          </reference>
          <reference field="3" count="1">
            <x v="7798"/>
          </reference>
          <reference field="5" count="1" selected="0">
            <x v="660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65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6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6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5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225"/>
          </reference>
          <reference field="5" count="1" selected="0">
            <x v="66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6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3"/>
          </reference>
          <reference field="5" count="1" selected="0">
            <x v="660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65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6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4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64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16"/>
          </reference>
          <reference field="5" count="1" selected="0">
            <x v="66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9"/>
          </reference>
          <reference field="5" count="1" selected="0">
            <x v="66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6"/>
          </reference>
          <reference field="5" count="1" selected="0">
            <x v="66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6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6"/>
          </reference>
          <reference field="5" count="1" selected="0">
            <x v="660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6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0"/>
          </reference>
          <reference field="5" count="1" selected="0">
            <x v="66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6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5"/>
          </reference>
          <reference field="5" count="1" selected="0">
            <x v="66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6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6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660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454"/>
          </reference>
          <reference field="5" count="1" selected="0">
            <x v="660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6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4"/>
          </reference>
          <reference field="5" count="1" selected="0">
            <x v="66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4"/>
          </reference>
          <reference field="5" count="1" selected="0">
            <x v="66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6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0"/>
          </reference>
          <reference field="5" count="1" selected="0">
            <x v="66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6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6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6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3"/>
          </reference>
          <reference field="5" count="1" selected="0">
            <x v="572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6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6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8"/>
          </reference>
          <reference field="5" count="1" selected="0">
            <x v="66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6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630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66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29">
      <pivotArea dataOnly="0" labelOnly="1" outline="0" fieldPosition="0">
        <references count="11">
          <reference field="0" count="1" selected="0">
            <x v="7"/>
          </reference>
          <reference field="1" count="1">
            <x v="7776"/>
          </reference>
          <reference field="3" count="1" selected="0">
            <x v="7333"/>
          </reference>
          <reference field="5" count="1" selected="0">
            <x v="660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628">
      <pivotArea dataOnly="0" labelOnly="1" outline="0" fieldPosition="0">
        <references count="11">
          <reference field="0" count="1" selected="0">
            <x v="13"/>
          </reference>
          <reference field="1" count="1">
            <x v="7476"/>
          </reference>
          <reference field="3" count="1" selected="0">
            <x v="0"/>
          </reference>
          <reference field="5" count="1" selected="0">
            <x v="66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627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66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26">
      <pivotArea dataOnly="0" labelOnly="1" outline="0" fieldPosition="0">
        <references count="11">
          <reference field="0" count="1" selected="0">
            <x v="13"/>
          </reference>
          <reference field="1" count="1">
            <x v="7694"/>
          </reference>
          <reference field="3" count="1" selected="0">
            <x v="0"/>
          </reference>
          <reference field="5" count="1" selected="0">
            <x v="77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25">
      <pivotArea dataOnly="0" labelOnly="1" outline="0" fieldPosition="0">
        <references count="11">
          <reference field="0" count="1" selected="0">
            <x v="13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66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24">
      <pivotArea dataOnly="0" labelOnly="1" outline="0" fieldPosition="0">
        <references count="11">
          <reference field="0" count="1" selected="0">
            <x v="13"/>
          </reference>
          <reference field="1" count="1">
            <x v="7693"/>
          </reference>
          <reference field="3" count="1" selected="0">
            <x v="0"/>
          </reference>
          <reference field="5" count="1" selected="0">
            <x v="57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23">
      <pivotArea dataOnly="0" labelOnly="1" outline="0" fieldPosition="0">
        <references count="11">
          <reference field="0" count="1" selected="0">
            <x v="13"/>
          </reference>
          <reference field="1" count="1">
            <x v="7630"/>
          </reference>
          <reference field="3" count="1" selected="0">
            <x v="0"/>
          </reference>
          <reference field="5" count="1" selected="0">
            <x v="66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622">
      <pivotArea dataOnly="0" labelOnly="1" outline="0" fieldPosition="0">
        <references count="11">
          <reference field="0" count="1" selected="0">
            <x v="13"/>
          </reference>
          <reference field="1" count="1">
            <x v="7555"/>
          </reference>
          <reference field="3" count="1" selected="0">
            <x v="0"/>
          </reference>
          <reference field="5" count="1" selected="0">
            <x v="66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21">
      <pivotArea dataOnly="0" labelOnly="1" outline="0" fieldPosition="0">
        <references count="11">
          <reference field="0" count="1" selected="0">
            <x v="13"/>
          </reference>
          <reference field="1" count="1">
            <x v="7421"/>
          </reference>
          <reference field="3" count="1" selected="0">
            <x v="0"/>
          </reference>
          <reference field="5" count="1" selected="0">
            <x v="66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620">
      <pivotArea dataOnly="0" labelOnly="1" outline="0" fieldPosition="0">
        <references count="11">
          <reference field="0" count="1" selected="0">
            <x v="13"/>
          </reference>
          <reference field="1" count="1">
            <x v="7756"/>
          </reference>
          <reference field="3" count="1" selected="0">
            <x v="0"/>
          </reference>
          <reference field="5" count="1" selected="0">
            <x v="76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19">
      <pivotArea dataOnly="0" labelOnly="1" outline="0" fieldPosition="0">
        <references count="11">
          <reference field="0" count="1" selected="0">
            <x v="13"/>
          </reference>
          <reference field="1" count="1">
            <x v="7645"/>
          </reference>
          <reference field="3" count="1" selected="0">
            <x v="0"/>
          </reference>
          <reference field="5" count="1" selected="0">
            <x v="66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618">
      <pivotArea dataOnly="0" labelOnly="1" outline="0" fieldPosition="0">
        <references count="11">
          <reference field="0" count="1" selected="0">
            <x v="13"/>
          </reference>
          <reference field="1" count="1">
            <x v="7789"/>
          </reference>
          <reference field="3" count="1" selected="0">
            <x v="0"/>
          </reference>
          <reference field="5" count="1" selected="0">
            <x v="66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617">
      <pivotArea dataOnly="0" labelOnly="1" outline="0" fieldPosition="0">
        <references count="11">
          <reference field="0" count="1" selected="0">
            <x v="14"/>
          </reference>
          <reference field="1" count="1">
            <x v="7792"/>
          </reference>
          <reference field="3" count="1" selected="0">
            <x v="2"/>
          </reference>
          <reference field="5" count="1" selected="0">
            <x v="66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16">
      <pivotArea dataOnly="0" labelOnly="1" outline="0" fieldPosition="0">
        <references count="11">
          <reference field="0" count="1" selected="0">
            <x v="14"/>
          </reference>
          <reference field="1" count="1">
            <x v="7794"/>
          </reference>
          <reference field="3" count="1" selected="0">
            <x v="7915"/>
          </reference>
          <reference field="5" count="1" selected="0">
            <x v="66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615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708"/>
          </reference>
          <reference field="5" count="1" selected="0">
            <x v="66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614">
      <pivotArea dataOnly="0" labelOnly="1" outline="0" fieldPosition="0">
        <references count="11">
          <reference field="0" count="1" selected="0">
            <x v="14"/>
          </reference>
          <reference field="1" count="1">
            <x v="7793"/>
          </reference>
          <reference field="3" count="1" selected="0">
            <x v="2"/>
          </reference>
          <reference field="5" count="1" selected="0">
            <x v="66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613">
      <pivotArea dataOnly="0" labelOnly="1" outline="0" fieldPosition="0">
        <references count="11">
          <reference field="0" count="1" selected="0">
            <x v="15"/>
          </reference>
          <reference field="1" count="1">
            <x v="7687"/>
          </reference>
          <reference field="3" count="1" selected="0">
            <x v="0"/>
          </reference>
          <reference field="5" count="1" selected="0">
            <x v="158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612">
      <pivotArea dataOnly="0" labelOnly="1" outline="0" fieldPosition="0">
        <references count="11">
          <reference field="0" count="1" selected="0">
            <x v="15"/>
          </reference>
          <reference field="1" count="1">
            <x v="7625"/>
          </reference>
          <reference field="3" count="1" selected="0">
            <x v="7798"/>
          </reference>
          <reference field="5" count="1" selected="0">
            <x v="66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611">
      <pivotArea dataOnly="0" labelOnly="1" outline="0" fieldPosition="0">
        <references count="11">
          <reference field="0" count="1" selected="0">
            <x v="15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77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610">
      <pivotArea outline="0" collapsedLevelsAreSubtotals="1" fieldPosition="0"/>
    </format>
    <format dxfId="2609">
      <pivotArea dataOnly="0" labelOnly="1" outline="0" axis="axisValues" fieldPosition="0"/>
    </format>
    <format dxfId="2608">
      <pivotArea dataOnly="0" outline="0" fieldPosition="0">
        <references count="1">
          <reference field="12" count="0" defaultSubtotal="1"/>
        </references>
      </pivotArea>
    </format>
    <format dxfId="2607">
      <pivotArea outline="0" collapsedLevelsAreSubtotals="1" fieldPosition="0"/>
    </format>
    <format dxfId="2606">
      <pivotArea dataOnly="0" labelOnly="1" outline="0" axis="axisValues" fieldPosition="0"/>
    </format>
    <format dxfId="2605">
      <pivotArea outline="0" collapsedLevelsAreSubtotals="1" fieldPosition="0"/>
    </format>
    <format dxfId="2604">
      <pivotArea dataOnly="0" labelOnly="1" outline="0" axis="axisValues" fieldPosition="0"/>
    </format>
    <format dxfId="2603">
      <pivotArea dataOnly="0" labelOnly="1" outline="0" axis="axisValues" fieldPosition="0"/>
    </format>
    <format dxfId="2602">
      <pivotArea outline="0" collapsedLevelsAreSubtotals="1" fieldPosition="0"/>
    </format>
    <format dxfId="2601">
      <pivotArea field="12" type="button" dataOnly="0" labelOnly="1" outline="0" axis="axisRow" fieldPosition="2"/>
    </format>
    <format dxfId="2600">
      <pivotArea field="10" type="button" dataOnly="0" labelOnly="1" outline="0" axis="axisRow" fieldPosition="3"/>
    </format>
    <format dxfId="2599">
      <pivotArea field="16" type="button" dataOnly="0" labelOnly="1" outline="0" axis="axisRow" fieldPosition="4"/>
    </format>
    <format dxfId="2598">
      <pivotArea field="18" type="button" dataOnly="0" labelOnly="1" outline="0" axis="axisRow" fieldPosition="5"/>
    </format>
    <format dxfId="2597">
      <pivotArea field="5" type="button" dataOnly="0" labelOnly="1" outline="0" axis="axisRow" fieldPosition="6"/>
    </format>
    <format dxfId="2596">
      <pivotArea field="9" type="button" dataOnly="0" labelOnly="1" outline="0" axis="axisRow" fieldPosition="7"/>
    </format>
    <format dxfId="2595">
      <pivotArea field="3" type="button" dataOnly="0" labelOnly="1" outline="0" axis="axisRow" fieldPosition="8"/>
    </format>
    <format dxfId="2594">
      <pivotArea field="7" type="button" dataOnly="0" labelOnly="1" outline="0" axis="axisRow" fieldPosition="9"/>
    </format>
    <format dxfId="2593">
      <pivotArea field="1" type="button" dataOnly="0" labelOnly="1" outline="0" axis="axisRow" fieldPosition="10"/>
    </format>
    <format dxfId="2592">
      <pivotArea dataOnly="0" labelOnly="1" outline="0" axis="axisValues" fieldPosition="0"/>
    </format>
    <format dxfId="2591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259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2589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588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58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58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58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8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8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8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81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2580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257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7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257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57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7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7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72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7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6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6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5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5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5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5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5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5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55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5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55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5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3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53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53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25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52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25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25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5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25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4"/>
          </reference>
        </references>
      </pivotArea>
    </format>
    <format dxfId="2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2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5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3"/>
            <x v="36"/>
            <x v="37"/>
            <x v="38"/>
            <x v="39"/>
            <x v="41"/>
            <x v="42"/>
            <x v="58"/>
          </reference>
        </references>
      </pivotArea>
    </format>
    <format dxfId="25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73"/>
          </reference>
        </references>
      </pivotArea>
    </format>
    <format dxfId="2502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01">
      <pivotArea dataOnly="0" labelOnly="1" outline="0" fieldPosition="0">
        <references count="7">
          <reference field="0" count="1" selected="0">
            <x v="0"/>
          </reference>
          <reference field="5" count="1">
            <x v="566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500">
      <pivotArea dataOnly="0" labelOnly="1" outline="0" fieldPosition="0">
        <references count="7">
          <reference field="0" count="1" selected="0">
            <x v="0"/>
          </reference>
          <reference field="5" count="1">
            <x v="201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99">
      <pivotArea dataOnly="0" labelOnly="1" outline="0" fieldPosition="0">
        <references count="7">
          <reference field="0" count="1" selected="0">
            <x v="7"/>
          </reference>
          <reference field="5" count="1">
            <x v="213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498">
      <pivotArea dataOnly="0" labelOnly="1" outline="0" fieldPosition="0">
        <references count="7">
          <reference field="0" count="1" selected="0">
            <x v="13"/>
          </reference>
          <reference field="5" count="1">
            <x v="76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497">
      <pivotArea dataOnly="0" labelOnly="1" outline="0" fieldPosition="0">
        <references count="7">
          <reference field="0" count="1" selected="0">
            <x v="13"/>
          </reference>
          <reference field="5" count="1">
            <x v="4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96">
      <pivotArea dataOnly="0" labelOnly="1" outline="0" fieldPosition="0">
        <references count="7">
          <reference field="0" count="1" selected="0">
            <x v="13"/>
          </reference>
          <reference field="5" count="1">
            <x v="7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95">
      <pivotArea dataOnly="0" labelOnly="1" outline="0" fieldPosition="0">
        <references count="7">
          <reference field="0" count="1" selected="0">
            <x v="13"/>
          </reference>
          <reference field="5" count="1">
            <x v="74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94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93">
      <pivotArea dataOnly="0" labelOnly="1" outline="0" fieldPosition="0">
        <references count="7">
          <reference field="0" count="1" selected="0">
            <x v="13"/>
          </reference>
          <reference field="5" count="2">
            <x v="2593"/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92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91">
      <pivotArea dataOnly="0" labelOnly="1" outline="0" fieldPosition="0">
        <references count="7">
          <reference field="0" count="1" selected="0">
            <x v="13"/>
          </reference>
          <reference field="5" count="1">
            <x v="7882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490">
      <pivotArea dataOnly="0" labelOnly="1" outline="0" fieldPosition="0">
        <references count="7">
          <reference field="0" count="1" selected="0">
            <x v="14"/>
          </reference>
          <reference field="5" count="1">
            <x v="777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89">
      <pivotArea dataOnly="0" labelOnly="1" outline="0" fieldPosition="0">
        <references count="7">
          <reference field="0" count="1" selected="0">
            <x v="14"/>
          </reference>
          <reference field="5" count="1">
            <x v="786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488">
      <pivotArea dataOnly="0" labelOnly="1" outline="0" fieldPosition="0">
        <references count="7">
          <reference field="0" count="1" selected="0">
            <x v="14"/>
          </reference>
          <reference field="5" count="1">
            <x v="433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87">
      <pivotArea dataOnly="0" labelOnly="1" outline="0" fieldPosition="0">
        <references count="7">
          <reference field="0" count="1" selected="0">
            <x v="14"/>
          </reference>
          <reference field="5" count="1">
            <x v="789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86">
      <pivotArea dataOnly="0" labelOnly="1" outline="0" fieldPosition="0">
        <references count="7">
          <reference field="0" count="1" selected="0">
            <x v="14"/>
          </reference>
          <reference field="5" count="1">
            <x v="171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485">
      <pivotArea dataOnly="0" labelOnly="1" outline="0" fieldPosition="0">
        <references count="7">
          <reference field="0" count="1" selected="0">
            <x v="14"/>
          </reference>
          <reference field="5" count="1">
            <x v="3433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484">
      <pivotArea dataOnly="0" labelOnly="1" outline="0" fieldPosition="0">
        <references count="7">
          <reference field="0" count="1" selected="0">
            <x v="14"/>
          </reference>
          <reference field="5" count="1">
            <x v="789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483">
      <pivotArea dataOnly="0" labelOnly="1" outline="0" fieldPosition="0">
        <references count="7">
          <reference field="0" count="1" selected="0">
            <x v="14"/>
          </reference>
          <reference field="5" count="1">
            <x v="7900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482">
      <pivotArea dataOnly="0" labelOnly="1" outline="0" fieldPosition="0">
        <references count="7">
          <reference field="0" count="1" selected="0">
            <x v="14"/>
          </reference>
          <reference field="5" count="1">
            <x v="3475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81">
      <pivotArea dataOnly="0" labelOnly="1" outline="0" fieldPosition="0">
        <references count="7">
          <reference field="0" count="1" selected="0">
            <x v="14"/>
          </reference>
          <reference field="5" count="1">
            <x v="787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480">
      <pivotArea dataOnly="0" labelOnly="1" outline="0" fieldPosition="0">
        <references count="7">
          <reference field="0" count="1" selected="0">
            <x v="14"/>
          </reference>
          <reference field="5" count="2">
            <x v="5943"/>
            <x v="656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479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478">
      <pivotArea dataOnly="0" labelOnly="1" outline="0" fieldPosition="0">
        <references count="7">
          <reference field="0" count="1" selected="0">
            <x v="14"/>
          </reference>
          <reference field="5" count="1">
            <x v="7806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477">
      <pivotArea dataOnly="0" labelOnly="1" outline="0" fieldPosition="0">
        <references count="7">
          <reference field="0" count="1" selected="0">
            <x v="15"/>
          </reference>
          <reference field="5" count="1">
            <x v="19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76">
      <pivotArea dataOnly="0" labelOnly="1" outline="0" fieldPosition="0">
        <references count="7">
          <reference field="0" count="1" selected="0">
            <x v="15"/>
          </reference>
          <reference field="5" count="1">
            <x v="78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75">
      <pivotArea dataOnly="0" labelOnly="1" outline="0" fieldPosition="0">
        <references count="7">
          <reference field="0" count="1" selected="0">
            <x v="15"/>
          </reference>
          <reference field="5" count="1">
            <x v="77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474">
      <pivotArea dataOnly="0" labelOnly="1" outline="0" fieldPosition="0">
        <references count="7">
          <reference field="0" count="1" selected="0">
            <x v="15"/>
          </reference>
          <reference field="5" count="2">
            <x v="7865"/>
            <x v="78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73">
      <pivotArea dataOnly="0" labelOnly="1" outline="0" fieldPosition="0">
        <references count="7">
          <reference field="0" count="1" selected="0">
            <x v="15"/>
          </reference>
          <reference field="5" count="1">
            <x v="77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472">
      <pivotArea dataOnly="0" labelOnly="1" outline="0" fieldPosition="0">
        <references count="7">
          <reference field="0" count="1" selected="0">
            <x v="15"/>
          </reference>
          <reference field="5" count="1"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471">
      <pivotArea dataOnly="0" labelOnly="1" outline="0" fieldPosition="0">
        <references count="7">
          <reference field="0" count="1" selected="0">
            <x v="15"/>
          </reference>
          <reference field="5" count="1">
            <x v="789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70">
      <pivotArea dataOnly="0" labelOnly="1" outline="0" fieldPosition="0">
        <references count="7">
          <reference field="0" count="1" selected="0">
            <x v="15"/>
          </reference>
          <reference field="5" count="1">
            <x v="21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24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68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46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4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4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3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1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4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3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4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4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4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4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4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4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4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49">
      <pivotArea dataOnly="0" labelOnly="1" outline="0" fieldPosition="0">
        <references count="9">
          <reference field="0" count="1" selected="0">
            <x v="0"/>
          </reference>
          <reference field="3" count="1">
            <x v="7225"/>
          </reference>
          <reference field="5" count="1" selected="0">
            <x v="56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48">
      <pivotArea dataOnly="0" labelOnly="1" outline="0" fieldPosition="0">
        <references count="9">
          <reference field="0" count="1" selected="0">
            <x v="0"/>
          </reference>
          <reference field="3" count="1">
            <x v="7224"/>
          </reference>
          <reference field="5" count="1" selected="0">
            <x v="20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47">
      <pivotArea dataOnly="0" labelOnly="1" outline="0" fieldPosition="0">
        <references count="9">
          <reference field="0" count="1" selected="0">
            <x v="7"/>
          </reference>
          <reference field="3" count="1">
            <x v="7333"/>
          </reference>
          <reference field="5" count="1" selected="0">
            <x v="21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4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445">
      <pivotArea dataOnly="0" labelOnly="1" outline="0" fieldPosition="0">
        <references count="9">
          <reference field="0" count="1" selected="0">
            <x v="14"/>
          </reference>
          <reference field="3" count="1">
            <x v="7709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44">
      <pivotArea dataOnly="0" labelOnly="1" outline="0" fieldPosition="0">
        <references count="9">
          <reference field="0" count="1" selected="0">
            <x v="14"/>
          </reference>
          <reference field="3" count="1">
            <x v="7366"/>
          </reference>
          <reference field="5" count="1" selected="0">
            <x v="433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42">
      <pivotArea dataOnly="0" labelOnly="1" outline="0" fieldPosition="0">
        <references count="9">
          <reference field="0" count="1" selected="0">
            <x v="14"/>
          </reference>
          <reference field="3" count="1">
            <x v="7720"/>
          </reference>
          <reference field="5" count="1" selected="0">
            <x v="343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441">
      <pivotArea dataOnly="0" labelOnly="1" outline="0" fieldPosition="0">
        <references count="9">
          <reference field="0" count="1" selected="0">
            <x v="14"/>
          </reference>
          <reference field="3" count="1">
            <x v="7915"/>
          </reference>
          <reference field="5" count="1" selected="0">
            <x v="790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440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34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39">
      <pivotArea dataOnly="0" labelOnly="1" outline="0" fieldPosition="0">
        <references count="9">
          <reference field="0" count="1" selected="0">
            <x v="14"/>
          </reference>
          <reference field="3" count="1">
            <x v="7914"/>
          </reference>
          <reference field="5" count="1" selected="0">
            <x v="78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438">
      <pivotArea dataOnly="0" labelOnly="1" outline="0" fieldPosition="0">
        <references count="9">
          <reference field="0" count="1" selected="0">
            <x v="14"/>
          </reference>
          <reference field="3" count="1">
            <x v="7710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437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436">
      <pivotArea dataOnly="0" labelOnly="1" outline="0" fieldPosition="0">
        <references count="9">
          <reference field="0" count="1" selected="0">
            <x v="14"/>
          </reference>
          <reference field="3" count="1">
            <x v="7708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4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0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434">
      <pivotArea dataOnly="0" labelOnly="1" outline="0" fieldPosition="0">
        <references count="9">
          <reference field="0" count="1" selected="0">
            <x v="15"/>
          </reference>
          <reference field="3" count="1">
            <x v="7803"/>
          </reference>
          <reference field="5" count="1" selected="0">
            <x v="19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33">
      <pivotArea dataOnly="0" labelOnly="1" outline="0" fieldPosition="0">
        <references count="9">
          <reference field="0" count="1" selected="0">
            <x v="15"/>
          </reference>
          <reference field="3" count="1">
            <x v="7907"/>
          </reference>
          <reference field="5" count="1" selected="0">
            <x v="78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3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6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31">
      <pivotArea dataOnly="0" labelOnly="1" outline="0" fieldPosition="0">
        <references count="9">
          <reference field="0" count="1" selected="0">
            <x v="15"/>
          </reference>
          <reference field="3" count="1">
            <x v="7901"/>
          </reference>
          <reference field="5" count="1" selected="0">
            <x v="78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30">
      <pivotArea dataOnly="0" labelOnly="1" outline="0" fieldPosition="0">
        <references count="9">
          <reference field="0" count="1" selected="0">
            <x v="15"/>
          </reference>
          <reference field="3" count="1">
            <x v="7798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42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4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2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225"/>
          </reference>
          <reference field="5" count="1" selected="0">
            <x v="56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3"/>
          </reference>
          <reference field="5" count="1" selected="0">
            <x v="21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42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4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9"/>
          </reference>
          <reference field="5" count="1" selected="0">
            <x v="7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6"/>
          </reference>
          <reference field="5" count="1" selected="0">
            <x v="43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0"/>
          </reference>
          <reference field="5" count="1" selected="0">
            <x v="34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4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5"/>
          </reference>
          <reference field="5" count="1" selected="0">
            <x v="79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4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3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4"/>
          </reference>
          <reference field="5" count="1" selected="0">
            <x v="78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4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0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4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4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3"/>
          </reference>
          <reference field="5" count="1" selected="0">
            <x v="19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1"/>
          </reference>
          <reference field="5" count="1" selected="0">
            <x v="787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8"/>
          </reference>
          <reference field="5" count="1" selected="0">
            <x v="77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4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410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61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09">
      <pivotArea dataOnly="0" labelOnly="1" outline="0" fieldPosition="0">
        <references count="11">
          <reference field="0" count="1" selected="0">
            <x v="7"/>
          </reference>
          <reference field="1" count="1">
            <x v="7776"/>
          </reference>
          <reference field="3" count="1" selected="0">
            <x v="7333"/>
          </reference>
          <reference field="5" count="1" selected="0">
            <x v="21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408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46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07">
      <pivotArea dataOnly="0" labelOnly="1" outline="0" fieldPosition="0">
        <references count="11">
          <reference field="0" count="1" selected="0">
            <x v="13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74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06">
      <pivotArea dataOnly="0" labelOnly="1" outline="0" fieldPosition="0">
        <references count="11">
          <reference field="0" count="1" selected="0">
            <x v="13"/>
          </reference>
          <reference field="1" count="1">
            <x v="7693"/>
          </reference>
          <reference field="3" count="1" selected="0">
            <x v="0"/>
          </reference>
          <reference field="5" count="1" selected="0">
            <x v="55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05">
      <pivotArea dataOnly="0" labelOnly="1" outline="0" fieldPosition="0">
        <references count="11">
          <reference field="0" count="1" selected="0">
            <x v="13"/>
          </reference>
          <reference field="1" count="1">
            <x v="7630"/>
          </reference>
          <reference field="3" count="1" selected="0">
            <x v="0"/>
          </reference>
          <reference field="5" count="1" selected="0">
            <x v="554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04">
      <pivotArea dataOnly="0" labelOnly="1" outline="0" fieldPosition="0">
        <references count="11">
          <reference field="0" count="1" selected="0">
            <x v="13"/>
          </reference>
          <reference field="1" count="1">
            <x v="7756"/>
          </reference>
          <reference field="3" count="1" selected="0">
            <x v="0"/>
          </reference>
          <reference field="5" count="1" selected="0">
            <x v="3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03">
      <pivotArea dataOnly="0" labelOnly="1" outline="0" fieldPosition="0">
        <references count="11">
          <reference field="0" count="1" selected="0">
            <x v="13"/>
          </reference>
          <reference field="1" count="1">
            <x v="7789"/>
          </reference>
          <reference field="3" count="1" selected="0">
            <x v="0"/>
          </reference>
          <reference field="5" count="1" selected="0">
            <x v="78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402">
      <pivotArea dataOnly="0" labelOnly="1" outline="0" fieldPosition="0">
        <references count="11">
          <reference field="0" count="1" selected="0">
            <x v="14"/>
          </reference>
          <reference field="1" count="1">
            <x v="7794"/>
          </reference>
          <reference field="3" count="1" selected="0">
            <x v="7915"/>
          </reference>
          <reference field="5" count="1" selected="0">
            <x v="79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401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708"/>
          </reference>
          <reference field="5" count="1" selected="0">
            <x v="4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400">
      <pivotArea dataOnly="0" labelOnly="1" outline="0" fieldPosition="0">
        <references count="11">
          <reference field="0" count="1" selected="0">
            <x v="14"/>
          </reference>
          <reference field="1" count="1">
            <x v="7793"/>
          </reference>
          <reference field="3" count="1" selected="0">
            <x v="2"/>
          </reference>
          <reference field="5" count="1" selected="0">
            <x v="78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399">
      <pivotArea dataOnly="0" labelOnly="1" outline="0" fieldPosition="0">
        <references count="11">
          <reference field="0" count="1" selected="0">
            <x v="15"/>
          </reference>
          <reference field="1" count="1">
            <x v="7625"/>
          </reference>
          <reference field="3" count="1" selected="0">
            <x v="7798"/>
          </reference>
          <reference field="5" count="1" selected="0">
            <x v="77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398">
      <pivotArea dataOnly="0" labelOnly="1" outline="0" fieldPosition="0">
        <references count="11">
          <reference field="0" count="1" selected="0">
            <x v="15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27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397">
      <pivotArea outline="0" collapsedLevelsAreSubtotals="1" fieldPosition="0"/>
    </format>
    <format dxfId="2396">
      <pivotArea dataOnly="0" labelOnly="1" outline="0" axis="axisValues" fieldPosition="0"/>
    </format>
    <format dxfId="2395">
      <pivotArea dataOnly="0" outline="0" fieldPosition="0">
        <references count="1">
          <reference field="12" count="0" defaultSubtotal="1"/>
        </references>
      </pivotArea>
    </format>
    <format dxfId="2394">
      <pivotArea outline="0" collapsedLevelsAreSubtotals="1" fieldPosition="0"/>
    </format>
    <format dxfId="2393">
      <pivotArea dataOnly="0" labelOnly="1" outline="0" axis="axisValues" fieldPosition="0"/>
    </format>
    <format dxfId="2392">
      <pivotArea outline="0" collapsedLevelsAreSubtotals="1" fieldPosition="0"/>
    </format>
    <format dxfId="2391">
      <pivotArea dataOnly="0" labelOnly="1" outline="0" axis="axisValues" fieldPosition="0"/>
    </format>
    <format dxfId="2390">
      <pivotArea dataOnly="0" labelOnly="1" outline="0" axis="axisValues" fieldPosition="0"/>
    </format>
    <format dxfId="2389">
      <pivotArea outline="0" collapsedLevelsAreSubtotals="1" fieldPosition="0"/>
    </format>
    <format dxfId="2388">
      <pivotArea field="12" type="button" dataOnly="0" labelOnly="1" outline="0" axis="axisRow" fieldPosition="2"/>
    </format>
    <format dxfId="2387">
      <pivotArea field="10" type="button" dataOnly="0" labelOnly="1" outline="0" axis="axisRow" fieldPosition="3"/>
    </format>
    <format dxfId="2386">
      <pivotArea field="16" type="button" dataOnly="0" labelOnly="1" outline="0" axis="axisRow" fieldPosition="4"/>
    </format>
    <format dxfId="2385">
      <pivotArea field="18" type="button" dataOnly="0" labelOnly="1" outline="0" axis="axisRow" fieldPosition="5"/>
    </format>
    <format dxfId="2384">
      <pivotArea field="5" type="button" dataOnly="0" labelOnly="1" outline="0" axis="axisRow" fieldPosition="6"/>
    </format>
    <format dxfId="2383">
      <pivotArea field="9" type="button" dataOnly="0" labelOnly="1" outline="0" axis="axisRow" fieldPosition="7"/>
    </format>
    <format dxfId="2382">
      <pivotArea field="3" type="button" dataOnly="0" labelOnly="1" outline="0" axis="axisRow" fieldPosition="8"/>
    </format>
    <format dxfId="2381">
      <pivotArea field="7" type="button" dataOnly="0" labelOnly="1" outline="0" axis="axisRow" fieldPosition="9"/>
    </format>
    <format dxfId="2380">
      <pivotArea field="1" type="button" dataOnly="0" labelOnly="1" outline="0" axis="axisRow" fieldPosition="10"/>
    </format>
    <format dxfId="2379">
      <pivotArea dataOnly="0" labelOnly="1" outline="0" axis="axisValues" fieldPosition="0"/>
    </format>
    <format dxfId="2378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3"/>
          </reference>
          <reference field="13" count="1" selected="0">
            <x v="0"/>
          </reference>
        </references>
      </pivotArea>
    </format>
    <format dxfId="237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3"/>
          </reference>
          <reference field="13" count="1" selected="0">
            <x v="0"/>
          </reference>
        </references>
      </pivotArea>
    </format>
    <format dxfId="2376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2375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237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7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7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7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70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7"/>
            <x v="8"/>
            <x v="9"/>
            <x v="10"/>
            <x v="11"/>
            <x v="13"/>
            <x v="15"/>
            <x v="17"/>
            <x v="18"/>
            <x v="22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2369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7"/>
            <x v="8"/>
            <x v="9"/>
            <x v="10"/>
            <x v="11"/>
            <x v="13"/>
            <x v="15"/>
            <x v="17"/>
            <x v="18"/>
            <x v="22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236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6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3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36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36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6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61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6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5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3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35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3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3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3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34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347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3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3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34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34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34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3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3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31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9"/>
          </reference>
        </references>
      </pivotArea>
    </format>
    <format dxfId="23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23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23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3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23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3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3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2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22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2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2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2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2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2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2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2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2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2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2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2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2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2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0">
            <x v="33"/>
            <x v="34"/>
            <x v="36"/>
            <x v="37"/>
            <x v="38"/>
            <x v="39"/>
            <x v="41"/>
            <x v="42"/>
            <x v="58"/>
            <x v="130"/>
          </reference>
        </references>
      </pivotArea>
    </format>
    <format dxfId="22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3"/>
          </reference>
        </references>
      </pivotArea>
    </format>
    <format dxfId="22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279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78">
      <pivotArea dataOnly="0" labelOnly="1" outline="0" fieldPosition="0">
        <references count="7">
          <reference field="0" count="1" selected="0">
            <x v="7"/>
          </reference>
          <reference field="5" count="1">
            <x v="7593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277">
      <pivotArea dataOnly="0" labelOnly="1" outline="0" fieldPosition="0">
        <references count="7">
          <reference field="0" count="1" selected="0">
            <x v="7"/>
          </reference>
          <reference field="5" count="1">
            <x v="213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276">
      <pivotArea dataOnly="0" labelOnly="1" outline="0" fieldPosition="0">
        <references count="7">
          <reference field="0" count="1" selected="0">
            <x v="12"/>
          </reference>
          <reference field="5" count="2">
            <x v="7905"/>
            <x v="790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75">
      <pivotArea dataOnly="0" labelOnly="1" outline="0" fieldPosition="0">
        <references count="7">
          <reference field="0" count="1" selected="0">
            <x v="13"/>
          </reference>
          <reference field="5" count="1">
            <x v="76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274">
      <pivotArea dataOnly="0" labelOnly="1" outline="0" fieldPosition="0">
        <references count="7">
          <reference field="0" count="1" selected="0">
            <x v="13"/>
          </reference>
          <reference field="5" count="1">
            <x v="4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73">
      <pivotArea dataOnly="0" labelOnly="1" outline="0" fieldPosition="0">
        <references count="7">
          <reference field="0" count="1" selected="0">
            <x v="13"/>
          </reference>
          <reference field="5" count="1">
            <x v="7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72">
      <pivotArea dataOnly="0" labelOnly="1" outline="0" fieldPosition="0">
        <references count="7">
          <reference field="0" count="1" selected="0">
            <x v="13"/>
          </reference>
          <reference field="5" count="1">
            <x v="74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1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70">
      <pivotArea dataOnly="0" labelOnly="1" outline="0" fieldPosition="0">
        <references count="7">
          <reference field="0" count="1" selected="0">
            <x v="13"/>
          </reference>
          <reference field="5" count="1"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69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68">
      <pivotArea dataOnly="0" labelOnly="1" outline="0" fieldPosition="0">
        <references count="7">
          <reference field="0" count="1" selected="0">
            <x v="13"/>
          </reference>
          <reference field="5" count="1">
            <x v="7882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267">
      <pivotArea dataOnly="0" labelOnly="1" outline="0" fieldPosition="0">
        <references count="7">
          <reference field="0" count="1" selected="0">
            <x v="14"/>
          </reference>
          <reference field="5" count="1">
            <x v="777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66">
      <pivotArea dataOnly="0" labelOnly="1" outline="0" fieldPosition="0">
        <references count="7">
          <reference field="0" count="1" selected="0">
            <x v="14"/>
          </reference>
          <reference field="5" count="1">
            <x v="786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265">
      <pivotArea dataOnly="0" labelOnly="1" outline="0" fieldPosition="0">
        <references count="7">
          <reference field="0" count="1" selected="0">
            <x v="14"/>
          </reference>
          <reference field="5" count="1">
            <x v="433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64">
      <pivotArea dataOnly="0" labelOnly="1" outline="0" fieldPosition="0">
        <references count="7">
          <reference field="0" count="1" selected="0">
            <x v="14"/>
          </reference>
          <reference field="5" count="1">
            <x v="614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63">
      <pivotArea dataOnly="0" labelOnly="1" outline="0" fieldPosition="0">
        <references count="7">
          <reference field="0" count="1" selected="0">
            <x v="14"/>
          </reference>
          <reference field="5" count="1">
            <x v="272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262">
      <pivotArea dataOnly="0" labelOnly="1" outline="0" fieldPosition="0">
        <references count="7">
          <reference field="0" count="1" selected="0">
            <x v="14"/>
          </reference>
          <reference field="5" count="1">
            <x v="790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261">
      <pivotArea dataOnly="0" labelOnly="1" outline="0" fieldPosition="0">
        <references count="7">
          <reference field="0" count="1" selected="0">
            <x v="14"/>
          </reference>
          <reference field="5" count="1">
            <x v="7899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260">
      <pivotArea dataOnly="0" labelOnly="1" outline="0" fieldPosition="0">
        <references count="7">
          <reference field="0" count="1" selected="0">
            <x v="14"/>
          </reference>
          <reference field="5" count="1">
            <x v="3433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59">
      <pivotArea dataOnly="0" labelOnly="1" outline="0" fieldPosition="0">
        <references count="7">
          <reference field="0" count="1" selected="0">
            <x v="14"/>
          </reference>
          <reference field="5" count="1">
            <x v="5082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58">
      <pivotArea dataOnly="0" labelOnly="1" outline="0" fieldPosition="0">
        <references count="7">
          <reference field="0" count="1" selected="0">
            <x v="14"/>
          </reference>
          <reference field="5" count="1">
            <x v="3775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2257">
      <pivotArea dataOnly="0" labelOnly="1" outline="0" fieldPosition="0">
        <references count="7">
          <reference field="0" count="1" selected="0">
            <x v="14"/>
          </reference>
          <reference field="5" count="1">
            <x v="3475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56">
      <pivotArea dataOnly="0" labelOnly="1" outline="0" fieldPosition="0">
        <references count="7">
          <reference field="0" count="1" selected="0">
            <x v="14"/>
          </reference>
          <reference field="5" count="1">
            <x v="3988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255">
      <pivotArea dataOnly="0" labelOnly="1" outline="0" fieldPosition="0">
        <references count="7">
          <reference field="0" count="1" selected="0">
            <x v="14"/>
          </reference>
          <reference field="5" count="2">
            <x v="5943"/>
            <x v="656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254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253">
      <pivotArea dataOnly="0" labelOnly="1" outline="0" fieldPosition="0">
        <references count="7">
          <reference field="0" count="1" selected="0">
            <x v="14"/>
          </reference>
          <reference field="5" count="1">
            <x v="235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252">
      <pivotArea dataOnly="0" labelOnly="1" outline="0" fieldPosition="0">
        <references count="7">
          <reference field="0" count="1" selected="0">
            <x v="15"/>
          </reference>
          <reference field="5" count="1">
            <x v="19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51">
      <pivotArea dataOnly="0" labelOnly="1" outline="0" fieldPosition="0">
        <references count="7">
          <reference field="0" count="1" selected="0">
            <x v="15"/>
          </reference>
          <reference field="5" count="1">
            <x v="790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50">
      <pivotArea dataOnly="0" labelOnly="1" outline="0" fieldPosition="0">
        <references count="7">
          <reference field="0" count="1" selected="0">
            <x v="15"/>
          </reference>
          <reference field="5" count="1">
            <x v="78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49">
      <pivotArea dataOnly="0" labelOnly="1" outline="0" fieldPosition="0">
        <references count="7">
          <reference field="0" count="1" selected="0">
            <x v="15"/>
          </reference>
          <reference field="5" count="1">
            <x v="77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248">
      <pivotArea dataOnly="0" labelOnly="1" outline="0" fieldPosition="0">
        <references count="7">
          <reference field="0" count="1" selected="0">
            <x v="15"/>
          </reference>
          <reference field="5" count="2">
            <x v="7865"/>
            <x v="78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47">
      <pivotArea dataOnly="0" labelOnly="1" outline="0" fieldPosition="0">
        <references count="7">
          <reference field="0" count="1" selected="0">
            <x v="15"/>
          </reference>
          <reference field="5" count="1">
            <x v="77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46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245">
      <pivotArea dataOnly="0" labelOnly="1" outline="0" fieldPosition="0">
        <references count="7">
          <reference field="0" count="1" selected="0">
            <x v="15"/>
          </reference>
          <reference field="5" count="1">
            <x v="38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2244">
      <pivotArea dataOnly="0" labelOnly="1" outline="0" fieldPosition="0">
        <references count="7">
          <reference field="0" count="1" selected="0">
            <x v="15"/>
          </reference>
          <reference field="5" count="1">
            <x v="111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3"/>
          </reference>
        </references>
      </pivotArea>
    </format>
    <format dxfId="2243">
      <pivotArea dataOnly="0" labelOnly="1" outline="0" fieldPosition="0">
        <references count="7">
          <reference field="0" count="1" selected="0">
            <x v="15"/>
          </reference>
          <reference field="5" count="1">
            <x v="789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9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2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23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0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2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2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3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2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2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2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3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22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2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2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5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2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2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10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3"/>
          </reference>
        </references>
      </pivotArea>
    </format>
    <format dxfId="22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18">
      <pivotArea dataOnly="0" labelOnly="1" outline="0" fieldPosition="0">
        <references count="9">
          <reference field="0" count="1" selected="0">
            <x v="7"/>
          </reference>
          <reference field="3" count="1">
            <x v="7586"/>
          </reference>
          <reference field="5" count="1" selected="0">
            <x v="759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217">
      <pivotArea dataOnly="0" labelOnly="1" outline="0" fieldPosition="0">
        <references count="9">
          <reference field="0" count="1" selected="0">
            <x v="7"/>
          </reference>
          <reference field="3" count="1">
            <x v="7333"/>
          </reference>
          <reference field="5" count="1" selected="0">
            <x v="21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21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0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1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214">
      <pivotArea dataOnly="0" labelOnly="1" outline="0" fieldPosition="0">
        <references count="9">
          <reference field="0" count="1" selected="0">
            <x v="14"/>
          </reference>
          <reference field="3" count="1">
            <x v="7709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13">
      <pivotArea dataOnly="0" labelOnly="1" outline="0" fieldPosition="0">
        <references count="9">
          <reference field="0" count="1" selected="0">
            <x v="14"/>
          </reference>
          <reference field="3" count="1">
            <x v="7366"/>
          </reference>
          <reference field="5" count="1" selected="0">
            <x v="433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1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4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11">
      <pivotArea dataOnly="0" labelOnly="1" outline="0" fieldPosition="0">
        <references count="9">
          <reference field="0" count="1" selected="0">
            <x v="14"/>
          </reference>
          <reference field="3" count="1">
            <x v="7897"/>
          </reference>
          <reference field="5" count="1" selected="0">
            <x v="27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2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209">
      <pivotArea dataOnly="0" labelOnly="1" outline="0" fieldPosition="0">
        <references count="9">
          <reference field="0" count="1" selected="0">
            <x v="14"/>
          </reference>
          <reference field="3" count="1">
            <x v="7720"/>
          </reference>
          <reference field="5" count="1" selected="0">
            <x v="343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08">
      <pivotArea dataOnly="0" labelOnly="1" outline="0" fieldPosition="0">
        <references count="9">
          <reference field="0" count="1" selected="0">
            <x v="14"/>
          </reference>
          <reference field="3" count="1">
            <x v="7730"/>
          </reference>
          <reference field="5" count="1" selected="0">
            <x v="377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2207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34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06">
      <pivotArea dataOnly="0" labelOnly="1" outline="0" fieldPosition="0">
        <references count="9">
          <reference field="0" count="1" selected="0">
            <x v="14"/>
          </reference>
          <reference field="3" count="1">
            <x v="7750"/>
          </reference>
          <reference field="5" count="1" selected="0">
            <x v="398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205">
      <pivotArea dataOnly="0" labelOnly="1" outline="0" fieldPosition="0">
        <references count="9">
          <reference field="0" count="1" selected="0">
            <x v="14"/>
          </reference>
          <reference field="3" count="1">
            <x v="7710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204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203">
      <pivotArea dataOnly="0" labelOnly="1" outline="0" fieldPosition="0">
        <references count="9">
          <reference field="0" count="1" selected="0">
            <x v="14"/>
          </reference>
          <reference field="3" count="1">
            <x v="7708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202">
      <pivotArea dataOnly="0" labelOnly="1" outline="0" fieldPosition="0">
        <references count="9">
          <reference field="0" count="1" selected="0">
            <x v="14"/>
          </reference>
          <reference field="3" count="1">
            <x v="7919"/>
          </reference>
          <reference field="5" count="1" selected="0">
            <x v="235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201">
      <pivotArea dataOnly="0" labelOnly="1" outline="0" fieldPosition="0">
        <references count="9">
          <reference field="0" count="1" selected="0">
            <x v="15"/>
          </reference>
          <reference field="3" count="1">
            <x v="7803"/>
          </reference>
          <reference field="5" count="1" selected="0">
            <x v="19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0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0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99">
      <pivotArea dataOnly="0" labelOnly="1" outline="0" fieldPosition="0">
        <references count="9">
          <reference field="0" count="1" selected="0">
            <x v="15"/>
          </reference>
          <reference field="3" count="1">
            <x v="7907"/>
          </reference>
          <reference field="5" count="1" selected="0">
            <x v="78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9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6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197">
      <pivotArea dataOnly="0" labelOnly="1" outline="0" fieldPosition="0">
        <references count="9">
          <reference field="0" count="1" selected="0">
            <x v="15"/>
          </reference>
          <reference field="3" count="1">
            <x v="7901"/>
          </reference>
          <reference field="5" count="1" selected="0">
            <x v="78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196">
      <pivotArea dataOnly="0" labelOnly="1" outline="0" fieldPosition="0">
        <references count="9">
          <reference field="0" count="1" selected="0">
            <x v="15"/>
          </reference>
          <reference field="3" count="1">
            <x v="7798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19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194">
      <pivotArea dataOnly="0" labelOnly="1" outline="0" fieldPosition="0">
        <references count="9">
          <reference field="0" count="1" selected="0">
            <x v="15"/>
          </reference>
          <reference field="3" count="1">
            <x v="7728"/>
          </reference>
          <reference field="5" count="1" selected="0">
            <x v="38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2193">
      <pivotArea dataOnly="0" labelOnly="1" outline="0" fieldPosition="0">
        <references count="9">
          <reference field="0" count="1" selected="0">
            <x v="15"/>
          </reference>
          <reference field="3" count="1">
            <x v="7917"/>
          </reference>
          <reference field="5" count="1" selected="0">
            <x v="111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3"/>
          </reference>
        </references>
      </pivotArea>
    </format>
    <format dxfId="219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9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1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86"/>
          </reference>
          <reference field="5" count="1" selected="0">
            <x v="759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1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3"/>
          </reference>
          <reference field="5" count="1" selected="0">
            <x v="21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18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1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1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9"/>
          </reference>
          <reference field="5" count="1" selected="0">
            <x v="7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6"/>
          </reference>
          <reference field="5" count="1" selected="0">
            <x v="43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1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7"/>
          </reference>
          <reference field="5" count="1" selected="0">
            <x v="27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1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1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0"/>
          </reference>
          <reference field="5" count="1" selected="0">
            <x v="34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0"/>
          </reference>
          <reference field="5" count="1" selected="0">
            <x v="37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21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3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0"/>
          </reference>
          <reference field="5" count="1" selected="0">
            <x v="39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1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0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1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9"/>
          </reference>
          <reference field="5" count="1" selected="0">
            <x v="23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1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3"/>
          </reference>
          <reference field="5" count="1" selected="0">
            <x v="19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7"/>
          </reference>
          <reference field="5" count="1" selected="0">
            <x v="789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1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1"/>
          </reference>
          <reference field="5" count="1" selected="0">
            <x v="787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1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8"/>
          </reference>
          <reference field="5" count="1" selected="0">
            <x v="77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1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1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28"/>
          </reference>
          <reference field="5" count="1" selected="0">
            <x v="38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21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9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166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61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65">
      <pivotArea dataOnly="0" labelOnly="1" outline="0" fieldPosition="0">
        <references count="11">
          <reference field="0" count="1" selected="0">
            <x v="7"/>
          </reference>
          <reference field="1" count="1">
            <x v="7776"/>
          </reference>
          <reference field="3" count="1" selected="0">
            <x v="7333"/>
          </reference>
          <reference field="5" count="1" selected="0">
            <x v="21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164">
      <pivotArea dataOnly="0" labelOnly="1" outline="0" fieldPosition="0">
        <references count="11">
          <reference field="0" count="1" selected="0">
            <x v="12"/>
          </reference>
          <reference field="1" count="1">
            <x v="7807"/>
          </reference>
          <reference field="3" count="1" selected="0">
            <x v="0"/>
          </reference>
          <reference field="5" count="1" selected="0">
            <x v="79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163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46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62">
      <pivotArea dataOnly="0" labelOnly="1" outline="0" fieldPosition="0">
        <references count="11">
          <reference field="0" count="1" selected="0">
            <x v="13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74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61">
      <pivotArea dataOnly="0" labelOnly="1" outline="0" fieldPosition="0">
        <references count="11">
          <reference field="0" count="1" selected="0">
            <x v="13"/>
          </reference>
          <reference field="1" count="1">
            <x v="7693"/>
          </reference>
          <reference field="3" count="1" selected="0">
            <x v="0"/>
          </reference>
          <reference field="5" count="1" selected="0">
            <x v="55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60">
      <pivotArea dataOnly="0" labelOnly="1" outline="0" fieldPosition="0">
        <references count="11">
          <reference field="0" count="1" selected="0">
            <x v="13"/>
          </reference>
          <reference field="1" count="1">
            <x v="7630"/>
          </reference>
          <reference field="3" count="1" selected="0">
            <x v="0"/>
          </reference>
          <reference field="5" count="1" selected="0">
            <x v="554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59">
      <pivotArea dataOnly="0" labelOnly="1" outline="0" fieldPosition="0">
        <references count="11">
          <reference field="0" count="1" selected="0">
            <x v="13"/>
          </reference>
          <reference field="1" count="1">
            <x v="7756"/>
          </reference>
          <reference field="3" count="1" selected="0">
            <x v="0"/>
          </reference>
          <reference field="5" count="1" selected="0">
            <x v="3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58">
      <pivotArea dataOnly="0" labelOnly="1" outline="0" fieldPosition="0">
        <references count="11">
          <reference field="0" count="1" selected="0">
            <x v="13"/>
          </reference>
          <reference field="1" count="1">
            <x v="7789"/>
          </reference>
          <reference field="3" count="1" selected="0">
            <x v="0"/>
          </reference>
          <reference field="5" count="1" selected="0">
            <x v="78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157">
      <pivotArea dataOnly="0" labelOnly="1" outline="0" fieldPosition="0">
        <references count="11">
          <reference field="0" count="1" selected="0">
            <x v="14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61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156">
      <pivotArea dataOnly="0" labelOnly="1" outline="0" fieldPosition="0">
        <references count="11">
          <reference field="0" count="1" selected="0">
            <x v="14"/>
          </reference>
          <reference field="1" count="1">
            <x v="7805"/>
          </reference>
          <reference field="3" count="1" selected="0">
            <x v="7720"/>
          </reference>
          <reference field="5" count="1" selected="0">
            <x v="343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55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708"/>
          </reference>
          <reference field="5" count="1" selected="0">
            <x v="4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154">
      <pivotArea dataOnly="0" labelOnly="1" outline="0" fieldPosition="0">
        <references count="11">
          <reference field="0" count="1" selected="0">
            <x v="14"/>
          </reference>
          <reference field="1" count="1">
            <x v="7806"/>
          </reference>
          <reference field="3" count="1" selected="0">
            <x v="7919"/>
          </reference>
          <reference field="5" count="1" selected="0">
            <x v="23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153">
      <pivotArea dataOnly="0" labelOnly="1" outline="0" fieldPosition="0">
        <references count="11">
          <reference field="0" count="1" selected="0">
            <x v="15"/>
          </reference>
          <reference field="1" count="1">
            <x v="7625"/>
          </reference>
          <reference field="3" count="1" selected="0">
            <x v="7798"/>
          </reference>
          <reference field="5" count="1" selected="0">
            <x v="77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152">
      <pivotArea dataOnly="0" labelOnly="1" outline="0" fieldPosition="0">
        <references count="11">
          <reference field="0" count="1" selected="0">
            <x v="15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27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151">
      <pivotArea dataOnly="0" labelOnly="1" outline="0" fieldPosition="0">
        <references count="11">
          <reference field="0" count="1" selected="0">
            <x v="15"/>
          </reference>
          <reference field="1" count="1">
            <x v="7562"/>
          </reference>
          <reference field="3" count="1" selected="0">
            <x v="7728"/>
          </reference>
          <reference field="5" count="1" selected="0">
            <x v="382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2150">
      <pivotArea outline="0" collapsedLevelsAreSubtotals="1" fieldPosition="0"/>
    </format>
    <format dxfId="2149">
      <pivotArea dataOnly="0" labelOnly="1" outline="0" axis="axisValues" fieldPosition="0"/>
    </format>
    <format dxfId="2148">
      <pivotArea dataOnly="0" outline="0" fieldPosition="0">
        <references count="1">
          <reference field="12" count="0" defaultSubtotal="1"/>
        </references>
      </pivotArea>
    </format>
    <format dxfId="2147">
      <pivotArea outline="0" collapsedLevelsAreSubtotals="1" fieldPosition="0"/>
    </format>
    <format dxfId="2146">
      <pivotArea dataOnly="0" labelOnly="1" outline="0" axis="axisValues" fieldPosition="0"/>
    </format>
    <format dxfId="2145">
      <pivotArea outline="0" collapsedLevelsAreSubtotals="1" fieldPosition="0"/>
    </format>
    <format dxfId="2144">
      <pivotArea dataOnly="0" labelOnly="1" outline="0" axis="axisValues" fieldPosition="0"/>
    </format>
    <format dxfId="2143">
      <pivotArea dataOnly="0" labelOnly="1" outline="0" axis="axisValues" fieldPosition="0"/>
    </format>
    <format dxfId="2142">
      <pivotArea outline="0" collapsedLevelsAreSubtotals="1" fieldPosition="0"/>
    </format>
    <format dxfId="2141">
      <pivotArea field="12" type="button" dataOnly="0" labelOnly="1" outline="0" axis="axisRow" fieldPosition="2"/>
    </format>
    <format dxfId="2140">
      <pivotArea field="10" type="button" dataOnly="0" labelOnly="1" outline="0" axis="axisRow" fieldPosition="3"/>
    </format>
    <format dxfId="2139">
      <pivotArea field="16" type="button" dataOnly="0" labelOnly="1" outline="0" axis="axisRow" fieldPosition="4"/>
    </format>
    <format dxfId="2138">
      <pivotArea field="18" type="button" dataOnly="0" labelOnly="1" outline="0" axis="axisRow" fieldPosition="5"/>
    </format>
    <format dxfId="2137">
      <pivotArea field="5" type="button" dataOnly="0" labelOnly="1" outline="0" axis="axisRow" fieldPosition="6"/>
    </format>
    <format dxfId="2136">
      <pivotArea field="9" type="button" dataOnly="0" labelOnly="1" outline="0" axis="axisRow" fieldPosition="7"/>
    </format>
    <format dxfId="2135">
      <pivotArea field="3" type="button" dataOnly="0" labelOnly="1" outline="0" axis="axisRow" fieldPosition="8"/>
    </format>
    <format dxfId="2134">
      <pivotArea field="7" type="button" dataOnly="0" labelOnly="1" outline="0" axis="axisRow" fieldPosition="9"/>
    </format>
    <format dxfId="2133">
      <pivotArea field="1" type="button" dataOnly="0" labelOnly="1" outline="0" axis="axisRow" fieldPosition="10"/>
    </format>
    <format dxfId="2132">
      <pivotArea dataOnly="0" labelOnly="1" outline="0" axis="axisValues" fieldPosition="0"/>
    </format>
    <format dxfId="2131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13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12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2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27">
      <pivotArea dataOnly="0" labelOnly="1" outline="0" fieldPosition="0">
        <references count="3">
          <reference field="0" count="1" selected="0">
            <x v="9"/>
          </reference>
          <reference field="12" count="1">
            <x v="7"/>
          </reference>
          <reference field="13" count="1" selected="0">
            <x v="2"/>
          </reference>
        </references>
      </pivotArea>
    </format>
    <format dxfId="2126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7"/>
          </reference>
          <reference field="13" count="1" selected="0">
            <x v="2"/>
          </reference>
        </references>
      </pivotArea>
    </format>
    <format dxfId="212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2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23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5"/>
            <x v="7"/>
            <x v="9"/>
            <x v="10"/>
            <x v="11"/>
            <x v="13"/>
            <x v="14"/>
            <x v="15"/>
            <x v="18"/>
            <x v="19"/>
            <x v="21"/>
            <x v="23"/>
            <x v="24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2122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5"/>
            <x v="7"/>
            <x v="9"/>
            <x v="10"/>
            <x v="11"/>
            <x v="13"/>
            <x v="14"/>
            <x v="15"/>
            <x v="18"/>
            <x v="19"/>
            <x v="21"/>
            <x v="23"/>
            <x v="24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212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2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11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17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1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15">
      <pivotArea dataOnly="0" labelOnly="1" outline="0" fieldPosition="0">
        <references count="4">
          <reference field="0" count="1" selected="0">
            <x v="14"/>
          </reference>
          <reference field="10" count="3">
            <x v="30"/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1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10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1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1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1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1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103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10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10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100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0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09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09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09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3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0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067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0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20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20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20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0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0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0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0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0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20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0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0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0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0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0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0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0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0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2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20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2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0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0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0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4"/>
            <x v="36"/>
            <x v="39"/>
            <x v="41"/>
            <x v="42"/>
            <x v="58"/>
          </reference>
        </references>
      </pivotArea>
    </format>
    <format dxfId="20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5"/>
            <x v="43"/>
            <x v="44"/>
            <x v="45"/>
            <x v="68"/>
            <x v="71"/>
            <x v="78"/>
          </reference>
        </references>
      </pivotArea>
    </format>
    <format dxfId="20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033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32">
      <pivotArea dataOnly="0" labelOnly="1" outline="0" fieldPosition="0">
        <references count="7">
          <reference field="0" count="1" selected="0">
            <x v="7"/>
          </reference>
          <reference field="5" count="1">
            <x v="213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31">
      <pivotArea dataOnly="0" labelOnly="1" outline="0" fieldPosition="0">
        <references count="7">
          <reference field="0" count="1" selected="0">
            <x v="13"/>
          </reference>
          <reference field="5" count="1">
            <x v="76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30">
      <pivotArea dataOnly="0" labelOnly="1" outline="0" fieldPosition="0">
        <references count="7">
          <reference field="0" count="1" selected="0">
            <x v="13"/>
          </reference>
          <reference field="5" count="1">
            <x v="4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29">
      <pivotArea dataOnly="0" labelOnly="1" outline="0" fieldPosition="0">
        <references count="7">
          <reference field="0" count="1" selected="0">
            <x v="13"/>
          </reference>
          <reference field="5" count="1">
            <x v="7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28">
      <pivotArea dataOnly="0" labelOnly="1" outline="0" fieldPosition="0">
        <references count="7">
          <reference field="0" count="1" selected="0">
            <x v="13"/>
          </reference>
          <reference field="5" count="1">
            <x v="74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27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26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25">
      <pivotArea dataOnly="0" labelOnly="1" outline="0" fieldPosition="0">
        <references count="7">
          <reference field="0" count="1" selected="0">
            <x v="13"/>
          </reference>
          <reference field="5" count="1">
            <x v="7882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24">
      <pivotArea dataOnly="0" labelOnly="1" outline="0" fieldPosition="0">
        <references count="7">
          <reference field="0" count="1" selected="0">
            <x v="14"/>
          </reference>
          <reference field="5" count="1">
            <x v="347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23">
      <pivotArea dataOnly="0" labelOnly="1" outline="0" fieldPosition="0">
        <references count="7">
          <reference field="0" count="1" selected="0">
            <x v="14"/>
          </reference>
          <reference field="5" count="1">
            <x v="777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22">
      <pivotArea dataOnly="0" labelOnly="1" outline="0" fieldPosition="0">
        <references count="7">
          <reference field="0" count="1" selected="0">
            <x v="14"/>
          </reference>
          <reference field="5" count="1">
            <x v="790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21">
      <pivotArea dataOnly="0" labelOnly="1" outline="0" fieldPosition="0">
        <references count="7">
          <reference field="0" count="1" selected="0">
            <x v="14"/>
          </reference>
          <reference field="5" count="1">
            <x v="786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020">
      <pivotArea dataOnly="0" labelOnly="1" outline="0" fieldPosition="0">
        <references count="7">
          <reference field="0" count="1" selected="0">
            <x v="14"/>
          </reference>
          <reference field="5" count="1">
            <x v="791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19">
      <pivotArea dataOnly="0" labelOnly="1" outline="0" fieldPosition="0">
        <references count="7">
          <reference field="0" count="1" selected="0">
            <x v="14"/>
          </reference>
          <reference field="5" count="1">
            <x v="272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018">
      <pivotArea dataOnly="0" labelOnly="1" outline="0" fieldPosition="0">
        <references count="7">
          <reference field="0" count="1" selected="0">
            <x v="14"/>
          </reference>
          <reference field="5" count="1">
            <x v="7911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17">
      <pivotArea dataOnly="0" labelOnly="1" outline="0" fieldPosition="0">
        <references count="7">
          <reference field="0" count="1" selected="0">
            <x v="14"/>
          </reference>
          <reference field="5" count="1">
            <x v="6146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16">
      <pivotArea dataOnly="0" labelOnly="1" outline="0" fieldPosition="0">
        <references count="7">
          <reference field="0" count="1" selected="0">
            <x v="14"/>
          </reference>
          <reference field="5" count="1">
            <x v="790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15">
      <pivotArea dataOnly="0" labelOnly="1" outline="0" fieldPosition="0">
        <references count="7">
          <reference field="0" count="1" selected="0">
            <x v="14"/>
          </reference>
          <reference field="5" count="1">
            <x v="3855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014">
      <pivotArea dataOnly="0" labelOnly="1" outline="0" fieldPosition="0">
        <references count="7">
          <reference field="0" count="1" selected="0">
            <x v="14"/>
          </reference>
          <reference field="5" count="1">
            <x v="787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013">
      <pivotArea dataOnly="0" labelOnly="1" outline="0" fieldPosition="0">
        <references count="7">
          <reference field="0" count="1" selected="0">
            <x v="14"/>
          </reference>
          <reference field="5" count="1">
            <x v="110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012">
      <pivotArea dataOnly="0" labelOnly="1" outline="0" fieldPosition="0">
        <references count="7">
          <reference field="0" count="1" selected="0">
            <x v="14"/>
          </reference>
          <reference field="5" count="1">
            <x v="7910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11">
      <pivotArea dataOnly="0" labelOnly="1" outline="0" fieldPosition="0">
        <references count="7">
          <reference field="0" count="1" selected="0">
            <x v="14"/>
          </reference>
          <reference field="5" count="1">
            <x v="3988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010">
      <pivotArea dataOnly="0" labelOnly="1" outline="0" fieldPosition="0">
        <references count="7">
          <reference field="0" count="1" selected="0">
            <x v="14"/>
          </reference>
          <reference field="5" count="2">
            <x v="5943"/>
            <x v="656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009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008">
      <pivotArea dataOnly="0" labelOnly="1" outline="0" fieldPosition="0">
        <references count="7">
          <reference field="0" count="1" selected="0">
            <x v="15"/>
          </reference>
          <reference field="5" count="1">
            <x v="19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07">
      <pivotArea dataOnly="0" labelOnly="1" outline="0" fieldPosition="0">
        <references count="7">
          <reference field="0" count="1" selected="0">
            <x v="15"/>
          </reference>
          <reference field="5" count="1">
            <x v="790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06">
      <pivotArea dataOnly="0" labelOnly="1" outline="0" fieldPosition="0">
        <references count="7">
          <reference field="0" count="1" selected="0">
            <x v="15"/>
          </reference>
          <reference field="5" count="1">
            <x v="78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05">
      <pivotArea dataOnly="0" labelOnly="1" outline="0" fieldPosition="0">
        <references count="7">
          <reference field="0" count="1" selected="0">
            <x v="15"/>
          </reference>
          <reference field="5" count="2">
            <x v="7865"/>
            <x v="78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04">
      <pivotArea dataOnly="0" labelOnly="1" outline="0" fieldPosition="0">
        <references count="7">
          <reference field="0" count="1" selected="0">
            <x v="15"/>
          </reference>
          <reference field="5" count="1">
            <x v="77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03">
      <pivotArea dataOnly="0" labelOnly="1" outline="0" fieldPosition="0">
        <references count="7">
          <reference field="0" count="1" selected="0">
            <x v="15"/>
          </reference>
          <reference field="5" count="1"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002">
      <pivotArea dataOnly="0" labelOnly="1" outline="0" fieldPosition="0">
        <references count="7">
          <reference field="0" count="1" selected="0">
            <x v="15"/>
          </reference>
          <reference field="5" count="1">
            <x v="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01">
      <pivotArea dataOnly="0" labelOnly="1" outline="0" fieldPosition="0">
        <references count="7">
          <reference field="0" count="1" selected="0">
            <x v="15"/>
          </reference>
          <reference field="5" count="1">
            <x v="787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00">
      <pivotArea dataOnly="0" labelOnly="1" outline="0" fieldPosition="0">
        <references count="7">
          <reference field="0" count="1" selected="0">
            <x v="15"/>
          </reference>
          <reference field="5" count="2">
            <x v="7907"/>
            <x v="790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999">
      <pivotArea dataOnly="0" labelOnly="1" outline="0" fieldPosition="0">
        <references count="7">
          <reference field="0" count="1" selected="0">
            <x v="15"/>
          </reference>
          <reference field="5" count="1">
            <x v="554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98">
      <pivotArea dataOnly="0" labelOnly="1" outline="0" fieldPosition="0">
        <references count="7">
          <reference field="0" count="1" selected="0">
            <x v="15"/>
          </reference>
          <reference field="5" count="1">
            <x v="78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9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99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9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9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9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9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0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9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9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9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9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79">
      <pivotArea dataOnly="0" labelOnly="1" outline="0" fieldPosition="0">
        <references count="9">
          <reference field="0" count="1" selected="0">
            <x v="7"/>
          </reference>
          <reference field="3" count="1">
            <x v="7333"/>
          </reference>
          <reference field="5" count="1" selected="0">
            <x v="21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97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77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34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76">
      <pivotArea dataOnly="0" labelOnly="1" outline="0" fieldPosition="0">
        <references count="9">
          <reference field="0" count="1" selected="0">
            <x v="14"/>
          </reference>
          <reference field="3" count="1">
            <x v="7709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7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74">
      <pivotArea dataOnly="0" labelOnly="1" outline="0" fieldPosition="0">
        <references count="9">
          <reference field="0" count="1" selected="0">
            <x v="14"/>
          </reference>
          <reference field="3" count="1">
            <x v="2919"/>
          </reference>
          <reference field="5" count="1" selected="0">
            <x v="791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73">
      <pivotArea dataOnly="0" labelOnly="1" outline="0" fieldPosition="0">
        <references count="9">
          <reference field="0" count="1" selected="0">
            <x v="14"/>
          </reference>
          <reference field="3" count="1">
            <x v="7897"/>
          </reference>
          <reference field="5" count="1" selected="0">
            <x v="27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972">
      <pivotArea dataOnly="0" labelOnly="1" outline="0" fieldPosition="0">
        <references count="9">
          <reference field="0" count="1" selected="0">
            <x v="14"/>
          </reference>
          <reference field="3" count="1">
            <x v="7720"/>
          </reference>
          <reference field="5" count="1" selected="0">
            <x v="791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97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4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70">
      <pivotArea dataOnly="0" labelOnly="1" outline="0" fieldPosition="0">
        <references count="9">
          <reference field="0" count="1" selected="0">
            <x v="14"/>
          </reference>
          <reference field="3" count="1">
            <x v="7921"/>
          </reference>
          <reference field="5" count="1" selected="0">
            <x v="79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69">
      <pivotArea dataOnly="0" labelOnly="1" outline="0" fieldPosition="0">
        <references count="9">
          <reference field="0" count="1" selected="0">
            <x v="14"/>
          </reference>
          <reference field="3" count="1">
            <x v="7529"/>
          </reference>
          <reference field="5" count="1" selected="0">
            <x v="3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968">
      <pivotArea dataOnly="0" labelOnly="1" outline="0" fieldPosition="0">
        <references count="9">
          <reference field="0" count="1" selected="0">
            <x v="14"/>
          </reference>
          <reference field="3" count="1">
            <x v="7914"/>
          </reference>
          <reference field="5" count="1" selected="0">
            <x v="78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967">
      <pivotArea dataOnly="0" labelOnly="1" outline="0" fieldPosition="0">
        <references count="9">
          <reference field="0" count="1" selected="0">
            <x v="14"/>
          </reference>
          <reference field="3" count="1">
            <x v="7922"/>
          </reference>
          <reference field="5" count="1" selected="0">
            <x v="110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96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1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65">
      <pivotArea dataOnly="0" labelOnly="1" outline="0" fieldPosition="0">
        <references count="9">
          <reference field="0" count="1" selected="0">
            <x v="14"/>
          </reference>
          <reference field="3" count="1">
            <x v="7750"/>
          </reference>
          <reference field="5" count="1" selected="0">
            <x v="398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964">
      <pivotArea dataOnly="0" labelOnly="1" outline="0" fieldPosition="0">
        <references count="9">
          <reference field="0" count="1" selected="0">
            <x v="14"/>
          </reference>
          <reference field="3" count="1">
            <x v="7710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963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962">
      <pivotArea dataOnly="0" labelOnly="1" outline="0" fieldPosition="0">
        <references count="9">
          <reference field="0" count="1" selected="0">
            <x v="14"/>
          </reference>
          <reference field="3" count="1">
            <x v="7708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961">
      <pivotArea dataOnly="0" labelOnly="1" outline="0" fieldPosition="0">
        <references count="9">
          <reference field="0" count="1" selected="0">
            <x v="15"/>
          </reference>
          <reference field="3" count="1">
            <x v="7803"/>
          </reference>
          <reference field="5" count="1" selected="0">
            <x v="19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6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0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59">
      <pivotArea dataOnly="0" labelOnly="1" outline="0" fieldPosition="0">
        <references count="9">
          <reference field="0" count="1" selected="0">
            <x v="15"/>
          </reference>
          <reference field="3" count="1">
            <x v="7907"/>
          </reference>
          <reference field="5" count="1" selected="0">
            <x v="78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58">
      <pivotArea dataOnly="0" labelOnly="1" outline="0" fieldPosition="0">
        <references count="9">
          <reference field="0" count="1" selected="0">
            <x v="15"/>
          </reference>
          <reference field="3" count="1">
            <x v="7901"/>
          </reference>
          <reference field="5" count="1" selected="0">
            <x v="78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57">
      <pivotArea dataOnly="0" labelOnly="1" outline="0" fieldPosition="0">
        <references count="9">
          <reference field="0" count="1" selected="0">
            <x v="15"/>
          </reference>
          <reference field="3" count="1">
            <x v="7798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95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9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3"/>
          </reference>
          <reference field="5" count="1" selected="0">
            <x v="21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95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3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9"/>
          </reference>
          <reference field="5" count="1" selected="0">
            <x v="7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19"/>
          </reference>
          <reference field="5" count="1" selected="0">
            <x v="79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7"/>
          </reference>
          <reference field="5" count="1" selected="0">
            <x v="27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9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0"/>
          </reference>
          <reference field="5" count="1" selected="0">
            <x v="791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9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1"/>
          </reference>
          <reference field="5" count="1" selected="0">
            <x v="79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9"/>
          </reference>
          <reference field="5" count="1" selected="0">
            <x v="38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9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4"/>
          </reference>
          <reference field="5" count="1" selected="0">
            <x v="78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9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2"/>
          </reference>
          <reference field="5" count="1" selected="0">
            <x v="11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9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1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0"/>
          </reference>
          <reference field="5" count="1" selected="0">
            <x v="39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9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0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9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3"/>
          </reference>
          <reference field="5" count="1" selected="0">
            <x v="19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7"/>
          </reference>
          <reference field="5" count="1" selected="0">
            <x v="789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1"/>
          </reference>
          <reference field="5" count="1" selected="0">
            <x v="787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8"/>
          </reference>
          <reference field="5" count="1" selected="0">
            <x v="77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9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932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61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31">
      <pivotArea dataOnly="0" labelOnly="1" outline="0" fieldPosition="0">
        <references count="11">
          <reference field="0" count="1" selected="0">
            <x v="7"/>
          </reference>
          <reference field="1" count="1">
            <x v="7776"/>
          </reference>
          <reference field="3" count="1" selected="0">
            <x v="7333"/>
          </reference>
          <reference field="5" count="1" selected="0">
            <x v="21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930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46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29">
      <pivotArea dataOnly="0" labelOnly="1" outline="0" fieldPosition="0">
        <references count="11">
          <reference field="0" count="1" selected="0">
            <x v="13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74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28">
      <pivotArea dataOnly="0" labelOnly="1" outline="0" fieldPosition="0">
        <references count="11">
          <reference field="0" count="1" selected="0">
            <x v="13"/>
          </reference>
          <reference field="1" count="1">
            <x v="7693"/>
          </reference>
          <reference field="3" count="1" selected="0">
            <x v="0"/>
          </reference>
          <reference field="5" count="1" selected="0">
            <x v="55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27">
      <pivotArea dataOnly="0" labelOnly="1" outline="0" fieldPosition="0">
        <references count="11">
          <reference field="0" count="1" selected="0">
            <x v="13"/>
          </reference>
          <reference field="1" count="1">
            <x v="7756"/>
          </reference>
          <reference field="3" count="1" selected="0">
            <x v="0"/>
          </reference>
          <reference field="5" count="1" selected="0">
            <x v="3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26">
      <pivotArea dataOnly="0" labelOnly="1" outline="0" fieldPosition="0">
        <references count="11">
          <reference field="0" count="1" selected="0">
            <x v="13"/>
          </reference>
          <reference field="1" count="1">
            <x v="7789"/>
          </reference>
          <reference field="3" count="1" selected="0">
            <x v="0"/>
          </reference>
          <reference field="5" count="1" selected="0">
            <x v="78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25">
      <pivotArea dataOnly="0" labelOnly="1" outline="0" fieldPosition="0">
        <references count="11">
          <reference field="0" count="1" selected="0">
            <x v="14"/>
          </reference>
          <reference field="1" count="1">
            <x v="7811"/>
          </reference>
          <reference field="3" count="1" selected="0">
            <x v="0"/>
          </reference>
          <reference field="5" count="1" selected="0">
            <x v="790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24">
      <pivotArea dataOnly="0" labelOnly="1" outline="0" fieldPosition="0">
        <references count="11">
          <reference field="0" count="1" selected="0">
            <x v="14"/>
          </reference>
          <reference field="1" count="1">
            <x v="7815"/>
          </reference>
          <reference field="3" count="1" selected="0">
            <x v="2919"/>
          </reference>
          <reference field="5" count="1" selected="0">
            <x v="791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23">
      <pivotArea dataOnly="0" labelOnly="1" outline="0" fieldPosition="0">
        <references count="11">
          <reference field="0" count="1" selected="0">
            <x v="14"/>
          </reference>
          <reference field="1" count="1">
            <x v="7814"/>
          </reference>
          <reference field="3" count="1" selected="0">
            <x v="7720"/>
          </reference>
          <reference field="5" count="1" selected="0">
            <x v="791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922">
      <pivotArea dataOnly="0" labelOnly="1" outline="0" fieldPosition="0">
        <references count="11">
          <reference field="0" count="1" selected="0">
            <x v="14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61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21">
      <pivotArea dataOnly="0" labelOnly="1" outline="0" fieldPosition="0">
        <references count="11">
          <reference field="0" count="1" selected="0">
            <x v="14"/>
          </reference>
          <reference field="1" count="1">
            <x v="7306"/>
          </reference>
          <reference field="3" count="1" selected="0">
            <x v="7529"/>
          </reference>
          <reference field="5" count="1" selected="0">
            <x v="385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920">
      <pivotArea dataOnly="0" labelOnly="1" outline="0" fieldPosition="0">
        <references count="11">
          <reference field="0" count="1" selected="0">
            <x v="14"/>
          </reference>
          <reference field="1" count="1">
            <x v="7812"/>
          </reference>
          <reference field="3" count="1" selected="0">
            <x v="0"/>
          </reference>
          <reference field="5" count="1" selected="0">
            <x v="791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19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708"/>
          </reference>
          <reference field="5" count="1" selected="0">
            <x v="4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918">
      <pivotArea dataOnly="0" labelOnly="1" outline="0" fieldPosition="0">
        <references count="11">
          <reference field="0" count="1" selected="0">
            <x v="15"/>
          </reference>
          <reference field="1" count="1">
            <x v="7625"/>
          </reference>
          <reference field="3" count="1" selected="0">
            <x v="7798"/>
          </reference>
          <reference field="5" count="1" selected="0">
            <x v="77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917">
      <pivotArea dataOnly="0" labelOnly="1" outline="0" fieldPosition="0">
        <references count="11">
          <reference field="0" count="1" selected="0">
            <x v="15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27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916">
      <pivotArea dataOnly="0" labelOnly="1" outline="0" fieldPosition="0">
        <references count="11">
          <reference field="0" count="1" selected="0">
            <x v="15"/>
          </reference>
          <reference field="1" count="1">
            <x v="7766"/>
          </reference>
          <reference field="3" count="1" selected="0">
            <x v="0"/>
          </reference>
          <reference field="5" count="1" selected="0">
            <x v="78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915">
      <pivotArea dataOnly="0" labelOnly="1" outline="0" fieldPosition="0">
        <references count="11">
          <reference field="0" count="1" selected="0">
            <x v="15"/>
          </reference>
          <reference field="1" count="1">
            <x v="7810"/>
          </reference>
          <reference field="3" count="1" selected="0">
            <x v="0"/>
          </reference>
          <reference field="5" count="1" selected="0">
            <x v="55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14">
      <pivotArea outline="0" collapsedLevelsAreSubtotals="1" fieldPosition="0"/>
    </format>
    <format dxfId="1913">
      <pivotArea dataOnly="0" labelOnly="1" outline="0" axis="axisValues" fieldPosition="0"/>
    </format>
    <format dxfId="1912">
      <pivotArea dataOnly="0" outline="0" fieldPosition="0">
        <references count="1">
          <reference field="12" count="0" defaultSubtotal="1"/>
        </references>
      </pivotArea>
    </format>
    <format dxfId="1911">
      <pivotArea outline="0" collapsedLevelsAreSubtotals="1" fieldPosition="0"/>
    </format>
    <format dxfId="1910">
      <pivotArea dataOnly="0" labelOnly="1" outline="0" axis="axisValues" fieldPosition="0"/>
    </format>
    <format dxfId="1909">
      <pivotArea outline="0" collapsedLevelsAreSubtotals="1" fieldPosition="0"/>
    </format>
    <format dxfId="1908">
      <pivotArea dataOnly="0" labelOnly="1" outline="0" axis="axisValues" fieldPosition="0"/>
    </format>
    <format dxfId="1907">
      <pivotArea dataOnly="0" labelOnly="1" outline="0" axis="axisValues" fieldPosition="0"/>
    </format>
    <format dxfId="1906">
      <pivotArea outline="0" collapsedLevelsAreSubtotals="1" fieldPosition="0"/>
    </format>
    <format dxfId="1905">
      <pivotArea field="12" type="button" dataOnly="0" labelOnly="1" outline="0" axis="axisRow" fieldPosition="2"/>
    </format>
    <format dxfId="1904">
      <pivotArea field="10" type="button" dataOnly="0" labelOnly="1" outline="0" axis="axisRow" fieldPosition="3"/>
    </format>
    <format dxfId="1903">
      <pivotArea field="16" type="button" dataOnly="0" labelOnly="1" outline="0" axis="axisRow" fieldPosition="4"/>
    </format>
    <format dxfId="1902">
      <pivotArea field="18" type="button" dataOnly="0" labelOnly="1" outline="0" axis="axisRow" fieldPosition="5"/>
    </format>
    <format dxfId="1901">
      <pivotArea field="5" type="button" dataOnly="0" labelOnly="1" outline="0" axis="axisRow" fieldPosition="6"/>
    </format>
    <format dxfId="1900">
      <pivotArea field="9" type="button" dataOnly="0" labelOnly="1" outline="0" axis="axisRow" fieldPosition="7"/>
    </format>
    <format dxfId="1899">
      <pivotArea field="3" type="button" dataOnly="0" labelOnly="1" outline="0" axis="axisRow" fieldPosition="8"/>
    </format>
    <format dxfId="1898">
      <pivotArea field="7" type="button" dataOnly="0" labelOnly="1" outline="0" axis="axisRow" fieldPosition="9"/>
    </format>
    <format dxfId="1897">
      <pivotArea field="1" type="button" dataOnly="0" labelOnly="1" outline="0" axis="axisRow" fieldPosition="10"/>
    </format>
    <format dxfId="1896">
      <pivotArea dataOnly="0" labelOnly="1" outline="0" axis="axisValues" fieldPosition="0"/>
    </format>
    <format dxfId="1895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89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89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9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91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890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88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8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8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8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85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884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88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8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88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7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7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7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7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7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7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7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7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71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7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67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6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8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86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86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86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8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8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83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63"/>
          </reference>
        </references>
      </pivotArea>
    </format>
    <format dxfId="183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83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5"/>
            <x v="85"/>
          </reference>
        </references>
      </pivotArea>
    </format>
    <format dxfId="183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83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63"/>
          </reference>
        </references>
      </pivotArea>
    </format>
    <format dxfId="183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182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"/>
          </reference>
        </references>
      </pivotArea>
    </format>
    <format dxfId="18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18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8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8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7"/>
          </reference>
        </references>
      </pivotArea>
    </format>
    <format dxfId="1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8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4"/>
            <x v="36"/>
            <x v="39"/>
            <x v="41"/>
            <x v="42"/>
            <x v="58"/>
          </reference>
        </references>
      </pivotArea>
    </format>
    <format dxfId="18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8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3"/>
            <x v="45"/>
          </reference>
        </references>
      </pivotArea>
    </format>
    <format dxfId="1807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806">
      <pivotArea dataOnly="0" labelOnly="1" outline="0" fieldPosition="0">
        <references count="7">
          <reference field="0" count="1" selected="0">
            <x v="7"/>
          </reference>
          <reference field="5" count="1">
            <x v="213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805">
      <pivotArea dataOnly="0" labelOnly="1" outline="0" fieldPosition="0">
        <references count="7">
          <reference field="0" count="1" selected="0">
            <x v="11"/>
          </reference>
          <reference field="5" count="1">
            <x v="495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04">
      <pivotArea dataOnly="0" labelOnly="1" outline="0" fieldPosition="0">
        <references count="7">
          <reference field="0" count="1" selected="0">
            <x v="11"/>
          </reference>
          <reference field="5" count="1">
            <x v="509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803">
      <pivotArea dataOnly="0" labelOnly="1" outline="0" fieldPosition="0">
        <references count="7">
          <reference field="0" count="1" selected="0">
            <x v="11"/>
          </reference>
          <reference field="5" count="1">
            <x v="619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1802">
      <pivotArea dataOnly="0" labelOnly="1" outline="0" fieldPosition="0">
        <references count="7">
          <reference field="0" count="1" selected="0">
            <x v="11"/>
          </reference>
          <reference field="5" count="1">
            <x v="718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01">
      <pivotArea dataOnly="0" labelOnly="1" outline="0" fieldPosition="0">
        <references count="7">
          <reference field="0" count="1" selected="0">
            <x v="11"/>
          </reference>
          <reference field="5" count="1">
            <x v="709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00">
      <pivotArea dataOnly="0" labelOnly="1" outline="0" fieldPosition="0">
        <references count="7">
          <reference field="0" count="1" selected="0">
            <x v="11"/>
          </reference>
          <reference field="5" count="1">
            <x v="528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99">
      <pivotArea dataOnly="0" labelOnly="1" outline="0" fieldPosition="0">
        <references count="7">
          <reference field="0" count="1" selected="0">
            <x v="12"/>
          </reference>
          <reference field="5" count="1">
            <x v="594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98">
      <pivotArea dataOnly="0" labelOnly="1" outline="0" fieldPosition="0">
        <references count="7">
          <reference field="0" count="1" selected="0">
            <x v="13"/>
          </reference>
          <reference field="5" count="1">
            <x v="76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97">
      <pivotArea dataOnly="0" labelOnly="1" outline="0" fieldPosition="0">
        <references count="7">
          <reference field="0" count="1" selected="0">
            <x v="13"/>
          </reference>
          <reference field="5" count="1">
            <x v="4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96">
      <pivotArea dataOnly="0" labelOnly="1" outline="0" fieldPosition="0">
        <references count="7">
          <reference field="0" count="1" selected="0">
            <x v="13"/>
          </reference>
          <reference field="5" count="1">
            <x v="7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95">
      <pivotArea dataOnly="0" labelOnly="1" outline="0" fieldPosition="0">
        <references count="7">
          <reference field="0" count="1" selected="0">
            <x v="13"/>
          </reference>
          <reference field="5" count="1">
            <x v="74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94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93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92">
      <pivotArea dataOnly="0" labelOnly="1" outline="0" fieldPosition="0">
        <references count="7">
          <reference field="0" count="1" selected="0">
            <x v="13"/>
          </reference>
          <reference field="5" count="1">
            <x v="7882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91">
      <pivotArea dataOnly="0" labelOnly="1" outline="0" fieldPosition="0">
        <references count="7">
          <reference field="0" count="1" selected="0">
            <x v="14"/>
          </reference>
          <reference field="5" count="1">
            <x v="347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90">
      <pivotArea dataOnly="0" labelOnly="1" outline="0" fieldPosition="0">
        <references count="7">
          <reference field="0" count="1" selected="0">
            <x v="14"/>
          </reference>
          <reference field="5" count="1">
            <x v="777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89">
      <pivotArea dataOnly="0" labelOnly="1" outline="0" fieldPosition="0">
        <references count="7">
          <reference field="0" count="1" selected="0">
            <x v="14"/>
          </reference>
          <reference field="5" count="1">
            <x v="791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788">
      <pivotArea dataOnly="0" labelOnly="1" outline="0" fieldPosition="0">
        <references count="7">
          <reference field="0" count="1" selected="0">
            <x v="14"/>
          </reference>
          <reference field="5" count="1">
            <x v="6146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87">
      <pivotArea dataOnly="0" labelOnly="1" outline="0" fieldPosition="0">
        <references count="7">
          <reference field="0" count="1" selected="0">
            <x v="14"/>
          </reference>
          <reference field="5" count="1">
            <x v="7715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86">
      <pivotArea dataOnly="0" labelOnly="1" outline="0" fieldPosition="0">
        <references count="7">
          <reference field="0" count="1" selected="0">
            <x v="14"/>
          </reference>
          <reference field="5" count="1">
            <x v="7899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785">
      <pivotArea dataOnly="0" labelOnly="1" outline="0" fieldPosition="0">
        <references count="7">
          <reference field="0" count="1" selected="0">
            <x v="14"/>
          </reference>
          <reference field="5" count="1">
            <x v="4409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84">
      <pivotArea dataOnly="0" labelOnly="1" outline="0" fieldPosition="0">
        <references count="7">
          <reference field="0" count="1" selected="0">
            <x v="14"/>
          </reference>
          <reference field="5" count="1">
            <x v="5082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83">
      <pivotArea dataOnly="0" labelOnly="1" outline="0" fieldPosition="0">
        <references count="7">
          <reference field="0" count="1" selected="0">
            <x v="14"/>
          </reference>
          <reference field="5" count="2">
            <x v="5943"/>
            <x v="656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782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781">
      <pivotArea dataOnly="0" labelOnly="1" outline="0" fieldPosition="0">
        <references count="7">
          <reference field="0" count="1" selected="0">
            <x v="14"/>
          </reference>
          <reference field="5" count="1">
            <x v="7915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80">
      <pivotArea dataOnly="0" labelOnly="1" outline="0" fieldPosition="0">
        <references count="7">
          <reference field="0" count="1" selected="0">
            <x v="15"/>
          </reference>
          <reference field="5" count="1">
            <x v="19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79">
      <pivotArea dataOnly="0" labelOnly="1" outline="0" fieldPosition="0">
        <references count="7">
          <reference field="0" count="1" selected="0">
            <x v="15"/>
          </reference>
          <reference field="5" count="1">
            <x v="790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78">
      <pivotArea dataOnly="0" labelOnly="1" outline="0" fieldPosition="0">
        <references count="7">
          <reference field="0" count="1" selected="0">
            <x v="15"/>
          </reference>
          <reference field="5" count="2">
            <x v="7865"/>
            <x v="78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77">
      <pivotArea dataOnly="0" labelOnly="1" outline="0" fieldPosition="0">
        <references count="7">
          <reference field="0" count="1" selected="0">
            <x v="15"/>
          </reference>
          <reference field="5" count="1">
            <x v="77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76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775">
      <pivotArea dataOnly="0" labelOnly="1" outline="0" fieldPosition="0">
        <references count="7">
          <reference field="0" count="1" selected="0">
            <x v="15"/>
          </reference>
          <reference field="5" count="1">
            <x v="779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74">
      <pivotArea dataOnly="0" labelOnly="1" outline="0" fieldPosition="0">
        <references count="7">
          <reference field="0" count="1" selected="0">
            <x v="15"/>
          </reference>
          <reference field="5" count="1">
            <x v="791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7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77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77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4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7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9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7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0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7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7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757">
      <pivotArea dataOnly="0" labelOnly="1" outline="0" fieldPosition="0">
        <references count="9">
          <reference field="0" count="1" selected="0">
            <x v="7"/>
          </reference>
          <reference field="3" count="1">
            <x v="7333"/>
          </reference>
          <reference field="5" count="1" selected="0">
            <x v="21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756">
      <pivotArea dataOnly="0" labelOnly="1" outline="0" fieldPosition="0">
        <references count="9">
          <reference field="0" count="1" selected="0">
            <x v="11"/>
          </reference>
          <reference field="3" count="1">
            <x v="7318"/>
          </reference>
          <reference field="5" count="1" selected="0">
            <x v="49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55">
      <pivotArea dataOnly="0" labelOnly="1" outline="0" fieldPosition="0">
        <references count="9">
          <reference field="0" count="1" selected="0">
            <x v="11"/>
          </reference>
          <reference field="3" count="1">
            <x v="7641"/>
          </reference>
          <reference field="5" count="1" selected="0">
            <x v="50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754">
      <pivotArea dataOnly="0" labelOnly="1" outline="0" fieldPosition="0">
        <references count="9">
          <reference field="0" count="1" selected="0">
            <x v="11"/>
          </reference>
          <reference field="3" count="1">
            <x v="7745"/>
          </reference>
          <reference field="5" count="1" selected="0">
            <x v="61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1753">
      <pivotArea dataOnly="0" labelOnly="1" outline="0" fieldPosition="0">
        <references count="9">
          <reference field="0" count="1" selected="0">
            <x v="11"/>
          </reference>
          <reference field="3" count="1">
            <x v="7744"/>
          </reference>
          <reference field="5" count="1" selected="0">
            <x v="71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52">
      <pivotArea dataOnly="0" labelOnly="1" outline="0" fieldPosition="0">
        <references count="9">
          <reference field="0" count="1" selected="0">
            <x v="11"/>
          </reference>
          <reference field="3" count="1">
            <x v="7409"/>
          </reference>
          <reference field="5" count="1" selected="0">
            <x v="70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51">
      <pivotArea dataOnly="0" labelOnly="1" outline="0" fieldPosition="0">
        <references count="9">
          <reference field="0" count="1" selected="0">
            <x v="11"/>
          </reference>
          <reference field="3" count="1">
            <x v="7743"/>
          </reference>
          <reference field="5" count="1" selected="0">
            <x v="52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5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4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4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48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34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47">
      <pivotArea dataOnly="0" labelOnly="1" outline="0" fieldPosition="0">
        <references count="9">
          <reference field="0" count="1" selected="0">
            <x v="14"/>
          </reference>
          <reference field="3" count="1">
            <x v="7709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46">
      <pivotArea dataOnly="0" labelOnly="1" outline="0" fieldPosition="0">
        <references count="9">
          <reference field="0" count="1" selected="0">
            <x v="14"/>
          </reference>
          <reference field="3" count="1">
            <x v="7720"/>
          </reference>
          <reference field="5" count="1" selected="0">
            <x v="791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74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4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44">
      <pivotArea dataOnly="0" labelOnly="1" outline="0" fieldPosition="0">
        <references count="9">
          <reference field="0" count="1" selected="0">
            <x v="14"/>
          </reference>
          <reference field="3" count="1">
            <x v="7739"/>
          </reference>
          <reference field="5" count="1" selected="0">
            <x v="771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742">
      <pivotArea dataOnly="0" labelOnly="1" outline="0" fieldPosition="0">
        <references count="9">
          <reference field="0" count="1" selected="0">
            <x v="14"/>
          </reference>
          <reference field="3" count="1">
            <x v="7710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741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740">
      <pivotArea dataOnly="0" labelOnly="1" outline="0" fieldPosition="0">
        <references count="9">
          <reference field="0" count="1" selected="0">
            <x v="14"/>
          </reference>
          <reference field="3" count="1">
            <x v="7708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739">
      <pivotArea dataOnly="0" labelOnly="1" outline="0" fieldPosition="0">
        <references count="9">
          <reference field="0" count="1" selected="0">
            <x v="14"/>
          </reference>
          <reference field="3" count="1">
            <x v="7923"/>
          </reference>
          <reference field="5" count="1" selected="0">
            <x v="791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38">
      <pivotArea dataOnly="0" labelOnly="1" outline="0" fieldPosition="0">
        <references count="9">
          <reference field="0" count="1" selected="0">
            <x v="15"/>
          </reference>
          <reference field="3" count="1">
            <x v="7803"/>
          </reference>
          <reference field="5" count="1" selected="0">
            <x v="19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3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0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36">
      <pivotArea dataOnly="0" labelOnly="1" outline="0" fieldPosition="0">
        <references count="9">
          <reference field="0" count="1" selected="0">
            <x v="15"/>
          </reference>
          <reference field="3" count="1">
            <x v="7901"/>
          </reference>
          <reference field="5" count="1" selected="0">
            <x v="78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35">
      <pivotArea dataOnly="0" labelOnly="1" outline="0" fieldPosition="0">
        <references count="9">
          <reference field="0" count="1" selected="0">
            <x v="15"/>
          </reference>
          <reference field="3" count="1">
            <x v="7798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3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7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7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3"/>
          </reference>
          <reference field="5" count="1" selected="0">
            <x v="21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73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41"/>
          </reference>
          <reference field="5" count="1" selected="0">
            <x v="50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73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2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3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9"/>
          </reference>
          <reference field="5" count="1" selected="0">
            <x v="7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0"/>
          </reference>
          <reference field="5" count="1" selected="0">
            <x v="791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7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9"/>
          </reference>
          <reference field="5" count="1" selected="0">
            <x v="771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7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0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7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3"/>
          </reference>
          <reference field="5" count="1" selected="0">
            <x v="79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3"/>
          </reference>
          <reference field="5" count="1" selected="0">
            <x v="19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1"/>
          </reference>
          <reference field="5" count="1" selected="0">
            <x v="787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8"/>
          </reference>
          <reference field="5" count="1" selected="0">
            <x v="77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715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61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714">
      <pivotArea dataOnly="0" labelOnly="1" outline="0" fieldPosition="0">
        <references count="11">
          <reference field="0" count="1" selected="0">
            <x v="7"/>
          </reference>
          <reference field="1" count="1">
            <x v="7776"/>
          </reference>
          <reference field="3" count="1" selected="0">
            <x v="7333"/>
          </reference>
          <reference field="5" count="1" selected="0">
            <x v="21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713">
      <pivotArea dataOnly="0" labelOnly="1" outline="0" fieldPosition="0">
        <references count="11">
          <reference field="0" count="1" selected="0">
            <x v="11"/>
          </reference>
          <reference field="1" count="1">
            <x v="7826"/>
          </reference>
          <reference field="3" count="1" selected="0">
            <x v="7641"/>
          </reference>
          <reference field="5" count="1" selected="0">
            <x v="50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712">
      <pivotArea dataOnly="0" labelOnly="1" outline="0" fieldPosition="0">
        <references count="11">
          <reference field="0" count="1" selected="0">
            <x v="11"/>
          </reference>
          <reference field="1" count="1">
            <x v="7589"/>
          </reference>
          <reference field="3" count="1" selected="0">
            <x v="7743"/>
          </reference>
          <reference field="5" count="1" selected="0">
            <x v="52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11">
      <pivotArea dataOnly="0" labelOnly="1" outline="0" fieldPosition="0">
        <references count="11">
          <reference field="0" count="1" selected="0">
            <x v="12"/>
          </reference>
          <reference field="1" count="1">
            <x v="7458"/>
          </reference>
          <reference field="3" count="1" selected="0">
            <x v="0"/>
          </reference>
          <reference field="5" count="1" selected="0">
            <x v="59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10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46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09">
      <pivotArea dataOnly="0" labelOnly="1" outline="0" fieldPosition="0">
        <references count="11">
          <reference field="0" count="1" selected="0">
            <x v="13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74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08">
      <pivotArea dataOnly="0" labelOnly="1" outline="0" fieldPosition="0">
        <references count="11">
          <reference field="0" count="1" selected="0">
            <x v="13"/>
          </reference>
          <reference field="1" count="1">
            <x v="7693"/>
          </reference>
          <reference field="3" count="1" selected="0">
            <x v="0"/>
          </reference>
          <reference field="5" count="1" selected="0">
            <x v="55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07">
      <pivotArea dataOnly="0" labelOnly="1" outline="0" fieldPosition="0">
        <references count="11">
          <reference field="0" count="1" selected="0">
            <x v="13"/>
          </reference>
          <reference field="1" count="1">
            <x v="7756"/>
          </reference>
          <reference field="3" count="1" selected="0">
            <x v="0"/>
          </reference>
          <reference field="5" count="1" selected="0">
            <x v="3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06">
      <pivotArea dataOnly="0" labelOnly="1" outline="0" fieldPosition="0">
        <references count="11">
          <reference field="0" count="1" selected="0">
            <x v="13"/>
          </reference>
          <reference field="1" count="1">
            <x v="7789"/>
          </reference>
          <reference field="3" count="1" selected="0">
            <x v="0"/>
          </reference>
          <reference field="5" count="1" selected="0">
            <x v="78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05">
      <pivotArea dataOnly="0" labelOnly="1" outline="0" fieldPosition="0">
        <references count="11">
          <reference field="0" count="1" selected="0">
            <x v="14"/>
          </reference>
          <reference field="1" count="1">
            <x v="7814"/>
          </reference>
          <reference field="3" count="1" selected="0">
            <x v="7720"/>
          </reference>
          <reference field="5" count="1" selected="0">
            <x v="791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704">
      <pivotArea dataOnly="0" labelOnly="1" outline="0" fieldPosition="0">
        <references count="11">
          <reference field="0" count="1" selected="0">
            <x v="14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61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03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708"/>
          </reference>
          <reference field="5" count="1" selected="0">
            <x v="4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702">
      <pivotArea dataOnly="0" labelOnly="1" outline="0" fieldPosition="0">
        <references count="11">
          <reference field="0" count="1" selected="0">
            <x v="14"/>
          </reference>
          <reference field="1" count="1">
            <x v="7825"/>
          </reference>
          <reference field="3" count="1" selected="0">
            <x v="7923"/>
          </reference>
          <reference field="5" count="1" selected="0">
            <x v="79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01">
      <pivotArea dataOnly="0" labelOnly="1" outline="0" fieldPosition="0">
        <references count="11">
          <reference field="0" count="1" selected="0">
            <x v="15"/>
          </reference>
          <reference field="1" count="1">
            <x v="7625"/>
          </reference>
          <reference field="3" count="1" selected="0">
            <x v="7798"/>
          </reference>
          <reference field="5" count="1" selected="0">
            <x v="77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00">
      <pivotArea dataOnly="0" labelOnly="1" outline="0" fieldPosition="0">
        <references count="11">
          <reference field="0" count="1" selected="0">
            <x v="15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27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699">
      <pivotArea outline="0" collapsedLevelsAreSubtotals="1" fieldPosition="0"/>
    </format>
    <format dxfId="1698">
      <pivotArea dataOnly="0" labelOnly="1" outline="0" axis="axisValues" fieldPosition="0"/>
    </format>
    <format dxfId="1697">
      <pivotArea dataOnly="0" outline="0" fieldPosition="0">
        <references count="1">
          <reference field="12" count="0" defaultSubtotal="1"/>
        </references>
      </pivotArea>
    </format>
    <format dxfId="1696">
      <pivotArea outline="0" collapsedLevelsAreSubtotals="1" fieldPosition="0"/>
    </format>
    <format dxfId="1695">
      <pivotArea dataOnly="0" labelOnly="1" outline="0" axis="axisValues" fieldPosition="0"/>
    </format>
    <format dxfId="1694">
      <pivotArea outline="0" collapsedLevelsAreSubtotals="1" fieldPosition="0"/>
    </format>
    <format dxfId="1693">
      <pivotArea dataOnly="0" labelOnly="1" outline="0" axis="axisValues" fieldPosition="0"/>
    </format>
    <format dxfId="1692">
      <pivotArea dataOnly="0" labelOnly="1" outline="0" axis="axisValues" fieldPosition="0"/>
    </format>
    <format dxfId="1691">
      <pivotArea outline="0" collapsedLevelsAreSubtotals="1" fieldPosition="0"/>
    </format>
    <format dxfId="1690">
      <pivotArea field="12" type="button" dataOnly="0" labelOnly="1" outline="0" axis="axisRow" fieldPosition="2"/>
    </format>
    <format dxfId="1689">
      <pivotArea field="10" type="button" dataOnly="0" labelOnly="1" outline="0" axis="axisRow" fieldPosition="3"/>
    </format>
    <format dxfId="1688">
      <pivotArea field="16" type="button" dataOnly="0" labelOnly="1" outline="0" axis="axisRow" fieldPosition="4"/>
    </format>
    <format dxfId="1687">
      <pivotArea field="18" type="button" dataOnly="0" labelOnly="1" outline="0" axis="axisRow" fieldPosition="5"/>
    </format>
    <format dxfId="1686">
      <pivotArea field="5" type="button" dataOnly="0" labelOnly="1" outline="0" axis="axisRow" fieldPosition="6"/>
    </format>
    <format dxfId="1685">
      <pivotArea field="9" type="button" dataOnly="0" labelOnly="1" outline="0" axis="axisRow" fieldPosition="7"/>
    </format>
    <format dxfId="1684">
      <pivotArea field="3" type="button" dataOnly="0" labelOnly="1" outline="0" axis="axisRow" fieldPosition="8"/>
    </format>
    <format dxfId="1683">
      <pivotArea field="7" type="button" dataOnly="0" labelOnly="1" outline="0" axis="axisRow" fieldPosition="9"/>
    </format>
    <format dxfId="1682">
      <pivotArea field="1" type="button" dataOnly="0" labelOnly="1" outline="0" axis="axisRow" fieldPosition="10"/>
    </format>
    <format dxfId="1681">
      <pivotArea dataOnly="0" labelOnly="1" outline="0" axis="axisValues" fieldPosition="0"/>
    </format>
    <format dxfId="1680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67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67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7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7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67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67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7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7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7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70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8"/>
            <x v="10"/>
            <x v="11"/>
            <x v="13"/>
            <x v="18"/>
            <x v="20"/>
            <x v="21"/>
            <x v="22"/>
            <x v="23"/>
            <x v="26"/>
            <x v="33"/>
            <x v="35"/>
          </reference>
          <reference field="13" count="1" selected="0">
            <x v="2"/>
          </reference>
        </references>
      </pivotArea>
    </format>
    <format dxfId="1669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8"/>
            <x v="10"/>
            <x v="11"/>
            <x v="13"/>
            <x v="18"/>
            <x v="20"/>
            <x v="21"/>
            <x v="22"/>
            <x v="23"/>
            <x v="26"/>
            <x v="33"/>
            <x v="35"/>
          </reference>
          <reference field="13" count="1" selected="0">
            <x v="2"/>
          </reference>
        </references>
      </pivotArea>
    </format>
    <format dxfId="166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6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665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6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6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6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6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6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5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6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6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65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6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6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64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4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64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6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6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61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2"/>
          </reference>
        </references>
      </pivotArea>
    </format>
    <format dxfId="16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16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6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6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39"/>
          </reference>
        </references>
      </pivotArea>
    </format>
    <format dxfId="16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1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63"/>
          </reference>
        </references>
      </pivotArea>
    </format>
    <format dxfId="1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5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4"/>
            <x v="36"/>
            <x v="39"/>
            <x v="41"/>
            <x v="42"/>
            <x v="58"/>
          </reference>
        </references>
      </pivotArea>
    </format>
    <format dxfId="15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5"/>
            <x v="68"/>
            <x v="71"/>
            <x v="78"/>
          </reference>
        </references>
      </pivotArea>
    </format>
    <format dxfId="15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1"/>
          </reference>
        </references>
      </pivotArea>
    </format>
    <format dxfId="1593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92">
      <pivotArea dataOnly="0" labelOnly="1" outline="0" fieldPosition="0">
        <references count="7">
          <reference field="0" count="1" selected="0">
            <x v="15"/>
          </reference>
          <reference field="5" count="1">
            <x v="274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591">
      <pivotArea dataOnly="0" labelOnly="1" outline="0" fieldPosition="0">
        <references count="7">
          <reference field="0" count="1" selected="0">
            <x v="7"/>
          </reference>
          <reference field="5" count="1">
            <x v="213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90">
      <pivotArea dataOnly="0" labelOnly="1" outline="0" fieldPosition="0">
        <references count="7">
          <reference field="0" count="1" selected="0">
            <x v="12"/>
          </reference>
          <reference field="5" count="2">
            <x v="7916"/>
            <x v="791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89">
      <pivotArea dataOnly="0" labelOnly="1" outline="0" fieldPosition="0">
        <references count="7">
          <reference field="0" count="1" selected="0">
            <x v="12"/>
          </reference>
          <reference field="5" count="1">
            <x v="791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88">
      <pivotArea dataOnly="0" labelOnly="1" outline="0" fieldPosition="0">
        <references count="7">
          <reference field="0" count="1" selected="0">
            <x v="13"/>
          </reference>
          <reference field="5" count="1">
            <x v="76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87">
      <pivotArea dataOnly="0" labelOnly="1" outline="0" fieldPosition="0">
        <references count="7">
          <reference field="0" count="1" selected="0">
            <x v="13"/>
          </reference>
          <reference field="5" count="1">
            <x v="4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86">
      <pivotArea dataOnly="0" labelOnly="1" outline="0" fieldPosition="0">
        <references count="7">
          <reference field="0" count="1" selected="0">
            <x v="13"/>
          </reference>
          <reference field="5" count="1">
            <x v="7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85">
      <pivotArea dataOnly="0" labelOnly="1" outline="0" fieldPosition="0">
        <references count="7">
          <reference field="0" count="1" selected="0">
            <x v="13"/>
          </reference>
          <reference field="5" count="1">
            <x v="74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4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83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82">
      <pivotArea dataOnly="0" labelOnly="1" outline="0" fieldPosition="0">
        <references count="7">
          <reference field="0" count="1" selected="0">
            <x v="13"/>
          </reference>
          <reference field="5" count="1">
            <x v="7882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81">
      <pivotArea dataOnly="0" labelOnly="1" outline="0" fieldPosition="0">
        <references count="7">
          <reference field="0" count="1" selected="0">
            <x v="14"/>
          </reference>
          <reference field="5" count="1">
            <x v="777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80">
      <pivotArea dataOnly="0" labelOnly="1" outline="0" fieldPosition="0">
        <references count="7">
          <reference field="0" count="1" selected="0">
            <x v="14"/>
          </reference>
          <reference field="5" count="1">
            <x v="343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579">
      <pivotArea dataOnly="0" labelOnly="1" outline="0" fieldPosition="0">
        <references count="7">
          <reference field="0" count="1" selected="0">
            <x v="14"/>
          </reference>
          <reference field="5" count="1">
            <x v="791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78">
      <pivotArea dataOnly="0" labelOnly="1" outline="0" fieldPosition="0">
        <references count="7">
          <reference field="0" count="1" selected="0">
            <x v="14"/>
          </reference>
          <reference field="5" count="1">
            <x v="349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577">
      <pivotArea dataOnly="0" labelOnly="1" outline="0" fieldPosition="0">
        <references count="7">
          <reference field="0" count="1" selected="0">
            <x v="14"/>
          </reference>
          <reference field="5" count="1">
            <x v="7911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76">
      <pivotArea dataOnly="0" labelOnly="1" outline="0" fieldPosition="0">
        <references count="7">
          <reference field="0" count="1" selected="0">
            <x v="14"/>
          </reference>
          <reference field="5" count="1">
            <x v="5535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75">
      <pivotArea dataOnly="0" labelOnly="1" outline="0" fieldPosition="0">
        <references count="7">
          <reference field="0" count="1" selected="0">
            <x v="14"/>
          </reference>
          <reference field="5" count="1">
            <x v="3855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74">
      <pivotArea dataOnly="0" labelOnly="1" outline="0" fieldPosition="0">
        <references count="7">
          <reference field="0" count="1" selected="0">
            <x v="14"/>
          </reference>
          <reference field="5" count="1">
            <x v="3475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73">
      <pivotArea dataOnly="0" labelOnly="1" outline="0" fieldPosition="0">
        <references count="7">
          <reference field="0" count="1" selected="0">
            <x v="14"/>
          </reference>
          <reference field="5" count="1">
            <x v="4409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72">
      <pivotArea dataOnly="0" labelOnly="1" outline="0" fieldPosition="0">
        <references count="7">
          <reference field="0" count="1" selected="0">
            <x v="14"/>
          </reference>
          <reference field="5" count="1">
            <x v="6890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71">
      <pivotArea dataOnly="0" labelOnly="1" outline="0" fieldPosition="0">
        <references count="7">
          <reference field="0" count="1" selected="0">
            <x v="14"/>
          </reference>
          <reference field="5" count="1">
            <x v="7870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70">
      <pivotArea dataOnly="0" labelOnly="1" outline="0" fieldPosition="0">
        <references count="7">
          <reference field="0" count="1" selected="0">
            <x v="14"/>
          </reference>
          <reference field="5" count="1">
            <x v="3988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69">
      <pivotArea dataOnly="0" labelOnly="1" outline="0" fieldPosition="0">
        <references count="7">
          <reference field="0" count="1" selected="0">
            <x v="14"/>
          </reference>
          <reference field="5" count="2">
            <x v="5943"/>
            <x v="656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68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567">
      <pivotArea dataOnly="0" labelOnly="1" outline="0" fieldPosition="0">
        <references count="7">
          <reference field="0" count="1" selected="0">
            <x v="15"/>
          </reference>
          <reference field="5" count="1">
            <x v="19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66">
      <pivotArea dataOnly="0" labelOnly="1" outline="0" fieldPosition="0">
        <references count="7">
          <reference field="0" count="1" selected="0">
            <x v="15"/>
          </reference>
          <reference field="5" count="1">
            <x v="790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65">
      <pivotArea dataOnly="0" labelOnly="1" outline="0" fieldPosition="0">
        <references count="7">
          <reference field="0" count="1" selected="0">
            <x v="15"/>
          </reference>
          <reference field="5" count="1">
            <x v="78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64">
      <pivotArea dataOnly="0" labelOnly="1" outline="0" fieldPosition="0">
        <references count="7">
          <reference field="0" count="1" selected="0">
            <x v="15"/>
          </reference>
          <reference field="5" count="1">
            <x v="77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63">
      <pivotArea dataOnly="0" labelOnly="1" outline="0" fieldPosition="0">
        <references count="7">
          <reference field="0" count="1" selected="0">
            <x v="15"/>
          </reference>
          <reference field="5" count="1"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62">
      <pivotArea dataOnly="0" labelOnly="1" outline="0" fieldPosition="0">
        <references count="7">
          <reference field="0" count="1" selected="0">
            <x v="15"/>
          </reference>
          <reference field="5" count="1">
            <x v="787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561">
      <pivotArea dataOnly="0" labelOnly="1" outline="0" fieldPosition="0">
        <references count="7">
          <reference field="0" count="1" selected="0">
            <x v="15"/>
          </reference>
          <reference field="5" count="2">
            <x v="7907"/>
            <x v="790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560">
      <pivotArea dataOnly="0" labelOnly="1" outline="0" fieldPosition="0">
        <references count="7">
          <reference field="0" count="1" selected="0">
            <x v="15"/>
          </reference>
          <reference field="5" count="1">
            <x v="554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59">
      <pivotArea dataOnly="0" labelOnly="1" outline="0" fieldPosition="0">
        <references count="7">
          <reference field="0" count="1" selected="0">
            <x v="15"/>
          </reference>
          <reference field="5" count="1">
            <x v="779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42"/>
          </reference>
          <reference field="9" count="1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5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5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1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3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5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5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3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0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9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4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39">
      <pivotArea dataOnly="0" labelOnly="1" outline="0" fieldPosition="0">
        <references count="9">
          <reference field="0" count="1" selected="0">
            <x v="15"/>
          </reference>
          <reference field="3" count="1">
            <x v="7925"/>
          </reference>
          <reference field="5" count="1" selected="0">
            <x v="274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538">
      <pivotArea dataOnly="0" labelOnly="1" outline="0" fieldPosition="0">
        <references count="9">
          <reference field="0" count="1" selected="0">
            <x v="7"/>
          </reference>
          <reference field="3" count="1">
            <x v="7333"/>
          </reference>
          <reference field="5" count="1" selected="0">
            <x v="21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3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1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35">
      <pivotArea dataOnly="0" labelOnly="1" outline="0" fieldPosition="0">
        <references count="9">
          <reference field="0" count="1" selected="0">
            <x v="14"/>
          </reference>
          <reference field="3" count="1">
            <x v="7709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34">
      <pivotArea dataOnly="0" labelOnly="1" outline="0" fieldPosition="0">
        <references count="9">
          <reference field="0" count="1" selected="0">
            <x v="14"/>
          </reference>
          <reference field="3" count="1">
            <x v="7720"/>
          </reference>
          <reference field="5" count="1" selected="0">
            <x v="343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533">
      <pivotArea dataOnly="0" labelOnly="1" outline="0" fieldPosition="0">
        <references count="9">
          <reference field="0" count="1" selected="0">
            <x v="14"/>
          </reference>
          <reference field="3" count="1">
            <x v="2919"/>
          </reference>
          <reference field="5" count="1" selected="0">
            <x v="791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32">
      <pivotArea dataOnly="0" labelOnly="1" outline="0" fieldPosition="0">
        <references count="9">
          <reference field="0" count="1" selected="0">
            <x v="14"/>
          </reference>
          <reference field="3" count="1">
            <x v="7926"/>
          </reference>
          <reference field="5" count="1" selected="0">
            <x v="349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531">
      <pivotArea dataOnly="0" labelOnly="1" outline="0" fieldPosition="0">
        <references count="9">
          <reference field="0" count="1" selected="0">
            <x v="14"/>
          </reference>
          <reference field="3" count="1">
            <x v="7720"/>
          </reference>
          <reference field="5" count="1" selected="0">
            <x v="791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30">
      <pivotArea dataOnly="0" labelOnly="1" outline="0" fieldPosition="0">
        <references count="9">
          <reference field="0" count="1" selected="0">
            <x v="14"/>
          </reference>
          <reference field="3" count="1">
            <x v="2948"/>
          </reference>
          <reference field="5" count="1" selected="0">
            <x v="553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29">
      <pivotArea dataOnly="0" labelOnly="1" outline="0" fieldPosition="0">
        <references count="9">
          <reference field="0" count="1" selected="0">
            <x v="14"/>
          </reference>
          <reference field="3" count="1">
            <x v="7529"/>
          </reference>
          <reference field="5" count="1" selected="0">
            <x v="3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28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34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27">
      <pivotArea dataOnly="0" labelOnly="1" outline="0" fieldPosition="0">
        <references count="9">
          <reference field="0" count="1" selected="0">
            <x v="14"/>
          </reference>
          <reference field="3" count="1">
            <x v="7895"/>
          </reference>
          <reference field="5" count="1" selected="0">
            <x v="68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2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25">
      <pivotArea dataOnly="0" labelOnly="1" outline="0" fieldPosition="0">
        <references count="9">
          <reference field="0" count="1" selected="0">
            <x v="14"/>
          </reference>
          <reference field="3" count="1">
            <x v="7750"/>
          </reference>
          <reference field="5" count="1" selected="0">
            <x v="398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24">
      <pivotArea dataOnly="0" labelOnly="1" outline="0" fieldPosition="0">
        <references count="9">
          <reference field="0" count="1" selected="0">
            <x v="14"/>
          </reference>
          <reference field="3" count="1">
            <x v="7710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23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22">
      <pivotArea dataOnly="0" labelOnly="1" outline="0" fieldPosition="0">
        <references count="9">
          <reference field="0" count="1" selected="0">
            <x v="14"/>
          </reference>
          <reference field="3" count="1">
            <x v="7708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521">
      <pivotArea dataOnly="0" labelOnly="1" outline="0" fieldPosition="0">
        <references count="9">
          <reference field="0" count="1" selected="0">
            <x v="15"/>
          </reference>
          <reference field="3" count="1">
            <x v="7803"/>
          </reference>
          <reference field="5" count="1" selected="0">
            <x v="19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2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0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19">
      <pivotArea dataOnly="0" labelOnly="1" outline="0" fieldPosition="0">
        <references count="9">
          <reference field="0" count="1" selected="0">
            <x v="15"/>
          </reference>
          <reference field="3" count="1">
            <x v="7901"/>
          </reference>
          <reference field="5" count="1" selected="0">
            <x v="787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18">
      <pivotArea dataOnly="0" labelOnly="1" outline="0" fieldPosition="0">
        <references count="9">
          <reference field="0" count="1" selected="0">
            <x v="15"/>
          </reference>
          <reference field="3" count="1">
            <x v="7798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1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25"/>
          </reference>
          <reference field="5" count="1" selected="0">
            <x v="27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5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3"/>
          </reference>
          <reference field="5" count="1" selected="0">
            <x v="21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1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1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9"/>
          </reference>
          <reference field="5" count="1" selected="0">
            <x v="7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0"/>
          </reference>
          <reference field="5" count="1" selected="0">
            <x v="34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5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6"/>
          </reference>
          <reference field="5" count="1" selected="0">
            <x v="349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5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0"/>
          </reference>
          <reference field="5" count="1" selected="0">
            <x v="791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48"/>
          </reference>
          <reference field="5" count="1" selected="0">
            <x v="553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9"/>
          </reference>
          <reference field="5" count="1" selected="0">
            <x v="38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3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5"/>
          </reference>
          <reference field="5" count="1" selected="0">
            <x v="68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0"/>
          </reference>
          <reference field="5" count="1" selected="0">
            <x v="39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0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3"/>
          </reference>
          <reference field="5" count="1" selected="0">
            <x v="19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1"/>
          </reference>
          <reference field="5" count="1" selected="0">
            <x v="787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8"/>
          </reference>
          <reference field="5" count="1" selected="0">
            <x v="77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95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61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94">
      <pivotArea dataOnly="0" labelOnly="1" outline="0" fieldPosition="0">
        <references count="11">
          <reference field="0" count="1" selected="0">
            <x v="7"/>
          </reference>
          <reference field="1" count="1">
            <x v="7776"/>
          </reference>
          <reference field="3" count="1" selected="0">
            <x v="7333"/>
          </reference>
          <reference field="5" count="1" selected="0">
            <x v="21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93">
      <pivotArea dataOnly="0" labelOnly="1" outline="0" fieldPosition="0">
        <references count="11">
          <reference field="0" count="1" selected="0">
            <x v="12"/>
          </reference>
          <reference field="1" count="1">
            <x v="7835"/>
          </reference>
          <reference field="3" count="1" selected="0">
            <x v="0"/>
          </reference>
          <reference field="5" count="1" selected="0">
            <x v="791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92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46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91">
      <pivotArea dataOnly="0" labelOnly="1" outline="0" fieldPosition="0">
        <references count="11">
          <reference field="0" count="1" selected="0">
            <x v="13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74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0">
      <pivotArea dataOnly="0" labelOnly="1" outline="0" fieldPosition="0">
        <references count="11">
          <reference field="0" count="1" selected="0">
            <x v="13"/>
          </reference>
          <reference field="1" count="1">
            <x v="7693"/>
          </reference>
          <reference field="3" count="1" selected="0">
            <x v="0"/>
          </reference>
          <reference field="5" count="1" selected="0">
            <x v="55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9">
      <pivotArea dataOnly="0" labelOnly="1" outline="0" fieldPosition="0">
        <references count="11">
          <reference field="0" count="1" selected="0">
            <x v="13"/>
          </reference>
          <reference field="1" count="1">
            <x v="7756"/>
          </reference>
          <reference field="3" count="1" selected="0">
            <x v="0"/>
          </reference>
          <reference field="5" count="1" selected="0">
            <x v="3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88">
      <pivotArea dataOnly="0" labelOnly="1" outline="0" fieldPosition="0">
        <references count="11">
          <reference field="0" count="1" selected="0">
            <x v="13"/>
          </reference>
          <reference field="1" count="1">
            <x v="7789"/>
          </reference>
          <reference field="3" count="1" selected="0">
            <x v="0"/>
          </reference>
          <reference field="5" count="1" selected="0">
            <x v="78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87">
      <pivotArea dataOnly="0" labelOnly="1" outline="0" fieldPosition="0">
        <references count="11">
          <reference field="0" count="1" selected="0">
            <x v="14"/>
          </reference>
          <reference field="1" count="1">
            <x v="7815"/>
          </reference>
          <reference field="3" count="1" selected="0">
            <x v="2919"/>
          </reference>
          <reference field="5" count="1" selected="0">
            <x v="791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86">
      <pivotArea dataOnly="0" labelOnly="1" outline="0" fieldPosition="0">
        <references count="11">
          <reference field="0" count="1" selected="0">
            <x v="14"/>
          </reference>
          <reference field="1" count="1">
            <x v="7814"/>
          </reference>
          <reference field="3" count="1" selected="0">
            <x v="7720"/>
          </reference>
          <reference field="5" count="1" selected="0">
            <x v="791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85">
      <pivotArea dataOnly="0" labelOnly="1" outline="0" fieldPosition="0">
        <references count="11">
          <reference field="0" count="1" selected="0">
            <x v="14"/>
          </reference>
          <reference field="1" count="1">
            <x v="7306"/>
          </reference>
          <reference field="3" count="1" selected="0">
            <x v="7529"/>
          </reference>
          <reference field="5" count="1" selected="0">
            <x v="385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84">
      <pivotArea dataOnly="0" labelOnly="1" outline="0" fieldPosition="0">
        <references count="11">
          <reference field="0" count="1" selected="0">
            <x v="14"/>
          </reference>
          <reference field="1" count="1">
            <x v="7679"/>
          </reference>
          <reference field="3" count="1" selected="0">
            <x v="7895"/>
          </reference>
          <reference field="5" count="1" selected="0">
            <x v="68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83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708"/>
          </reference>
          <reference field="5" count="1" selected="0">
            <x v="4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482">
      <pivotArea dataOnly="0" labelOnly="1" outline="0" fieldPosition="0">
        <references count="11">
          <reference field="0" count="1" selected="0">
            <x v="15"/>
          </reference>
          <reference field="1" count="1">
            <x v="7625"/>
          </reference>
          <reference field="3" count="1" selected="0">
            <x v="7798"/>
          </reference>
          <reference field="5" count="1" selected="0">
            <x v="77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81">
      <pivotArea dataOnly="0" labelOnly="1" outline="0" fieldPosition="0">
        <references count="11">
          <reference field="0" count="1" selected="0">
            <x v="15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27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80">
      <pivotArea dataOnly="0" labelOnly="1" outline="0" fieldPosition="0">
        <references count="11">
          <reference field="0" count="1" selected="0">
            <x v="15"/>
          </reference>
          <reference field="1" count="1">
            <x v="7766"/>
          </reference>
          <reference field="3" count="1" selected="0">
            <x v="0"/>
          </reference>
          <reference field="5" count="1" selected="0">
            <x v="78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479">
      <pivotArea dataOnly="0" labelOnly="1" outline="0" fieldPosition="0">
        <references count="11">
          <reference field="0" count="1" selected="0">
            <x v="15"/>
          </reference>
          <reference field="1" count="1">
            <x v="7810"/>
          </reference>
          <reference field="3" count="1" selected="0">
            <x v="0"/>
          </reference>
          <reference field="5" count="1" selected="0">
            <x v="55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78">
      <pivotArea outline="0" collapsedLevelsAreSubtotals="1" fieldPosition="0"/>
    </format>
    <format dxfId="1477">
      <pivotArea dataOnly="0" labelOnly="1" outline="0" axis="axisValues" fieldPosition="0"/>
    </format>
    <format dxfId="1476">
      <pivotArea dataOnly="0" outline="0" fieldPosition="0">
        <references count="1">
          <reference field="12" count="0" defaultSubtotal="1"/>
        </references>
      </pivotArea>
    </format>
    <format dxfId="1475">
      <pivotArea outline="0" collapsedLevelsAreSubtotals="1" fieldPosition="0"/>
    </format>
    <format dxfId="1474">
      <pivotArea dataOnly="0" labelOnly="1" outline="0" axis="axisValues" fieldPosition="0"/>
    </format>
    <format dxfId="1473">
      <pivotArea outline="0" collapsedLevelsAreSubtotals="1" fieldPosition="0"/>
    </format>
    <format dxfId="1472">
      <pivotArea dataOnly="0" labelOnly="1" outline="0" axis="axisValues" fieldPosition="0"/>
    </format>
    <format dxfId="1471">
      <pivotArea dataOnly="0" labelOnly="1" outline="0" axis="axisValues" fieldPosition="0"/>
    </format>
    <format dxfId="1470">
      <pivotArea outline="0" collapsedLevelsAreSubtotals="1" fieldPosition="0"/>
    </format>
    <format dxfId="1469">
      <pivotArea field="12" type="button" dataOnly="0" labelOnly="1" outline="0" axis="axisRow" fieldPosition="2"/>
    </format>
    <format dxfId="1468">
      <pivotArea field="10" type="button" dataOnly="0" labelOnly="1" outline="0" axis="axisRow" fieldPosition="3"/>
    </format>
    <format dxfId="1467">
      <pivotArea field="16" type="button" dataOnly="0" labelOnly="1" outline="0" axis="axisRow" fieldPosition="4"/>
    </format>
    <format dxfId="1466">
      <pivotArea field="18" type="button" dataOnly="0" labelOnly="1" outline="0" axis="axisRow" fieldPosition="5"/>
    </format>
    <format dxfId="1465">
      <pivotArea field="5" type="button" dataOnly="0" labelOnly="1" outline="0" axis="axisRow" fieldPosition="6"/>
    </format>
    <format dxfId="1464">
      <pivotArea field="9" type="button" dataOnly="0" labelOnly="1" outline="0" axis="axisRow" fieldPosition="7"/>
    </format>
    <format dxfId="1463">
      <pivotArea field="3" type="button" dataOnly="0" labelOnly="1" outline="0" axis="axisRow" fieldPosition="8"/>
    </format>
    <format dxfId="1462">
      <pivotArea field="7" type="button" dataOnly="0" labelOnly="1" outline="0" axis="axisRow" fieldPosition="9"/>
    </format>
    <format dxfId="1461">
      <pivotArea field="1" type="button" dataOnly="0" labelOnly="1" outline="0" axis="axisRow" fieldPosition="10"/>
    </format>
    <format dxfId="1460">
      <pivotArea dataOnly="0" labelOnly="1" outline="0" axis="axisValues" fieldPosition="0"/>
    </format>
    <format dxfId="1459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45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457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456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455">
      <pivotArea dataOnly="0" labelOnly="1" outline="0" fieldPosition="0">
        <references count="3">
          <reference field="0" count="1" selected="0">
            <x v="10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454">
      <pivotArea dataOnly="0" labelOnly="1" outline="0" fieldPosition="0">
        <references count="3">
          <reference field="0" count="1" selected="0">
            <x v="10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45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5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5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5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4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7"/>
            <x v="8"/>
            <x v="9"/>
            <x v="11"/>
            <x v="13"/>
            <x v="15"/>
            <x v="19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144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7"/>
            <x v="8"/>
            <x v="9"/>
            <x v="11"/>
            <x v="13"/>
            <x v="15"/>
            <x v="19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144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4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44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4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4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44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4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3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3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3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3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3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3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3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3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27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4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42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4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4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41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1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41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14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41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41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41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1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40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40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40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40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40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0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4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3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3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3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3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3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3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3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3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38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3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3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38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38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63"/>
            <x v="109"/>
          </reference>
        </references>
      </pivotArea>
    </format>
    <format dxfId="138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6"/>
          </reference>
        </references>
      </pivotArea>
    </format>
    <format dxfId="138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"/>
            <x v="88"/>
          </reference>
        </references>
      </pivotArea>
    </format>
    <format dxfId="138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35"/>
            <x v="59"/>
            <x v="109"/>
          </reference>
        </references>
      </pivotArea>
    </format>
    <format dxfId="137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3"/>
            <x v="106"/>
          </reference>
        </references>
      </pivotArea>
    </format>
    <format dxfId="137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109"/>
          </reference>
        </references>
      </pivotArea>
    </format>
    <format dxfId="137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7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13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13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3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13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13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1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6"/>
          </reference>
        </references>
      </pivotArea>
    </format>
    <format dxfId="1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3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3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3"/>
            <x v="36"/>
            <x v="41"/>
            <x v="42"/>
            <x v="58"/>
          </reference>
        </references>
      </pivotArea>
    </format>
    <format dxfId="13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4"/>
            <x v="49"/>
          </reference>
        </references>
      </pivotArea>
    </format>
    <format dxfId="13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1"/>
          </reference>
        </references>
      </pivotArea>
    </format>
    <format dxfId="1351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50">
      <pivotArea dataOnly="0" labelOnly="1" outline="0" fieldPosition="0">
        <references count="7">
          <reference field="0" count="1" selected="0">
            <x v="7"/>
          </reference>
          <reference field="5" count="1">
            <x v="7885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49">
      <pivotArea dataOnly="0" labelOnly="1" outline="0" fieldPosition="0">
        <references count="7">
          <reference field="0" count="1" selected="0">
            <x v="7"/>
          </reference>
          <reference field="5" count="1">
            <x v="213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48">
      <pivotArea dataOnly="0" labelOnly="1" outline="0" fieldPosition="0">
        <references count="7">
          <reference field="0" count="1" selected="0">
            <x v="10"/>
          </reference>
          <reference field="5" count="1">
            <x v="195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47">
      <pivotArea dataOnly="0" labelOnly="1" outline="0" fieldPosition="0">
        <references count="7">
          <reference field="0" count="1" selected="0">
            <x v="10"/>
          </reference>
          <reference field="5" count="1">
            <x v="499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46">
      <pivotArea dataOnly="0" labelOnly="1" outline="0" fieldPosition="0">
        <references count="7">
          <reference field="0" count="1" selected="0">
            <x v="10"/>
          </reference>
          <reference field="5" count="1">
            <x v="499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45">
      <pivotArea dataOnly="0" labelOnly="1" outline="0" fieldPosition="0">
        <references count="7">
          <reference field="0" count="1" selected="0">
            <x v="10"/>
          </reference>
          <reference field="5" count="1">
            <x v="571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1344">
      <pivotArea dataOnly="0" labelOnly="1" outline="0" fieldPosition="0">
        <references count="7">
          <reference field="0" count="1" selected="0">
            <x v="10"/>
          </reference>
          <reference field="5" count="1">
            <x v="737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43">
      <pivotArea dataOnly="0" labelOnly="1" outline="0" fieldPosition="0">
        <references count="7">
          <reference field="0" count="1" selected="0">
            <x v="10"/>
          </reference>
          <reference field="5" count="1">
            <x v="464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42">
      <pivotArea dataOnly="0" labelOnly="1" outline="0" fieldPosition="0">
        <references count="7">
          <reference field="0" count="1" selected="0">
            <x v="10"/>
          </reference>
          <reference field="5" count="1">
            <x v="707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41">
      <pivotArea dataOnly="0" labelOnly="1" outline="0" fieldPosition="0">
        <references count="7">
          <reference field="0" count="1" selected="0">
            <x v="13"/>
          </reference>
          <reference field="5" count="1">
            <x v="76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340">
      <pivotArea dataOnly="0" labelOnly="1" outline="0" fieldPosition="0">
        <references count="7">
          <reference field="0" count="1" selected="0">
            <x v="13"/>
          </reference>
          <reference field="5" count="1">
            <x v="4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39">
      <pivotArea dataOnly="0" labelOnly="1" outline="0" fieldPosition="0">
        <references count="7">
          <reference field="0" count="1" selected="0">
            <x v="13"/>
          </reference>
          <reference field="5" count="1">
            <x v="76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38">
      <pivotArea dataOnly="0" labelOnly="1" outline="0" fieldPosition="0">
        <references count="7">
          <reference field="0" count="1" selected="0">
            <x v="13"/>
          </reference>
          <reference field="5" count="1">
            <x v="74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37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36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35">
      <pivotArea dataOnly="0" labelOnly="1" outline="0" fieldPosition="0">
        <references count="7">
          <reference field="0" count="1" selected="0">
            <x v="13"/>
          </reference>
          <reference field="5" count="1">
            <x v="7882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334">
      <pivotArea dataOnly="0" labelOnly="1" outline="0" fieldPosition="0">
        <references count="7">
          <reference field="0" count="1" selected="0">
            <x v="14"/>
          </reference>
          <reference field="5" count="1">
            <x v="777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33">
      <pivotArea dataOnly="0" labelOnly="1" outline="0" fieldPosition="0">
        <references count="7">
          <reference field="0" count="1" selected="0">
            <x v="14"/>
          </reference>
          <reference field="5" count="1">
            <x v="786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32">
      <pivotArea dataOnly="0" labelOnly="1" outline="0" fieldPosition="0">
        <references count="7">
          <reference field="0" count="1" selected="0">
            <x v="14"/>
          </reference>
          <reference field="5" count="1">
            <x v="343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31">
      <pivotArea dataOnly="0" labelOnly="1" outline="0" fieldPosition="0">
        <references count="7">
          <reference field="0" count="1" selected="0">
            <x v="14"/>
          </reference>
          <reference field="5" count="1">
            <x v="272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30">
      <pivotArea dataOnly="0" labelOnly="1" outline="0" fieldPosition="0">
        <references count="7">
          <reference field="0" count="1" selected="0">
            <x v="14"/>
          </reference>
          <reference field="5" count="1">
            <x v="349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329">
      <pivotArea dataOnly="0" labelOnly="1" outline="0" fieldPosition="0">
        <references count="7">
          <reference field="0" count="1" selected="0">
            <x v="14"/>
          </reference>
          <reference field="5" count="1">
            <x v="7911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28">
      <pivotArea dataOnly="0" labelOnly="1" outline="0" fieldPosition="0">
        <references count="7">
          <reference field="0" count="1" selected="0">
            <x v="14"/>
          </reference>
          <reference field="5" count="1">
            <x v="7920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27">
      <pivotArea dataOnly="0" labelOnly="1" outline="0" fieldPosition="0">
        <references count="7">
          <reference field="0" count="1" selected="0">
            <x v="14"/>
          </reference>
          <reference field="5" count="1">
            <x v="440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26">
      <pivotArea dataOnly="0" labelOnly="1" outline="0" fieldPosition="0">
        <references count="7">
          <reference field="0" count="1" selected="0">
            <x v="14"/>
          </reference>
          <reference field="5" count="1">
            <x v="3475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25">
      <pivotArea dataOnly="0" labelOnly="1" outline="0" fieldPosition="0">
        <references count="7">
          <reference field="0" count="1" selected="0">
            <x v="14"/>
          </reference>
          <reference field="5" count="2">
            <x v="5943"/>
            <x v="656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24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323">
      <pivotArea dataOnly="0" labelOnly="1" outline="0" fieldPosition="0">
        <references count="7">
          <reference field="0" count="1" selected="0">
            <x v="14"/>
          </reference>
          <reference field="5" count="1">
            <x v="792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22">
      <pivotArea dataOnly="0" labelOnly="1" outline="0" fieldPosition="0">
        <references count="7">
          <reference field="0" count="1" selected="0">
            <x v="15"/>
          </reference>
          <reference field="5" count="1">
            <x v="19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21">
      <pivotArea dataOnly="0" labelOnly="1" outline="0" fieldPosition="0">
        <references count="7">
          <reference field="0" count="1" selected="0">
            <x v="15"/>
          </reference>
          <reference field="5" count="1">
            <x v="77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20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19">
      <pivotArea dataOnly="0" labelOnly="1" outline="0" fieldPosition="0">
        <references count="7">
          <reference field="0" count="1" selected="0">
            <x v="15"/>
          </reference>
          <reference field="5" count="1">
            <x v="314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318">
      <pivotArea dataOnly="0" labelOnly="1" outline="0" fieldPosition="0">
        <references count="7">
          <reference field="0" count="1" selected="0">
            <x v="15"/>
          </reference>
          <reference field="5" count="1">
            <x v="13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3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8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1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1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3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3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3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9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3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0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9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97">
      <pivotArea dataOnly="0" labelOnly="1" outline="0" fieldPosition="0">
        <references count="9">
          <reference field="0" count="1" selected="0">
            <x v="7"/>
          </reference>
          <reference field="3" count="1">
            <x v="7549"/>
          </reference>
          <reference field="5" count="1" selected="0">
            <x v="788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96">
      <pivotArea dataOnly="0" labelOnly="1" outline="0" fieldPosition="0">
        <references count="9">
          <reference field="0" count="1" selected="0">
            <x v="7"/>
          </reference>
          <reference field="3" count="1">
            <x v="7333"/>
          </reference>
          <reference field="5" count="1" selected="0">
            <x v="21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95">
      <pivotArea dataOnly="0" labelOnly="1" outline="0" fieldPosition="0">
        <references count="9">
          <reference field="0" count="1" selected="0">
            <x v="10"/>
          </reference>
          <reference field="3" count="1">
            <x v="7796"/>
          </reference>
          <reference field="5" count="1" selected="0">
            <x v="19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94">
      <pivotArea dataOnly="0" labelOnly="1" outline="0" fieldPosition="0">
        <references count="9">
          <reference field="0" count="1" selected="0">
            <x v="10"/>
          </reference>
          <reference field="3" count="1">
            <x v="7788"/>
          </reference>
          <reference field="5" count="1" selected="0">
            <x v="49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93">
      <pivotArea dataOnly="0" labelOnly="1" outline="0" fieldPosition="0">
        <references count="9">
          <reference field="0" count="1" selected="0">
            <x v="10"/>
          </reference>
          <reference field="3" count="1">
            <x v="7353"/>
          </reference>
          <reference field="5" count="1" selected="0">
            <x v="49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92">
      <pivotArea dataOnly="0" labelOnly="1" outline="0" fieldPosition="0">
        <references count="9">
          <reference field="0" count="1" selected="0">
            <x v="10"/>
          </reference>
          <reference field="3" count="1">
            <x v="7828"/>
          </reference>
          <reference field="5" count="1" selected="0">
            <x v="57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1291">
      <pivotArea dataOnly="0" labelOnly="1" outline="0" fieldPosition="0">
        <references count="9">
          <reference field="0" count="1" selected="0">
            <x v="10"/>
          </reference>
          <reference field="3" count="1">
            <x v="7793"/>
          </reference>
          <reference field="5" count="1" selected="0">
            <x v="73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90">
      <pivotArea dataOnly="0" labelOnly="1" outline="0" fieldPosition="0">
        <references count="9">
          <reference field="0" count="1" selected="0">
            <x v="10"/>
          </reference>
          <reference field="3" count="1">
            <x v="7827"/>
          </reference>
          <reference field="5" count="1" selected="0">
            <x v="46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89">
      <pivotArea dataOnly="0" labelOnly="1" outline="0" fieldPosition="0">
        <references count="9">
          <reference field="0" count="1" selected="0">
            <x v="10"/>
          </reference>
          <reference field="3" count="1">
            <x v="7904"/>
          </reference>
          <reference field="5" count="1" selected="0">
            <x v="70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8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287">
      <pivotArea dataOnly="0" labelOnly="1" outline="0" fieldPosition="0">
        <references count="9">
          <reference field="0" count="1" selected="0">
            <x v="14"/>
          </reference>
          <reference field="3" count="1">
            <x v="7709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86">
      <pivotArea dataOnly="0" labelOnly="1" outline="0" fieldPosition="0">
        <references count="9">
          <reference field="0" count="1" selected="0">
            <x v="14"/>
          </reference>
          <reference field="3" count="1">
            <x v="7720"/>
          </reference>
          <reference field="5" count="1" selected="0">
            <x v="343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85">
      <pivotArea dataOnly="0" labelOnly="1" outline="0" fieldPosition="0">
        <references count="9">
          <reference field="0" count="1" selected="0">
            <x v="14"/>
          </reference>
          <reference field="3" count="1">
            <x v="7897"/>
          </reference>
          <reference field="5" count="1" selected="0">
            <x v="27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84">
      <pivotArea dataOnly="0" labelOnly="1" outline="0" fieldPosition="0">
        <references count="9">
          <reference field="0" count="1" selected="0">
            <x v="14"/>
          </reference>
          <reference field="3" count="1">
            <x v="7926"/>
          </reference>
          <reference field="5" count="1" selected="0">
            <x v="349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283">
      <pivotArea dataOnly="0" labelOnly="1" outline="0" fieldPosition="0">
        <references count="9">
          <reference field="0" count="1" selected="0">
            <x v="14"/>
          </reference>
          <reference field="3" count="1">
            <x v="7720"/>
          </reference>
          <reference field="5" count="1" selected="0">
            <x v="791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82">
      <pivotArea dataOnly="0" labelOnly="1" outline="0" fieldPosition="0">
        <references count="9">
          <reference field="0" count="1" selected="0">
            <x v="14"/>
          </reference>
          <reference field="3" count="1">
            <x v="7927"/>
          </reference>
          <reference field="5" count="1" selected="0">
            <x v="792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81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34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0">
      <pivotArea dataOnly="0" labelOnly="1" outline="0" fieldPosition="0">
        <references count="9">
          <reference field="0" count="1" selected="0">
            <x v="14"/>
          </reference>
          <reference field="3" count="1">
            <x v="7710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79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78">
      <pivotArea dataOnly="0" labelOnly="1" outline="0" fieldPosition="0">
        <references count="9">
          <reference field="0" count="1" selected="0">
            <x v="14"/>
          </reference>
          <reference field="3" count="1">
            <x v="7708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2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76">
      <pivotArea dataOnly="0" labelOnly="1" outline="0" fieldPosition="0">
        <references count="9">
          <reference field="0" count="1" selected="0">
            <x v="15"/>
          </reference>
          <reference field="3" count="1">
            <x v="7803"/>
          </reference>
          <reference field="5" count="1" selected="0">
            <x v="19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75">
      <pivotArea dataOnly="0" labelOnly="1" outline="0" fieldPosition="0">
        <references count="9">
          <reference field="0" count="1" selected="0">
            <x v="15"/>
          </reference>
          <reference field="3" count="1">
            <x v="7798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27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9"/>
          </reference>
          <reference field="5" count="1" selected="0">
            <x v="78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3"/>
          </reference>
          <reference field="5" count="1" selected="0">
            <x v="21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7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96"/>
          </reference>
          <reference field="5" count="1" selected="0">
            <x v="19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6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93"/>
          </reference>
          <reference field="5" count="1" selected="0">
            <x v="73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6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2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9"/>
          </reference>
          <reference field="5" count="1" selected="0">
            <x v="7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0"/>
          </reference>
          <reference field="5" count="1" selected="0">
            <x v="34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7"/>
          </reference>
          <reference field="5" count="1" selected="0">
            <x v="27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6"/>
          </reference>
          <reference field="5" count="1" selected="0">
            <x v="349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2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0"/>
          </reference>
          <reference field="5" count="1" selected="0">
            <x v="791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7"/>
          </reference>
          <reference field="5" count="1" selected="0">
            <x v="792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3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0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3"/>
          </reference>
          <reference field="5" count="1" selected="0">
            <x v="19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8"/>
          </reference>
          <reference field="5" count="1" selected="0">
            <x v="77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2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55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61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54">
      <pivotArea dataOnly="0" labelOnly="1" outline="0" fieldPosition="0">
        <references count="11">
          <reference field="0" count="1" selected="0">
            <x v="7"/>
          </reference>
          <reference field="1" count="1">
            <x v="7855"/>
          </reference>
          <reference field="3" count="1" selected="0">
            <x v="7549"/>
          </reference>
          <reference field="5" count="1" selected="0">
            <x v="78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53">
      <pivotArea dataOnly="0" labelOnly="1" outline="0" fieldPosition="0">
        <references count="11">
          <reference field="0" count="1" selected="0">
            <x v="7"/>
          </reference>
          <reference field="1" count="1">
            <x v="7854"/>
          </reference>
          <reference field="3" count="1" selected="0">
            <x v="7333"/>
          </reference>
          <reference field="5" count="1" selected="0">
            <x v="21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52">
      <pivotArea dataOnly="0" labelOnly="1" outline="0" fieldPosition="0">
        <references count="11">
          <reference field="0" count="1" selected="0">
            <x v="10"/>
          </reference>
          <reference field="1" count="1">
            <x v="7618"/>
          </reference>
          <reference field="3" count="1" selected="0">
            <x v="7788"/>
          </reference>
          <reference field="5" count="1" selected="0">
            <x v="49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51">
      <pivotArea dataOnly="0" labelOnly="1" outline="0" fieldPosition="0">
        <references count="11">
          <reference field="0" count="1" selected="0">
            <x v="10"/>
          </reference>
          <reference field="1" count="1">
            <x v="7852"/>
          </reference>
          <reference field="3" count="1" selected="0">
            <x v="7828"/>
          </reference>
          <reference field="5" count="1" selected="0">
            <x v="57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1250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46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49">
      <pivotArea dataOnly="0" labelOnly="1" outline="0" fieldPosition="0">
        <references count="11">
          <reference field="0" count="1" selected="0">
            <x v="13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74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48">
      <pivotArea dataOnly="0" labelOnly="1" outline="0" fieldPosition="0">
        <references count="11">
          <reference field="0" count="1" selected="0">
            <x v="13"/>
          </reference>
          <reference field="1" count="1">
            <x v="7693"/>
          </reference>
          <reference field="3" count="1" selected="0">
            <x v="0"/>
          </reference>
          <reference field="5" count="1" selected="0">
            <x v="55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47">
      <pivotArea dataOnly="0" labelOnly="1" outline="0" fieldPosition="0">
        <references count="11">
          <reference field="0" count="1" selected="0">
            <x v="13"/>
          </reference>
          <reference field="1" count="1">
            <x v="7756"/>
          </reference>
          <reference field="3" count="1" selected="0">
            <x v="0"/>
          </reference>
          <reference field="5" count="1" selected="0">
            <x v="3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46">
      <pivotArea dataOnly="0" labelOnly="1" outline="0" fieldPosition="0">
        <references count="11">
          <reference field="0" count="1" selected="0">
            <x v="13"/>
          </reference>
          <reference field="1" count="1">
            <x v="7789"/>
          </reference>
          <reference field="3" count="1" selected="0">
            <x v="0"/>
          </reference>
          <reference field="5" count="1" selected="0">
            <x v="78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245">
      <pivotArea dataOnly="0" labelOnly="1" outline="0" fieldPosition="0">
        <references count="11">
          <reference field="0" count="1" selected="0">
            <x v="14"/>
          </reference>
          <reference field="1" count="1">
            <x v="7848"/>
          </reference>
          <reference field="3" count="1" selected="0">
            <x v="7720"/>
          </reference>
          <reference field="5" count="1" selected="0">
            <x v="343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44">
      <pivotArea dataOnly="0" labelOnly="1" outline="0" fieldPosition="0">
        <references count="11">
          <reference field="0" count="1" selected="0">
            <x v="14"/>
          </reference>
          <reference field="1" count="1">
            <x v="7814"/>
          </reference>
          <reference field="3" count="1" selected="0">
            <x v="7720"/>
          </reference>
          <reference field="5" count="1" selected="0">
            <x v="791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43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708"/>
          </reference>
          <reference field="5" count="1" selected="0">
            <x v="4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42">
      <pivotArea dataOnly="0" labelOnly="1" outline="0" fieldPosition="0">
        <references count="11">
          <reference field="0" count="1" selected="0">
            <x v="15"/>
          </reference>
          <reference field="1" count="1">
            <x v="7625"/>
          </reference>
          <reference field="3" count="1" selected="0">
            <x v="7798"/>
          </reference>
          <reference field="5" count="1" selected="0">
            <x v="77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241">
      <pivotArea dataOnly="0" labelOnly="1" outline="0" fieldPosition="0">
        <references count="11">
          <reference field="0" count="1" selected="0">
            <x v="15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27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40">
      <pivotArea dataOnly="0" labelOnly="1" outline="0" fieldPosition="0">
        <references count="11">
          <reference field="0" count="1" selected="0">
            <x v="15"/>
          </reference>
          <reference field="1" count="1">
            <x v="7843"/>
          </reference>
          <reference field="3" count="1" selected="0">
            <x v="0"/>
          </reference>
          <reference field="5" count="1" selected="0">
            <x v="31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239">
      <pivotArea outline="0" collapsedLevelsAreSubtotals="1" fieldPosition="0"/>
    </format>
    <format dxfId="1238">
      <pivotArea dataOnly="0" labelOnly="1" outline="0" axis="axisValues" fieldPosition="0"/>
    </format>
    <format dxfId="1237">
      <pivotArea dataOnly="0" outline="0" fieldPosition="0">
        <references count="1">
          <reference field="12" count="0" defaultSubtotal="1"/>
        </references>
      </pivotArea>
    </format>
    <format dxfId="1236">
      <pivotArea outline="0" collapsedLevelsAreSubtotals="1" fieldPosition="0"/>
    </format>
    <format dxfId="1235">
      <pivotArea dataOnly="0" labelOnly="1" outline="0" axis="axisValues" fieldPosition="0"/>
    </format>
    <format dxfId="1234">
      <pivotArea outline="0" collapsedLevelsAreSubtotals="1" fieldPosition="0"/>
    </format>
    <format dxfId="1233">
      <pivotArea dataOnly="0" labelOnly="1" outline="0" axis="axisValues" fieldPosition="0"/>
    </format>
    <format dxfId="1232">
      <pivotArea dataOnly="0" labelOnly="1" outline="0" axis="axisValues" fieldPosition="0"/>
    </format>
    <format dxfId="1231">
      <pivotArea outline="0" collapsedLevelsAreSubtotals="1" fieldPosition="0"/>
    </format>
    <format dxfId="1230">
      <pivotArea field="12" type="button" dataOnly="0" labelOnly="1" outline="0" axis="axisRow" fieldPosition="2"/>
    </format>
    <format dxfId="1229">
      <pivotArea field="10" type="button" dataOnly="0" labelOnly="1" outline="0" axis="axisRow" fieldPosition="3"/>
    </format>
    <format dxfId="1228">
      <pivotArea field="16" type="button" dataOnly="0" labelOnly="1" outline="0" axis="axisRow" fieldPosition="4"/>
    </format>
    <format dxfId="1227">
      <pivotArea field="18" type="button" dataOnly="0" labelOnly="1" outline="0" axis="axisRow" fieldPosition="5"/>
    </format>
    <format dxfId="1226">
      <pivotArea field="5" type="button" dataOnly="0" labelOnly="1" outline="0" axis="axisRow" fieldPosition="6"/>
    </format>
    <format dxfId="1225">
      <pivotArea field="9" type="button" dataOnly="0" labelOnly="1" outline="0" axis="axisRow" fieldPosition="7"/>
    </format>
    <format dxfId="1224">
      <pivotArea field="3" type="button" dataOnly="0" labelOnly="1" outline="0" axis="axisRow" fieldPosition="8"/>
    </format>
    <format dxfId="1223">
      <pivotArea field="7" type="button" dataOnly="0" labelOnly="1" outline="0" axis="axisRow" fieldPosition="9"/>
    </format>
    <format dxfId="1222">
      <pivotArea field="1" type="button" dataOnly="0" labelOnly="1" outline="0" axis="axisRow" fieldPosition="10"/>
    </format>
    <format dxfId="1221">
      <pivotArea dataOnly="0" labelOnly="1" outline="0" axis="axisValues" fieldPosition="0"/>
    </format>
    <format dxfId="1220">
      <pivotArea dataOnly="0" labelOnly="1" outline="0" fieldPosition="0">
        <references count="3">
          <reference field="0" count="1" selected="0">
            <x v="7"/>
          </reference>
          <reference field="12" count="4">
            <x v="1"/>
            <x v="2"/>
            <x v="6"/>
            <x v="7"/>
          </reference>
          <reference field="13" count="1" selected="0">
            <x v="0"/>
          </reference>
        </references>
      </pivotArea>
    </format>
    <format dxfId="1219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1"/>
            <x v="2"/>
            <x v="6"/>
            <x v="7"/>
          </reference>
          <reference field="13" count="1" selected="0">
            <x v="0"/>
          </reference>
        </references>
      </pivotArea>
    </format>
    <format dxfId="1218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27"/>
            <x v="29"/>
          </reference>
          <reference field="13" count="1" selected="0">
            <x v="0"/>
          </reference>
        </references>
      </pivotArea>
    </format>
    <format dxfId="1217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27"/>
            <x v="29"/>
          </reference>
          <reference field="13" count="1" selected="0">
            <x v="0"/>
          </reference>
        </references>
      </pivotArea>
    </format>
    <format dxfId="1216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15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14">
      <pivotArea dataOnly="0" labelOnly="1" outline="0" fieldPosition="0">
        <references count="3">
          <reference field="0" count="1" selected="0">
            <x v="7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13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1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1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1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0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08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9"/>
            <x v="21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207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9"/>
            <x v="21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20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0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2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0"/>
          </reference>
        </references>
      </pivotArea>
    </format>
    <format dxfId="12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12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1200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5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1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19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9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9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9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9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8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5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4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78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1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172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1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1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16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6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6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5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11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1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11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11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11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111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111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111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1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9"/>
          </reference>
        </references>
      </pivotArea>
    </format>
    <format dxfId="11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1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1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10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35"/>
            <x v="39"/>
            <x v="63"/>
          </reference>
        </references>
      </pivotArea>
    </format>
    <format dxfId="11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6"/>
          </reference>
        </references>
      </pivotArea>
    </format>
    <format dxfId="11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1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0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0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0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0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0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10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0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0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0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41"/>
            <x v="42"/>
            <x v="58"/>
            <x v="128"/>
          </reference>
        </references>
      </pivotArea>
    </format>
    <format dxfId="10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1"/>
            <x v="44"/>
            <x v="49"/>
            <x v="68"/>
            <x v="71"/>
            <x v="73"/>
            <x v="78"/>
          </reference>
        </references>
      </pivotArea>
    </format>
    <format dxfId="10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1071">
      <pivotArea dataOnly="0" labelOnly="1" outline="0" fieldPosition="0">
        <references count="7">
          <reference field="0" count="1" selected="0">
            <x v="7"/>
          </reference>
          <reference field="5" count="1">
            <x v="793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70">
      <pivotArea dataOnly="0" labelOnly="1" outline="0" fieldPosition="0">
        <references count="7">
          <reference field="0" count="1" selected="0">
            <x v="7"/>
          </reference>
          <reference field="5" count="1">
            <x v="793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69">
      <pivotArea dataOnly="0" labelOnly="1" outline="0" fieldPosition="0">
        <references count="7">
          <reference field="0" count="1" selected="0">
            <x v="7"/>
          </reference>
          <reference field="5" count="1">
            <x v="793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68">
      <pivotArea dataOnly="0" labelOnly="1" outline="0" fieldPosition="0">
        <references count="7">
          <reference field="0" count="1" selected="0">
            <x v="14"/>
          </reference>
          <reference field="5" count="3">
            <x v="4526"/>
            <x v="7253"/>
            <x v="726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067">
      <pivotArea dataOnly="0" labelOnly="1" outline="0" fieldPosition="0">
        <references count="7">
          <reference field="0" count="1" selected="0">
            <x v="14"/>
          </reference>
          <reference field="5" count="1">
            <x v="7926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066">
      <pivotArea dataOnly="0" labelOnly="1" outline="0" fieldPosition="0">
        <references count="7">
          <reference field="0" count="1" selected="0">
            <x v="14"/>
          </reference>
          <reference field="5" count="1">
            <x v="619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5">
      <pivotArea dataOnly="0" labelOnly="1" outline="0" fieldPosition="0">
        <references count="7">
          <reference field="0" count="1" selected="0">
            <x v="2"/>
          </reference>
          <reference field="5" count="1">
            <x v="600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64">
      <pivotArea dataOnly="0" labelOnly="1" outline="0" fieldPosition="0">
        <references count="7">
          <reference field="0" count="1" selected="0">
            <x v="2"/>
          </reference>
          <reference field="5" count="1">
            <x v="196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63">
      <pivotArea dataOnly="0" labelOnly="1" outline="0" fieldPosition="0">
        <references count="7">
          <reference field="0" count="1" selected="0">
            <x v="2"/>
          </reference>
          <reference field="5" count="1">
            <x v="470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62">
      <pivotArea dataOnly="0" labelOnly="1" outline="0" fieldPosition="0">
        <references count="7">
          <reference field="0" count="1" selected="0">
            <x v="2"/>
          </reference>
          <reference field="5" count="1">
            <x v="43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61">
      <pivotArea dataOnly="0" labelOnly="1" outline="0" fieldPosition="0">
        <references count="7">
          <reference field="0" count="1" selected="0">
            <x v="7"/>
          </reference>
          <reference field="5" count="1">
            <x v="213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60">
      <pivotArea dataOnly="0" labelOnly="1" outline="0" fieldPosition="0">
        <references count="7">
          <reference field="0" count="1" selected="0">
            <x v="7"/>
          </reference>
          <reference field="5" count="1">
            <x v="793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59">
      <pivotArea dataOnly="0" labelOnly="1" outline="0" fieldPosition="0">
        <references count="7">
          <reference field="0" count="1" selected="0">
            <x v="7"/>
          </reference>
          <reference field="5" count="1">
            <x v="793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58">
      <pivotArea dataOnly="0" labelOnly="1" outline="0" fieldPosition="0">
        <references count="7">
          <reference field="0" count="1" selected="0">
            <x v="7"/>
          </reference>
          <reference field="5" count="1">
            <x v="793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57">
      <pivotArea dataOnly="0" labelOnly="1" outline="0" fieldPosition="0">
        <references count="7">
          <reference field="0" count="1" selected="0">
            <x v="7"/>
          </reference>
          <reference field="5" count="1">
            <x v="793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56">
      <pivotArea dataOnly="0" labelOnly="1" outline="0" fieldPosition="0">
        <references count="7">
          <reference field="0" count="1" selected="0">
            <x v="12"/>
          </reference>
          <reference field="5" count="1">
            <x v="594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55">
      <pivotArea dataOnly="0" labelOnly="1" outline="0" fieldPosition="0">
        <references count="7">
          <reference field="0" count="1" selected="0">
            <x v="12"/>
          </reference>
          <reference field="5" count="1">
            <x v="792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4">
      <pivotArea dataOnly="0" labelOnly="1" outline="0" fieldPosition="0">
        <references count="7">
          <reference field="0" count="1" selected="0">
            <x v="12"/>
          </reference>
          <reference field="5" count="1">
            <x v="74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53">
      <pivotArea dataOnly="0" labelOnly="1" outline="0" fieldPosition="0">
        <references count="7">
          <reference field="0" count="1" selected="0">
            <x v="13"/>
          </reference>
          <reference field="5" count="1">
            <x v="4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52">
      <pivotArea dataOnly="0" labelOnly="1" outline="0" fieldPosition="0">
        <references count="7">
          <reference field="0" count="1" selected="0">
            <x v="13"/>
          </reference>
          <reference field="5" count="1">
            <x v="792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51">
      <pivotArea dataOnly="0" labelOnly="1" outline="0" fieldPosition="0">
        <references count="7">
          <reference field="0" count="1" selected="0">
            <x v="13"/>
          </reference>
          <reference field="5" count="1">
            <x v="74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0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9">
      <pivotArea dataOnly="0" labelOnly="1" outline="0" fieldPosition="0">
        <references count="7">
          <reference field="0" count="1" selected="0">
            <x v="13"/>
          </reference>
          <reference field="5" count="1"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48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47">
      <pivotArea dataOnly="0" labelOnly="1" outline="0" fieldPosition="0">
        <references count="7">
          <reference field="0" count="1" selected="0">
            <x v="13"/>
          </reference>
          <reference field="5" count="1">
            <x v="7882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46">
      <pivotArea dataOnly="0" labelOnly="1" outline="0" fieldPosition="0">
        <references count="7">
          <reference field="0" count="1" selected="0">
            <x v="14"/>
          </reference>
          <reference field="5" count="1">
            <x v="347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45">
      <pivotArea dataOnly="0" labelOnly="1" outline="0" fieldPosition="0">
        <references count="7">
          <reference field="0" count="1" selected="0">
            <x v="14"/>
          </reference>
          <reference field="5" count="1">
            <x v="777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4">
      <pivotArea dataOnly="0" labelOnly="1" outline="0" fieldPosition="0">
        <references count="7">
          <reference field="0" count="1" selected="0">
            <x v="14"/>
          </reference>
          <reference field="5" count="1">
            <x v="792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43">
      <pivotArea dataOnly="0" labelOnly="1" outline="0" fieldPosition="0">
        <references count="7">
          <reference field="0" count="1" selected="0">
            <x v="14"/>
          </reference>
          <reference field="5" count="1">
            <x v="3433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042">
      <pivotArea dataOnly="0" labelOnly="1" outline="0" fieldPosition="0">
        <references count="7">
          <reference field="0" count="1" selected="0">
            <x v="14"/>
          </reference>
          <reference field="5" count="1">
            <x v="791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41">
      <pivotArea dataOnly="0" labelOnly="1" outline="0" fieldPosition="0">
        <references count="7">
          <reference field="0" count="1" selected="0">
            <x v="14"/>
          </reference>
          <reference field="5" count="1">
            <x v="786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40">
      <pivotArea dataOnly="0" labelOnly="1" outline="0" fieldPosition="0">
        <references count="7">
          <reference field="0" count="1" selected="0">
            <x v="14"/>
          </reference>
          <reference field="5" count="1">
            <x v="610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39">
      <pivotArea dataOnly="0" labelOnly="1" outline="0" fieldPosition="0">
        <references count="7">
          <reference field="0" count="1" selected="0">
            <x v="14"/>
          </reference>
          <reference field="5" count="1">
            <x v="789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38">
      <pivotArea dataOnly="0" labelOnly="1" outline="0" fieldPosition="0">
        <references count="7">
          <reference field="0" count="1" selected="0">
            <x v="14"/>
          </reference>
          <reference field="5" count="1">
            <x v="7911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37">
      <pivotArea dataOnly="0" labelOnly="1" outline="0" fieldPosition="0">
        <references count="7">
          <reference field="0" count="1" selected="0">
            <x v="14"/>
          </reference>
          <reference field="5" count="1">
            <x v="716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36">
      <pivotArea dataOnly="0" labelOnly="1" outline="0" fieldPosition="0">
        <references count="7">
          <reference field="0" count="1" selected="0">
            <x v="14"/>
          </reference>
          <reference field="5" count="1">
            <x v="760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35">
      <pivotArea dataOnly="0" labelOnly="1" outline="0" fieldPosition="0">
        <references count="7">
          <reference field="0" count="1" selected="0">
            <x v="14"/>
          </reference>
          <reference field="5" count="1">
            <x v="3988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34">
      <pivotArea dataOnly="0" labelOnly="1" outline="0" fieldPosition="0">
        <references count="7">
          <reference field="0" count="1" selected="0">
            <x v="14"/>
          </reference>
          <reference field="5" count="2">
            <x v="5943"/>
            <x v="656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33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32">
      <pivotArea dataOnly="0" labelOnly="1" outline="0" fieldPosition="0">
        <references count="7">
          <reference field="0" count="1" selected="0">
            <x v="14"/>
          </reference>
          <reference field="5" count="1">
            <x v="235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31">
      <pivotArea dataOnly="0" labelOnly="1" outline="0" fieldPosition="0">
        <references count="7">
          <reference field="0" count="1" selected="0">
            <x v="15"/>
          </reference>
          <reference field="5" count="1">
            <x v="19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30">
      <pivotArea dataOnly="0" labelOnly="1" outline="0" fieldPosition="0">
        <references count="7">
          <reference field="0" count="1" selected="0">
            <x v="15"/>
          </reference>
          <reference field="5" count="1">
            <x v="77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29">
      <pivotArea dataOnly="0" labelOnly="1" outline="0" fieldPosition="0">
        <references count="7">
          <reference field="0" count="1" selected="0">
            <x v="15"/>
          </reference>
          <reference field="5" count="1"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28">
      <pivotArea dataOnly="0" labelOnly="1" outline="0" fieldPosition="0">
        <references count="7">
          <reference field="0" count="1" selected="0">
            <x v="15"/>
          </reference>
          <reference field="5" count="1">
            <x v="554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027">
      <pivotArea dataOnly="0" labelOnly="1" outline="0" fieldPosition="0">
        <references count="7">
          <reference field="0" count="1" selected="0">
            <x v="15"/>
          </reference>
          <reference field="5" count="1">
            <x v="314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26">
      <pivotArea dataOnly="0" labelOnly="1" outline="0" fieldPosition="0">
        <references count="7">
          <reference field="0" count="1" selected="0">
            <x v="15"/>
          </reference>
          <reference field="5" count="1">
            <x v="790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025">
      <pivotArea dataOnly="0" labelOnly="1" outline="0" fieldPosition="0">
        <references count="7">
          <reference field="0" count="1" selected="0">
            <x v="15"/>
          </reference>
          <reference field="5" count="1">
            <x v="554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24">
      <pivotArea dataOnly="0" labelOnly="1" outline="0" fieldPosition="0">
        <references count="7">
          <reference field="0" count="1" selected="0">
            <x v="15"/>
          </reference>
          <reference field="5" count="1">
            <x v="79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1023">
      <pivotArea dataOnly="0" labelOnly="1" outline="0" fieldPosition="0">
        <references count="7">
          <reference field="0" count="1" selected="0">
            <x v="15"/>
          </reference>
          <reference field="5" count="1">
            <x v="455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2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0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0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0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0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0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4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63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3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0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0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5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9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9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9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8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88">
      <pivotArea dataOnly="0" labelOnly="1" outline="0" fieldPosition="0">
        <references count="9">
          <reference field="0" count="1" selected="0">
            <x v="14"/>
          </reference>
          <reference field="3" count="1">
            <x v="7930"/>
          </reference>
          <reference field="5" count="1" selected="0">
            <x v="452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987">
      <pivotArea dataOnly="0" labelOnly="1" outline="0" fieldPosition="0">
        <references count="9">
          <reference field="0" count="1" selected="0">
            <x v="14"/>
          </reference>
          <reference field="3" count="1">
            <x v="7932"/>
          </reference>
          <reference field="5" count="1" selected="0">
            <x v="72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986">
      <pivotArea dataOnly="0" labelOnly="1" outline="0" fieldPosition="0">
        <references count="9">
          <reference field="0" count="1" selected="0">
            <x v="14"/>
          </reference>
          <reference field="3" count="1">
            <x v="7931"/>
          </reference>
          <reference field="5" count="1" selected="0">
            <x v="726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98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26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9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3">
      <pivotArea dataOnly="0" labelOnly="1" outline="0" fieldPosition="0">
        <references count="9">
          <reference field="0" count="1" selected="0">
            <x v="2"/>
          </reference>
          <reference field="3" count="1">
            <x v="7719"/>
          </reference>
          <reference field="5" count="1" selected="0">
            <x v="60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8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81">
      <pivotArea dataOnly="0" labelOnly="1" outline="0" fieldPosition="0">
        <references count="9">
          <reference field="0" count="1" selected="0">
            <x v="2"/>
          </reference>
          <reference field="3" count="1">
            <x v="7720"/>
          </reference>
          <reference field="5" count="1" selected="0">
            <x v="47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80">
      <pivotArea dataOnly="0" labelOnly="1" outline="0" fieldPosition="0">
        <references count="9">
          <reference field="0" count="1" selected="0">
            <x v="2"/>
          </reference>
          <reference field="3" count="1">
            <x v="7722"/>
          </reference>
          <reference field="5" count="1" selected="0">
            <x v="43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79">
      <pivotArea dataOnly="0" labelOnly="1" outline="0" fieldPosition="0">
        <references count="9">
          <reference field="0" count="1" selected="0">
            <x v="7"/>
          </reference>
          <reference field="3" count="1">
            <x v="7333"/>
          </reference>
          <reference field="5" count="1" selected="0">
            <x v="21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78">
      <pivotArea dataOnly="0" labelOnly="1" outline="0" fieldPosition="0">
        <references count="9">
          <reference field="0" count="1" selected="0">
            <x v="7"/>
          </reference>
          <reference field="3" count="1">
            <x v="7936"/>
          </reference>
          <reference field="5" count="1" selected="0">
            <x v="79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77">
      <pivotArea dataOnly="0" labelOnly="1" outline="0" fieldPosition="0">
        <references count="9">
          <reference field="0" count="1" selected="0">
            <x v="7"/>
          </reference>
          <reference field="3" count="1">
            <x v="7939"/>
          </reference>
          <reference field="5" count="1" selected="0">
            <x v="79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76">
      <pivotArea dataOnly="0" labelOnly="1" outline="0" fieldPosition="0">
        <references count="9">
          <reference field="0" count="1" selected="0">
            <x v="7"/>
          </reference>
          <reference field="3" count="1">
            <x v="7937"/>
          </reference>
          <reference field="5" count="1" selected="0">
            <x v="79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7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4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74">
      <pivotArea dataOnly="0" labelOnly="1" outline="0" fieldPosition="0">
        <references count="9">
          <reference field="0" count="1" selected="0">
            <x v="12"/>
          </reference>
          <reference field="3" count="1">
            <x v="7935"/>
          </reference>
          <reference field="5" count="1" selected="0">
            <x v="792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63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72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34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1">
      <pivotArea dataOnly="0" labelOnly="1" outline="0" fieldPosition="0">
        <references count="9">
          <reference field="0" count="1" selected="0">
            <x v="14"/>
          </reference>
          <reference field="3" count="1">
            <x v="7709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2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69">
      <pivotArea dataOnly="0" labelOnly="1" outline="0" fieldPosition="0">
        <references count="9">
          <reference field="0" count="1" selected="0">
            <x v="14"/>
          </reference>
          <reference field="3" count="1">
            <x v="7720"/>
          </reference>
          <reference field="5" count="1" selected="0">
            <x v="343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968">
      <pivotArea dataOnly="0" labelOnly="1" outline="0" fieldPosition="0">
        <references count="9">
          <reference field="0" count="1" selected="0">
            <x v="14"/>
          </reference>
          <reference field="3" count="1">
            <x v="2919"/>
          </reference>
          <reference field="5" count="1" selected="0">
            <x v="791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67">
      <pivotArea dataOnly="0" labelOnly="1" outline="0" fieldPosition="0">
        <references count="9">
          <reference field="0" count="1" selected="0">
            <x v="14"/>
          </reference>
          <reference field="3" count="1">
            <x v="7226"/>
          </reference>
          <reference field="5" count="1" selected="0">
            <x v="610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66">
      <pivotArea dataOnly="0" labelOnly="1" outline="0" fieldPosition="0">
        <references count="9">
          <reference field="0" count="1" selected="0">
            <x v="14"/>
          </reference>
          <reference field="3" count="1">
            <x v="7720"/>
          </reference>
          <reference field="5" count="1" selected="0">
            <x v="791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65">
      <pivotArea dataOnly="0" labelOnly="1" outline="0" fieldPosition="0">
        <references count="9">
          <reference field="0" count="1" selected="0">
            <x v="14"/>
          </reference>
          <reference field="3" count="1">
            <x v="7933"/>
          </reference>
          <reference field="5" count="1" selected="0">
            <x v="71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64">
      <pivotArea dataOnly="0" labelOnly="1" outline="0" fieldPosition="0">
        <references count="9">
          <reference field="0" count="1" selected="0">
            <x v="14"/>
          </reference>
          <reference field="3" count="1">
            <x v="7618"/>
          </reference>
          <reference field="5" count="1" selected="0">
            <x v="76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63">
      <pivotArea dataOnly="0" labelOnly="1" outline="0" fieldPosition="0">
        <references count="9">
          <reference field="0" count="1" selected="0">
            <x v="14"/>
          </reference>
          <reference field="3" count="1">
            <x v="7750"/>
          </reference>
          <reference field="5" count="1" selected="0">
            <x v="398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62">
      <pivotArea dataOnly="0" labelOnly="1" outline="0" fieldPosition="0">
        <references count="9">
          <reference field="0" count="1" selected="0">
            <x v="14"/>
          </reference>
          <reference field="3" count="1">
            <x v="7710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61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60">
      <pivotArea dataOnly="0" labelOnly="1" outline="0" fieldPosition="0">
        <references count="9">
          <reference field="0" count="1" selected="0">
            <x v="14"/>
          </reference>
          <reference field="3" count="1">
            <x v="7708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59">
      <pivotArea dataOnly="0" labelOnly="1" outline="0" fieldPosition="0">
        <references count="9">
          <reference field="0" count="1" selected="0">
            <x v="14"/>
          </reference>
          <reference field="3" count="1">
            <x v="7934"/>
          </reference>
          <reference field="5" count="1" selected="0">
            <x v="235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58">
      <pivotArea dataOnly="0" labelOnly="1" outline="0" fieldPosition="0">
        <references count="9">
          <reference field="0" count="1" selected="0">
            <x v="15"/>
          </reference>
          <reference field="3" count="1">
            <x v="7803"/>
          </reference>
          <reference field="5" count="1" selected="0">
            <x v="19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57">
      <pivotArea dataOnly="0" labelOnly="1" outline="0" fieldPosition="0">
        <references count="9">
          <reference field="0" count="1" selected="0">
            <x v="15"/>
          </reference>
          <reference field="3" count="1">
            <x v="7798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5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5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54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9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3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3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0"/>
          </reference>
          <reference field="5" count="1" selected="0">
            <x v="45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9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9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19"/>
          </reference>
          <reference field="5" count="1" selected="0">
            <x v="60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6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4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22"/>
          </reference>
          <reference field="5" count="1" selected="0">
            <x v="43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3"/>
          </reference>
          <reference field="5" count="1" selected="0">
            <x v="21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6"/>
          </reference>
          <reference field="5" count="1" selected="0">
            <x v="7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9"/>
          </reference>
          <reference field="5" count="1" selected="0">
            <x v="79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7"/>
          </reference>
          <reference field="5" count="1" selected="0">
            <x v="79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4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4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35"/>
          </reference>
          <reference field="5" count="1" selected="0">
            <x v="79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3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6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34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9"/>
          </reference>
          <reference field="5" count="1" selected="0">
            <x v="7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0"/>
          </reference>
          <reference field="5" count="1" selected="0">
            <x v="34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9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19"/>
          </reference>
          <reference field="5" count="1" selected="0">
            <x v="79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6"/>
          </reference>
          <reference field="5" count="1" selected="0">
            <x v="61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0"/>
          </reference>
          <reference field="5" count="1" selected="0">
            <x v="791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3"/>
          </reference>
          <reference field="5" count="1" selected="0">
            <x v="71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8"/>
          </reference>
          <reference field="5" count="1" selected="0">
            <x v="76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0"/>
          </reference>
          <reference field="5" count="1" selected="0">
            <x v="39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0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4"/>
          </reference>
          <reference field="5" count="1" selected="0">
            <x v="23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3"/>
          </reference>
          <reference field="5" count="1" selected="0">
            <x v="19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8"/>
          </reference>
          <reference field="5" count="1" selected="0">
            <x v="77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5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922">
      <pivotArea dataOnly="0" labelOnly="1" outline="0" fieldPosition="0">
        <references count="11">
          <reference field="0" count="1" selected="0">
            <x v="7"/>
          </reference>
          <reference field="1" count="1">
            <x v="7876"/>
          </reference>
          <reference field="3" count="1" selected="0">
            <x v="0"/>
          </reference>
          <reference field="5" count="1" selected="0">
            <x v="793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21">
      <pivotArea dataOnly="0" labelOnly="1" outline="0" fieldPosition="0">
        <references count="11">
          <reference field="0" count="1" selected="0">
            <x v="14"/>
          </reference>
          <reference field="1" count="1">
            <x v="7868"/>
          </reference>
          <reference field="3" count="1" selected="0">
            <x v="7930"/>
          </reference>
          <reference field="5" count="1" selected="0">
            <x v="45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920">
      <pivotArea dataOnly="0" labelOnly="1" outline="0" fieldPosition="0">
        <references count="11">
          <reference field="0" count="1" selected="0">
            <x v="14"/>
          </reference>
          <reference field="1" count="1">
            <x v="7866"/>
          </reference>
          <reference field="3" count="1" selected="0">
            <x v="0"/>
          </reference>
          <reference field="5" count="1" selected="0">
            <x v="79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919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61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18">
      <pivotArea dataOnly="0" labelOnly="1" outline="0" fieldPosition="0">
        <references count="11">
          <reference field="0" count="1" selected="0">
            <x v="2"/>
          </reference>
          <reference field="1" count="1">
            <x v="7879"/>
          </reference>
          <reference field="3" count="1" selected="0">
            <x v="7720"/>
          </reference>
          <reference field="5" count="1" selected="0">
            <x v="47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17">
      <pivotArea dataOnly="0" labelOnly="1" outline="0" fieldPosition="0">
        <references count="11">
          <reference field="0" count="1" selected="0">
            <x v="2"/>
          </reference>
          <reference field="1" count="1">
            <x v="7710"/>
          </reference>
          <reference field="3" count="1" selected="0">
            <x v="7722"/>
          </reference>
          <reference field="5" count="1" selected="0">
            <x v="43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16">
      <pivotArea dataOnly="0" labelOnly="1" outline="0" fieldPosition="0">
        <references count="11">
          <reference field="0" count="1" selected="0">
            <x v="7"/>
          </reference>
          <reference field="1" count="1">
            <x v="7854"/>
          </reference>
          <reference field="3" count="1" selected="0">
            <x v="7333"/>
          </reference>
          <reference field="5" count="1" selected="0">
            <x v="21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15">
      <pivotArea dataOnly="0" labelOnly="1" outline="0" fieldPosition="0">
        <references count="11">
          <reference field="0" count="1" selected="0">
            <x v="12"/>
          </reference>
          <reference field="1" count="1">
            <x v="7874"/>
          </reference>
          <reference field="3" count="1" selected="0">
            <x v="0"/>
          </reference>
          <reference field="5" count="1" selected="0">
            <x v="7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14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46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13">
      <pivotArea dataOnly="0" labelOnly="1" outline="0" fieldPosition="0">
        <references count="11">
          <reference field="0" count="1" selected="0">
            <x v="13"/>
          </reference>
          <reference field="1" count="1">
            <x v="7872"/>
          </reference>
          <reference field="3" count="1" selected="0">
            <x v="0"/>
          </reference>
          <reference field="5" count="1" selected="0">
            <x v="79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12">
      <pivotArea dataOnly="0" labelOnly="1" outline="0" fieldPosition="0">
        <references count="11">
          <reference field="0" count="1" selected="0">
            <x v="13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74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11">
      <pivotArea dataOnly="0" labelOnly="1" outline="0" fieldPosition="0">
        <references count="11">
          <reference field="0" count="1" selected="0">
            <x v="13"/>
          </reference>
          <reference field="1" count="1">
            <x v="7693"/>
          </reference>
          <reference field="3" count="1" selected="0">
            <x v="0"/>
          </reference>
          <reference field="5" count="1" selected="0">
            <x v="55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10">
      <pivotArea dataOnly="0" labelOnly="1" outline="0" fieldPosition="0">
        <references count="11">
          <reference field="0" count="1" selected="0">
            <x v="13"/>
          </reference>
          <reference field="1" count="1">
            <x v="7871"/>
          </reference>
          <reference field="3" count="1" selected="0">
            <x v="0"/>
          </reference>
          <reference field="5" count="1" selected="0">
            <x v="554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09">
      <pivotArea dataOnly="0" labelOnly="1" outline="0" fieldPosition="0">
        <references count="11">
          <reference field="0" count="1" selected="0">
            <x v="13"/>
          </reference>
          <reference field="1" count="1">
            <x v="7756"/>
          </reference>
          <reference field="3" count="1" selected="0">
            <x v="0"/>
          </reference>
          <reference field="5" count="1" selected="0">
            <x v="3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08">
      <pivotArea dataOnly="0" labelOnly="1" outline="0" fieldPosition="0">
        <references count="11">
          <reference field="0" count="1" selected="0">
            <x v="13"/>
          </reference>
          <reference field="1" count="1">
            <x v="7789"/>
          </reference>
          <reference field="3" count="1" selected="0">
            <x v="0"/>
          </reference>
          <reference field="5" count="1" selected="0">
            <x v="78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07">
      <pivotArea dataOnly="0" labelOnly="1" outline="0" fieldPosition="0">
        <references count="11">
          <reference field="0" count="1" selected="0">
            <x v="14"/>
          </reference>
          <reference field="1" count="1">
            <x v="7869"/>
          </reference>
          <reference field="3" count="1" selected="0">
            <x v="7720"/>
          </reference>
          <reference field="5" count="1" selected="0">
            <x v="343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906">
      <pivotArea dataOnly="0" labelOnly="1" outline="0" fieldPosition="0">
        <references count="11">
          <reference field="0" count="1" selected="0">
            <x v="14"/>
          </reference>
          <reference field="1" count="1">
            <x v="7815"/>
          </reference>
          <reference field="3" count="1" selected="0">
            <x v="2919"/>
          </reference>
          <reference field="5" count="1" selected="0">
            <x v="791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05">
      <pivotArea dataOnly="0" labelOnly="1" outline="0" fieldPosition="0">
        <references count="11">
          <reference field="0" count="1" selected="0">
            <x v="14"/>
          </reference>
          <reference field="1" count="1">
            <x v="7814"/>
          </reference>
          <reference field="3" count="1" selected="0">
            <x v="7720"/>
          </reference>
          <reference field="5" count="1" selected="0">
            <x v="791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04">
      <pivotArea dataOnly="0" labelOnly="1" outline="0" fieldPosition="0">
        <references count="11">
          <reference field="0" count="1" selected="0">
            <x v="14"/>
          </reference>
          <reference field="1" count="1">
            <x v="7627"/>
          </reference>
          <reference field="3" count="1" selected="0">
            <x v="7618"/>
          </reference>
          <reference field="5" count="1" selected="0">
            <x v="760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03">
      <pivotArea dataOnly="0" labelOnly="1" outline="0" fieldPosition="0">
        <references count="11">
          <reference field="0" count="1" selected="0">
            <x v="14"/>
          </reference>
          <reference field="1" count="1">
            <x v="7867"/>
          </reference>
          <reference field="3" count="1" selected="0">
            <x v="7750"/>
          </reference>
          <reference field="5" count="1" selected="0">
            <x v="398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02">
      <pivotArea dataOnly="0" labelOnly="1" outline="0" fieldPosition="0">
        <references count="11">
          <reference field="0" count="1" selected="0">
            <x v="14"/>
          </reference>
          <reference field="1" count="1">
            <x v="7525"/>
          </reference>
          <reference field="3" count="1" selected="0">
            <x v="7708"/>
          </reference>
          <reference field="5" count="1" selected="0">
            <x v="4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01">
      <pivotArea dataOnly="0" labelOnly="1" outline="0" fieldPosition="0">
        <references count="11">
          <reference field="0" count="1" selected="0">
            <x v="14"/>
          </reference>
          <reference field="1" count="1">
            <x v="7870"/>
          </reference>
          <reference field="3" count="1" selected="0">
            <x v="7934"/>
          </reference>
          <reference field="5" count="1" selected="0">
            <x v="23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00">
      <pivotArea dataOnly="0" labelOnly="1" outline="0" fieldPosition="0">
        <references count="11">
          <reference field="0" count="1" selected="0">
            <x v="15"/>
          </reference>
          <reference field="1" count="1">
            <x v="7625"/>
          </reference>
          <reference field="3" count="1" selected="0">
            <x v="7798"/>
          </reference>
          <reference field="5" count="1" selected="0">
            <x v="77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99">
      <pivotArea dataOnly="0" labelOnly="1" outline="0" fieldPosition="0">
        <references count="11">
          <reference field="0" count="1" selected="0">
            <x v="15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27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98">
      <pivotArea dataOnly="0" labelOnly="1" outline="0" fieldPosition="0">
        <references count="11">
          <reference field="0" count="1" selected="0">
            <x v="15"/>
          </reference>
          <reference field="1" count="1">
            <x v="7843"/>
          </reference>
          <reference field="3" count="1" selected="0">
            <x v="0"/>
          </reference>
          <reference field="5" count="1" selected="0">
            <x v="31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897">
      <pivotArea dataOnly="0" labelOnly="1" outline="0" fieldPosition="0">
        <references count="11">
          <reference field="0" count="1" selected="0">
            <x v="15"/>
          </reference>
          <reference field="1" count="1">
            <x v="7810"/>
          </reference>
          <reference field="3" count="1" selected="0">
            <x v="0"/>
          </reference>
          <reference field="5" count="1" selected="0">
            <x v="55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96">
      <pivotArea dataOnly="0" labelOnly="1" outline="0" fieldPosition="0">
        <references count="11">
          <reference field="0" count="1" selected="0">
            <x v="15"/>
          </reference>
          <reference field="1" count="1">
            <x v="7861"/>
          </reference>
          <reference field="3" count="1" selected="0">
            <x v="0"/>
          </reference>
          <reference field="5" count="1" selected="0">
            <x v="79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895">
      <pivotArea dataOnly="0" labelOnly="1" outline="0" fieldPosition="0">
        <references count="11">
          <reference field="0" count="1" selected="0">
            <x v="15"/>
          </reference>
          <reference field="1" count="1">
            <x v="7865"/>
          </reference>
          <reference field="3" count="1" selected="0">
            <x v="0"/>
          </reference>
          <reference field="5" count="1" selected="0">
            <x v="45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94">
      <pivotArea outline="0" collapsedLevelsAreSubtotals="1" fieldPosition="0"/>
    </format>
    <format dxfId="893">
      <pivotArea dataOnly="0" labelOnly="1" outline="0" axis="axisValues" fieldPosition="0"/>
    </format>
    <format dxfId="892">
      <pivotArea dataOnly="0" outline="0" fieldPosition="0">
        <references count="1">
          <reference field="12" count="0" defaultSubtotal="1"/>
        </references>
      </pivotArea>
    </format>
    <format dxfId="891">
      <pivotArea outline="0" collapsedLevelsAreSubtotals="1" fieldPosition="0"/>
    </format>
    <format dxfId="890">
      <pivotArea dataOnly="0" labelOnly="1" outline="0" axis="axisValues" fieldPosition="0"/>
    </format>
    <format dxfId="889">
      <pivotArea outline="0" collapsedLevelsAreSubtotals="1" fieldPosition="0"/>
    </format>
    <format dxfId="888">
      <pivotArea dataOnly="0" labelOnly="1" outline="0" axis="axisValues" fieldPosition="0"/>
    </format>
    <format dxfId="887">
      <pivotArea dataOnly="0" labelOnly="1" outline="0" axis="axisValues" fieldPosition="0"/>
    </format>
    <format dxfId="886">
      <pivotArea outline="0" collapsedLevelsAreSubtotals="1" fieldPosition="0"/>
    </format>
    <format dxfId="885">
      <pivotArea field="12" type="button" dataOnly="0" labelOnly="1" outline="0" axis="axisRow" fieldPosition="2"/>
    </format>
    <format dxfId="884">
      <pivotArea field="10" type="button" dataOnly="0" labelOnly="1" outline="0" axis="axisRow" fieldPosition="3"/>
    </format>
    <format dxfId="883">
      <pivotArea field="16" type="button" dataOnly="0" labelOnly="1" outline="0" axis="axisRow" fieldPosition="4"/>
    </format>
    <format dxfId="882">
      <pivotArea field="18" type="button" dataOnly="0" labelOnly="1" outline="0" axis="axisRow" fieldPosition="5"/>
    </format>
    <format dxfId="881">
      <pivotArea field="5" type="button" dataOnly="0" labelOnly="1" outline="0" axis="axisRow" fieldPosition="6"/>
    </format>
    <format dxfId="880">
      <pivotArea field="9" type="button" dataOnly="0" labelOnly="1" outline="0" axis="axisRow" fieldPosition="7"/>
    </format>
    <format dxfId="879">
      <pivotArea field="3" type="button" dataOnly="0" labelOnly="1" outline="0" axis="axisRow" fieldPosition="8"/>
    </format>
    <format dxfId="878">
      <pivotArea field="7" type="button" dataOnly="0" labelOnly="1" outline="0" axis="axisRow" fieldPosition="9"/>
    </format>
    <format dxfId="877">
      <pivotArea field="1" type="button" dataOnly="0" labelOnly="1" outline="0" axis="axisRow" fieldPosition="10"/>
    </format>
    <format dxfId="876">
      <pivotArea dataOnly="0" labelOnly="1" outline="0" axis="axisValues" fieldPosition="0"/>
    </format>
    <format dxfId="875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5"/>
          </reference>
          <reference field="13" count="1" selected="0">
            <x v="0"/>
          </reference>
        </references>
      </pivotArea>
    </format>
    <format dxfId="87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5"/>
          </reference>
          <reference field="13" count="1" selected="0">
            <x v="0"/>
          </reference>
        </references>
      </pivotArea>
    </format>
    <format dxfId="87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7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71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870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86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6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6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6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6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6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63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7"/>
            <x v="9"/>
            <x v="20"/>
            <x v="22"/>
            <x v="31"/>
            <x v="32"/>
          </reference>
          <reference field="13" count="1" selected="0">
            <x v="2"/>
          </reference>
        </references>
      </pivotArea>
    </format>
    <format dxfId="862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7"/>
            <x v="9"/>
            <x v="20"/>
            <x v="22"/>
            <x v="31"/>
            <x v="32"/>
          </reference>
          <reference field="13" count="1" selected="0">
            <x v="2"/>
          </reference>
        </references>
      </pivotArea>
    </format>
    <format dxfId="86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6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8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857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5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5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5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5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2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4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4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8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4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4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84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3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3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82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81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8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1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9"/>
          </reference>
        </references>
      </pivotArea>
    </format>
    <format dxfId="8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6"/>
          </reference>
        </references>
      </pivotArea>
    </format>
    <format dxfId="8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8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8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6"/>
            <x v="39"/>
            <x v="41"/>
            <x v="42"/>
            <x v="58"/>
            <x v="128"/>
          </reference>
        </references>
      </pivotArea>
    </format>
    <format dxfId="7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6"/>
          </reference>
        </references>
      </pivotArea>
    </format>
    <format dxfId="797">
      <pivotArea dataOnly="0" labelOnly="1" outline="0" fieldPosition="0">
        <references count="7">
          <reference field="0" count="1" selected="0">
            <x v="14"/>
          </reference>
          <reference field="5" count="1">
            <x v="794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96">
      <pivotArea dataOnly="0" labelOnly="1" outline="0" fieldPosition="0">
        <references count="7">
          <reference field="0" count="1" selected="0">
            <x v="15"/>
          </reference>
          <reference field="5" count="1">
            <x v="79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795">
      <pivotArea dataOnly="0" labelOnly="1" outline="0" fieldPosition="0">
        <references count="7">
          <reference field="0" count="1" selected="0">
            <x v="0"/>
          </reference>
          <reference field="5" count="2">
            <x v="2015"/>
            <x v="566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4">
      <pivotArea dataOnly="0" labelOnly="1" outline="0" fieldPosition="0">
        <references count="7">
          <reference field="0" count="1" selected="0">
            <x v="0"/>
          </reference>
          <reference field="5" count="1">
            <x v="200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93">
      <pivotArea dataOnly="0" labelOnly="1" outline="0" fieldPosition="0">
        <references count="7">
          <reference field="0" count="1" selected="0">
            <x v="7"/>
          </reference>
          <reference field="5" count="1">
            <x v="213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92">
      <pivotArea dataOnly="0" labelOnly="1" outline="0" fieldPosition="0">
        <references count="7">
          <reference field="0" count="1" selected="0">
            <x v="12"/>
          </reference>
          <reference field="5" count="1">
            <x v="794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91">
      <pivotArea dataOnly="0" labelOnly="1" outline="0" fieldPosition="0">
        <references count="7">
          <reference field="0" count="1" selected="0">
            <x v="12"/>
          </reference>
          <reference field="5" count="1">
            <x v="92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0">
      <pivotArea dataOnly="0" labelOnly="1" outline="0" fieldPosition="0">
        <references count="7">
          <reference field="0" count="1" selected="0">
            <x v="13"/>
          </reference>
          <reference field="5" count="1">
            <x v="463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9">
      <pivotArea dataOnly="0" labelOnly="1" outline="0" fieldPosition="0">
        <references count="7">
          <reference field="0" count="1" selected="0">
            <x v="13"/>
          </reference>
          <reference field="5" count="1">
            <x v="792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88">
      <pivotArea dataOnly="0" labelOnly="1" outline="0" fieldPosition="0">
        <references count="7">
          <reference field="0" count="1" selected="0">
            <x v="13"/>
          </reference>
          <reference field="5" count="1">
            <x v="74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87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6">
      <pivotArea dataOnly="0" labelOnly="1" outline="0" fieldPosition="0">
        <references count="7">
          <reference field="0" count="1" selected="0">
            <x v="13"/>
          </reference>
          <reference field="5" count="1"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85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84">
      <pivotArea dataOnly="0" labelOnly="1" outline="0" fieldPosition="0">
        <references count="7">
          <reference field="0" count="1" selected="0">
            <x v="13"/>
          </reference>
          <reference field="5" count="1">
            <x v="7882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83">
      <pivotArea dataOnly="0" labelOnly="1" outline="0" fieldPosition="0">
        <references count="7">
          <reference field="0" count="1" selected="0">
            <x v="14"/>
          </reference>
          <reference field="5" count="1">
            <x v="777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2">
      <pivotArea dataOnly="0" labelOnly="1" outline="0" fieldPosition="0">
        <references count="7">
          <reference field="0" count="1" selected="0">
            <x v="14"/>
          </reference>
          <reference field="5" count="1">
            <x v="433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1">
      <pivotArea dataOnly="0" labelOnly="1" outline="0" fieldPosition="0">
        <references count="7">
          <reference field="0" count="1" selected="0">
            <x v="14"/>
          </reference>
          <reference field="5" count="1">
            <x v="789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0">
      <pivotArea dataOnly="0" labelOnly="1" outline="0" fieldPosition="0">
        <references count="7">
          <reference field="0" count="1" selected="0">
            <x v="14"/>
          </reference>
          <reference field="5" count="1">
            <x v="794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9">
      <pivotArea dataOnly="0" labelOnly="1" outline="0" fieldPosition="0">
        <references count="7">
          <reference field="0" count="1" selected="0">
            <x v="14"/>
          </reference>
          <reference field="5" count="2">
            <x v="5943"/>
            <x v="656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78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77">
      <pivotArea dataOnly="0" labelOnly="1" outline="0" fieldPosition="0">
        <references count="7">
          <reference field="0" count="1" selected="0">
            <x v="14"/>
          </reference>
          <reference field="5" count="1">
            <x v="7943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76">
      <pivotArea dataOnly="0" labelOnly="1" outline="0" fieldPosition="0">
        <references count="7">
          <reference field="0" count="1" selected="0">
            <x v="15"/>
          </reference>
          <reference field="5" count="1">
            <x v="19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75">
      <pivotArea dataOnly="0" labelOnly="1" outline="0" fieldPosition="0">
        <references count="7">
          <reference field="0" count="1" selected="0">
            <x v="15"/>
          </reference>
          <reference field="5" count="1">
            <x v="794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74">
      <pivotArea dataOnly="0" labelOnly="1" outline="0" fieldPosition="0">
        <references count="7">
          <reference field="0" count="1" selected="0">
            <x v="15"/>
          </reference>
          <reference field="5" count="1">
            <x v="77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73">
      <pivotArea dataOnly="0" labelOnly="1" outline="0" fieldPosition="0">
        <references count="7">
          <reference field="0" count="1" selected="0">
            <x v="15"/>
          </reference>
          <reference field="5" count="1"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72">
      <pivotArea dataOnly="0" labelOnly="1" outline="0" fieldPosition="0">
        <references count="7">
          <reference field="0" count="1" selected="0">
            <x v="15"/>
          </reference>
          <reference field="5" count="1">
            <x v="793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71">
      <pivotArea dataOnly="0" labelOnly="1" outline="0" fieldPosition="0">
        <references count="7">
          <reference field="0" count="1" selected="0">
            <x v="15"/>
          </reference>
          <reference field="5" count="1">
            <x v="793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770">
      <pivotArea dataOnly="0" labelOnly="1" outline="0" fieldPosition="0">
        <references count="7">
          <reference field="0" count="1" selected="0">
            <x v="15"/>
          </reference>
          <reference field="5" count="1">
            <x v="455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7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39"/>
          </reference>
          <reference field="9" count="1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76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6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44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6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92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63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3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4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5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3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751">
      <pivotArea dataOnly="0" labelOnly="1" outline="0" fieldPosition="0">
        <references count="9">
          <reference field="0" count="1" selected="0">
            <x v="0"/>
          </reference>
          <reference field="3" count="1">
            <x v="7224"/>
          </reference>
          <reference field="5" count="1" selected="0">
            <x v="20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50">
      <pivotArea dataOnly="0" labelOnly="1" outline="0" fieldPosition="0">
        <references count="9">
          <reference field="0" count="1" selected="0">
            <x v="0"/>
          </reference>
          <reference field="3" count="1">
            <x v="7225"/>
          </reference>
          <reference field="5" count="1" selected="0">
            <x v="56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49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48">
      <pivotArea dataOnly="0" labelOnly="1" outline="0" fieldPosition="0">
        <references count="9">
          <reference field="0" count="1" selected="0">
            <x v="7"/>
          </reference>
          <reference field="3" count="1">
            <x v="7333"/>
          </reference>
          <reference field="5" count="1" selected="0">
            <x v="21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47">
      <pivotArea dataOnly="0" labelOnly="1" outline="0" fieldPosition="0">
        <references count="9">
          <reference field="0" count="1" selected="0">
            <x v="12"/>
          </reference>
          <reference field="3" count="1">
            <x v="7960"/>
          </reference>
          <reference field="5" count="1" selected="0">
            <x v="7944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4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92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4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63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4">
      <pivotArea dataOnly="0" labelOnly="1" outline="0" fieldPosition="0">
        <references count="9">
          <reference field="0" count="1" selected="0">
            <x v="14"/>
          </reference>
          <reference field="3" count="1">
            <x v="7955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3">
      <pivotArea dataOnly="0" labelOnly="1" outline="0" fieldPosition="0">
        <references count="9">
          <reference field="0" count="1" selected="0">
            <x v="14"/>
          </reference>
          <reference field="3" count="1">
            <x v="7366"/>
          </reference>
          <reference field="5" count="1" selected="0">
            <x v="433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4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0">
      <pivotArea dataOnly="0" labelOnly="1" outline="0" fieldPosition="0">
        <references count="9">
          <reference field="0" count="1" selected="0">
            <x v="14"/>
          </reference>
          <reference field="3" count="1">
            <x v="7956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39">
      <pivotArea dataOnly="0" labelOnly="1" outline="0" fieldPosition="0">
        <references count="9">
          <reference field="0" count="1" selected="0">
            <x v="14"/>
          </reference>
          <reference field="3" count="1">
            <x v="7954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38">
      <pivotArea dataOnly="0" labelOnly="1" outline="0" fieldPosition="0">
        <references count="9">
          <reference field="0" count="1" selected="0">
            <x v="14"/>
          </reference>
          <reference field="3" count="1">
            <x v="7953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4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36">
      <pivotArea dataOnly="0" labelOnly="1" outline="0" fieldPosition="0">
        <references count="9">
          <reference field="0" count="1" selected="0">
            <x v="15"/>
          </reference>
          <reference field="3" count="2">
            <x v="7803"/>
            <x v="7951"/>
          </reference>
          <reference field="5" count="1" selected="0">
            <x v="19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35">
      <pivotArea dataOnly="0" labelOnly="1" outline="0" fieldPosition="0">
        <references count="9">
          <reference field="0" count="1" selected="0">
            <x v="15"/>
          </reference>
          <reference field="3" count="1">
            <x v="7952"/>
          </reference>
          <reference field="5" count="1" selected="0">
            <x v="794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34">
      <pivotArea dataOnly="0" labelOnly="1" outline="0" fieldPosition="0">
        <references count="9">
          <reference field="0" count="1" selected="0">
            <x v="15"/>
          </reference>
          <reference field="3" count="1">
            <x v="7798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3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3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3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72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224"/>
          </reference>
          <reference field="5" count="1" selected="0">
            <x v="20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2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3"/>
          </reference>
          <reference field="5" count="1" selected="0">
            <x v="21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2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60"/>
          </reference>
          <reference field="5" count="1" selected="0">
            <x v="79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2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92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2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6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5"/>
          </reference>
          <reference field="5" count="1" selected="0">
            <x v="7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6"/>
          </reference>
          <reference field="5" count="1" selected="0">
            <x v="43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6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3"/>
          </reference>
          <reference field="5" count="1" selected="0">
            <x v="19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52"/>
          </reference>
          <reference field="5" count="1" selected="0">
            <x v="794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8"/>
          </reference>
          <reference field="5" count="1" selected="0">
            <x v="77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12">
      <pivotArea dataOnly="0" labelOnly="1" outline="0" fieldPosition="0">
        <references count="11">
          <reference field="0" count="1" selected="0">
            <x v="14"/>
          </reference>
          <reference field="1" count="1">
            <x v="7898"/>
          </reference>
          <reference field="3" count="1" selected="0">
            <x v="2"/>
          </reference>
          <reference field="5" count="1" selected="0">
            <x v="79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11">
      <pivotArea dataOnly="0" labelOnly="1" outline="0" fieldPosition="0">
        <references count="11">
          <reference field="0" count="1" selected="0">
            <x v="15"/>
          </reference>
          <reference field="1" count="1">
            <x v="7895"/>
          </reference>
          <reference field="3" count="1" selected="0">
            <x v="0"/>
          </reference>
          <reference field="5" count="1" selected="0">
            <x v="79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710">
      <pivotArea dataOnly="0" labelOnly="1" outline="0" fieldPosition="0">
        <references count="11">
          <reference field="0" count="1" selected="0">
            <x v="0"/>
          </reference>
          <reference field="1" count="1">
            <x v="6258"/>
          </reference>
          <reference field="3" count="1" selected="0">
            <x v="0"/>
          </reference>
          <reference field="5" count="1" selected="0">
            <x v="200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09">
      <pivotArea dataOnly="0" labelOnly="1" outline="0" fieldPosition="0">
        <references count="11">
          <reference field="0" count="1" selected="0">
            <x v="7"/>
          </reference>
          <reference field="1" count="1">
            <x v="7907"/>
          </reference>
          <reference field="3" count="1" selected="0">
            <x v="7333"/>
          </reference>
          <reference field="5" count="1" selected="0">
            <x v="21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08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46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7">
      <pivotArea dataOnly="0" labelOnly="1" outline="0" fieldPosition="0">
        <references count="11">
          <reference field="0" count="1" selected="0">
            <x v="13"/>
          </reference>
          <reference field="1" count="1">
            <x v="7872"/>
          </reference>
          <reference field="3" count="1" selected="0">
            <x v="0"/>
          </reference>
          <reference field="5" count="1" selected="0">
            <x v="79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06">
      <pivotArea dataOnly="0" labelOnly="1" outline="0" fieldPosition="0">
        <references count="11">
          <reference field="0" count="1" selected="0">
            <x v="13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74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05">
      <pivotArea dataOnly="0" labelOnly="1" outline="0" fieldPosition="0">
        <references count="11">
          <reference field="0" count="1" selected="0">
            <x v="13"/>
          </reference>
          <reference field="1" count="1">
            <x v="7693"/>
          </reference>
          <reference field="3" count="1" selected="0">
            <x v="0"/>
          </reference>
          <reference field="5" count="1" selected="0">
            <x v="55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4">
      <pivotArea dataOnly="0" labelOnly="1" outline="0" fieldPosition="0">
        <references count="11">
          <reference field="0" count="1" selected="0">
            <x v="13"/>
          </reference>
          <reference field="1" count="1">
            <x v="7871"/>
          </reference>
          <reference field="3" count="1" selected="0">
            <x v="0"/>
          </reference>
          <reference field="5" count="1" selected="0">
            <x v="554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03">
      <pivotArea dataOnly="0" labelOnly="1" outline="0" fieldPosition="0">
        <references count="11">
          <reference field="0" count="1" selected="0">
            <x v="13"/>
          </reference>
          <reference field="1" count="1">
            <x v="7756"/>
          </reference>
          <reference field="3" count="1" selected="0">
            <x v="0"/>
          </reference>
          <reference field="5" count="1" selected="0">
            <x v="3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02">
      <pivotArea dataOnly="0" labelOnly="1" outline="0" fieldPosition="0">
        <references count="11">
          <reference field="0" count="1" selected="0">
            <x v="13"/>
          </reference>
          <reference field="1" count="1">
            <x v="7789"/>
          </reference>
          <reference field="3" count="1" selected="0">
            <x v="0"/>
          </reference>
          <reference field="5" count="1" selected="0">
            <x v="78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01">
      <pivotArea dataOnly="0" labelOnly="1" outline="0" fieldPosition="0">
        <references count="11">
          <reference field="0" count="1" selected="0">
            <x v="14"/>
          </reference>
          <reference field="1" count="1">
            <x v="7901"/>
          </reference>
          <reference field="3" count="1" selected="0">
            <x v="7955"/>
          </reference>
          <reference field="5" count="1" selected="0">
            <x v="77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0">
      <pivotArea dataOnly="0" labelOnly="1" outline="0" fieldPosition="0">
        <references count="11">
          <reference field="0" count="1" selected="0">
            <x v="14"/>
          </reference>
          <reference field="1" count="1">
            <x v="7904"/>
          </reference>
          <reference field="3" count="1" selected="0">
            <x v="7366"/>
          </reference>
          <reference field="5" count="1" selected="0">
            <x v="433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99">
      <pivotArea dataOnly="0" labelOnly="1" outline="0" fieldPosition="0">
        <references count="11">
          <reference field="0" count="1" selected="0">
            <x v="14"/>
          </reference>
          <reference field="1" count="1">
            <x v="7903"/>
          </reference>
          <reference field="3" count="1" selected="0">
            <x v="2"/>
          </reference>
          <reference field="5" count="1" selected="0">
            <x v="78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8">
      <pivotArea dataOnly="0" labelOnly="1" outline="0" fieldPosition="0">
        <references count="11">
          <reference field="0" count="1" selected="0">
            <x v="14"/>
          </reference>
          <reference field="1" count="1">
            <x v="7902"/>
          </reference>
          <reference field="3" count="1" selected="0">
            <x v="7956"/>
          </reference>
          <reference field="5" count="1" selected="0">
            <x v="59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97">
      <pivotArea dataOnly="0" labelOnly="1" outline="0" fieldPosition="0">
        <references count="11">
          <reference field="0" count="1" selected="0">
            <x v="14"/>
          </reference>
          <reference field="1" count="1">
            <x v="7900"/>
          </reference>
          <reference field="3" count="1" selected="0">
            <x v="7954"/>
          </reference>
          <reference field="5" count="1" selected="0">
            <x v="65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96">
      <pivotArea dataOnly="0" labelOnly="1" outline="0" fieldPosition="0">
        <references count="11">
          <reference field="0" count="1" selected="0">
            <x v="14"/>
          </reference>
          <reference field="1" count="1">
            <x v="7899"/>
          </reference>
          <reference field="3" count="1" selected="0">
            <x v="7953"/>
          </reference>
          <reference field="5" count="1" selected="0">
            <x v="4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95">
      <pivotArea dataOnly="0" labelOnly="1" outline="0" fieldPosition="0">
        <references count="11">
          <reference field="0" count="1" selected="0">
            <x v="15"/>
          </reference>
          <reference field="1" count="1">
            <x v="7897"/>
          </reference>
          <reference field="3" count="1" selected="0">
            <x v="7951"/>
          </reference>
          <reference field="5" count="1" selected="0">
            <x v="19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94">
      <pivotArea dataOnly="0" labelOnly="1" outline="0" fieldPosition="0">
        <references count="11">
          <reference field="0" count="1" selected="0">
            <x v="15"/>
          </reference>
          <reference field="1" count="1">
            <x v="7625"/>
          </reference>
          <reference field="3" count="1" selected="0">
            <x v="7798"/>
          </reference>
          <reference field="5" count="1" selected="0">
            <x v="77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93">
      <pivotArea dataOnly="0" labelOnly="1" outline="0" fieldPosition="0">
        <references count="11">
          <reference field="0" count="1" selected="0">
            <x v="15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27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92">
      <pivotArea dataOnly="0" labelOnly="1" outline="0" fieldPosition="0">
        <references count="11">
          <reference field="0" count="1" selected="0">
            <x v="15"/>
          </reference>
          <reference field="1" count="1">
            <x v="7894"/>
          </reference>
          <reference field="3" count="1" selected="0">
            <x v="0"/>
          </reference>
          <reference field="5" count="1" selected="0">
            <x v="79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91">
      <pivotArea dataOnly="0" labelOnly="1" outline="0" fieldPosition="0">
        <references count="11">
          <reference field="0" count="1" selected="0">
            <x v="15"/>
          </reference>
          <reference field="1" count="1">
            <x v="7893"/>
          </reference>
          <reference field="3" count="1" selected="0">
            <x v="0"/>
          </reference>
          <reference field="5" count="1" selected="0">
            <x v="79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690">
      <pivotArea dataOnly="0" labelOnly="1" outline="0" fieldPosition="0">
        <references count="11">
          <reference field="0" count="1" selected="0">
            <x v="15"/>
          </reference>
          <reference field="1" count="1">
            <x v="7865"/>
          </reference>
          <reference field="3" count="1" selected="0">
            <x v="0"/>
          </reference>
          <reference field="5" count="1" selected="0">
            <x v="45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89">
      <pivotArea outline="0" collapsedLevelsAreSubtotals="1" fieldPosition="0"/>
    </format>
    <format dxfId="688">
      <pivotArea dataOnly="0" labelOnly="1" outline="0" axis="axisValues" fieldPosition="0"/>
    </format>
    <format dxfId="687">
      <pivotArea dataOnly="0" outline="0" fieldPosition="0">
        <references count="1">
          <reference field="12" count="0" defaultSubtotal="1"/>
        </references>
      </pivotArea>
    </format>
    <format dxfId="686">
      <pivotArea outline="0" collapsedLevelsAreSubtotals="1" fieldPosition="0"/>
    </format>
    <format dxfId="685">
      <pivotArea dataOnly="0" labelOnly="1" outline="0" axis="axisValues" fieldPosition="0"/>
    </format>
    <format dxfId="684">
      <pivotArea outline="0" collapsedLevelsAreSubtotals="1" fieldPosition="0"/>
    </format>
    <format dxfId="683">
      <pivotArea dataOnly="0" labelOnly="1" outline="0" axis="axisValues" fieldPosition="0"/>
    </format>
    <format dxfId="682">
      <pivotArea dataOnly="0" labelOnly="1" outline="0" axis="axisValues" fieldPosition="0"/>
    </format>
    <format dxfId="681">
      <pivotArea outline="0" collapsedLevelsAreSubtotals="1" fieldPosition="0"/>
    </format>
    <format dxfId="680">
      <pivotArea field="12" type="button" dataOnly="0" labelOnly="1" outline="0" axis="axisRow" fieldPosition="2"/>
    </format>
    <format dxfId="679">
      <pivotArea field="10" type="button" dataOnly="0" labelOnly="1" outline="0" axis="axisRow" fieldPosition="3"/>
    </format>
    <format dxfId="678">
      <pivotArea field="16" type="button" dataOnly="0" labelOnly="1" outline="0" axis="axisRow" fieldPosition="4"/>
    </format>
    <format dxfId="677">
      <pivotArea field="18" type="button" dataOnly="0" labelOnly="1" outline="0" axis="axisRow" fieldPosition="5"/>
    </format>
    <format dxfId="676">
      <pivotArea field="5" type="button" dataOnly="0" labelOnly="1" outline="0" axis="axisRow" fieldPosition="6"/>
    </format>
    <format dxfId="675">
      <pivotArea field="9" type="button" dataOnly="0" labelOnly="1" outline="0" axis="axisRow" fieldPosition="7"/>
    </format>
    <format dxfId="674">
      <pivotArea field="3" type="button" dataOnly="0" labelOnly="1" outline="0" axis="axisRow" fieldPosition="8"/>
    </format>
    <format dxfId="673">
      <pivotArea field="7" type="button" dataOnly="0" labelOnly="1" outline="0" axis="axisRow" fieldPosition="9"/>
    </format>
    <format dxfId="672">
      <pivotArea field="1" type="button" dataOnly="0" labelOnly="1" outline="0" axis="axisRow" fieldPosition="10"/>
    </format>
    <format dxfId="671">
      <pivotArea dataOnly="0" labelOnly="1" outline="0" axis="axisValues" fieldPosition="0"/>
    </format>
    <format dxfId="670">
      <pivotArea dataOnly="0" labelOnly="1" outline="0" fieldPosition="0">
        <references count="3">
          <reference field="0" count="1" selected="0">
            <x v="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69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68">
      <pivotArea dataOnly="0" labelOnly="1" outline="0" fieldPosition="0">
        <references count="3">
          <reference field="0" count="1" selected="0">
            <x v="7"/>
          </reference>
          <reference field="12" count="1">
            <x v="11"/>
          </reference>
          <reference field="13" count="1" selected="0">
            <x v="0"/>
          </reference>
        </references>
      </pivotArea>
    </format>
    <format dxfId="66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1"/>
          </reference>
          <reference field="13" count="1" selected="0">
            <x v="0"/>
          </reference>
        </references>
      </pivotArea>
    </format>
    <format dxfId="666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66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664">
      <pivotArea dataOnly="0" labelOnly="1" outline="0" fieldPosition="0">
        <references count="3">
          <reference field="0" count="1" selected="0">
            <x v="5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663">
      <pivotArea dataOnly="0" labelOnly="1" outline="0" fieldPosition="0">
        <references count="3">
          <reference field="0" count="1" selected="0">
            <x v="5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662">
      <pivotArea dataOnly="0" labelOnly="1" outline="0" fieldPosition="0">
        <references count="3">
          <reference field="0" count="1" selected="0">
            <x v="7"/>
          </reference>
          <reference field="12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661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66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5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5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5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5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3"/>
            <x v="15"/>
            <x v="19"/>
            <x v="20"/>
            <x v="23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65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3"/>
            <x v="15"/>
            <x v="19"/>
            <x v="20"/>
            <x v="23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65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5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52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0"/>
          </reference>
        </references>
      </pivotArea>
    </format>
    <format dxfId="6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648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47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46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45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44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43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42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41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38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6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62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8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2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2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6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61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15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1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61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1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07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6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5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4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3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2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1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9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65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564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63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562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561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6"/>
          </reference>
        </references>
      </pivotArea>
    </format>
    <format dxfId="560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106"/>
          </reference>
        </references>
      </pivotArea>
    </format>
    <format dxfId="559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5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5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5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39"/>
            <x v="63"/>
          </reference>
        </references>
      </pivotArea>
    </format>
    <format dxfId="5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42"/>
            <x v="59"/>
          </reference>
        </references>
      </pivotArea>
    </format>
    <format dxfId="5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5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6"/>
          </reference>
        </references>
      </pivotArea>
    </format>
    <format dxfId="5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5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5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5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5"/>
          </reference>
        </references>
      </pivotArea>
    </format>
    <format dxfId="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111"/>
          </reference>
        </references>
      </pivotArea>
    </format>
    <format dxfId="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5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9">
            <x v="33"/>
            <x v="34"/>
            <x v="36"/>
            <x v="39"/>
            <x v="41"/>
            <x v="42"/>
            <x v="58"/>
            <x v="128"/>
            <x v="130"/>
          </reference>
        </references>
      </pivotArea>
    </format>
    <format dxfId="5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6"/>
          </reference>
        </references>
      </pivotArea>
    </format>
    <format dxfId="518">
      <pivotArea dataOnly="0" labelOnly="1" outline="0" fieldPosition="0">
        <references count="7">
          <reference field="0" count="1" selected="0">
            <x v="7"/>
          </reference>
          <reference field="5" count="1">
            <x v="2702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517">
      <pivotArea dataOnly="0" labelOnly="1" outline="0" fieldPosition="0">
        <references count="7">
          <reference field="0" count="1" selected="0">
            <x v="14"/>
          </reference>
          <reference field="5" count="1">
            <x v="794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6">
      <pivotArea dataOnly="0" labelOnly="1" outline="0" fieldPosition="0">
        <references count="7">
          <reference field="0" count="1" selected="0">
            <x v="5"/>
          </reference>
          <reference field="5" count="1">
            <x v="797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15">
      <pivotArea dataOnly="0" labelOnly="1" outline="0" fieldPosition="0">
        <references count="7">
          <reference field="0" count="1" selected="0">
            <x v="5"/>
          </reference>
          <reference field="5" count="1">
            <x v="798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14">
      <pivotArea dataOnly="0" labelOnly="1" outline="0" fieldPosition="0">
        <references count="7">
          <reference field="0" count="1" selected="0">
            <x v="5"/>
          </reference>
          <reference field="5" count="1">
            <x v="797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13">
      <pivotArea dataOnly="0" labelOnly="1" outline="0" fieldPosition="0">
        <references count="7">
          <reference field="0" count="1" selected="0">
            <x v="5"/>
          </reference>
          <reference field="5" count="1">
            <x v="797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12">
      <pivotArea dataOnly="0" labelOnly="1" outline="0" fieldPosition="0">
        <references count="7">
          <reference field="0" count="1" selected="0">
            <x v="5"/>
          </reference>
          <reference field="5" count="1">
            <x v="797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11">
      <pivotArea dataOnly="0" labelOnly="1" outline="0" fieldPosition="0">
        <references count="7">
          <reference field="0" count="1" selected="0">
            <x v="5"/>
          </reference>
          <reference field="5" count="1">
            <x v="798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10">
      <pivotArea dataOnly="0" labelOnly="1" outline="0" fieldPosition="0">
        <references count="7">
          <reference field="0" count="1" selected="0">
            <x v="7"/>
          </reference>
          <reference field="5" count="1">
            <x v="797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09">
      <pivotArea dataOnly="0" labelOnly="1" outline="0" fieldPosition="0">
        <references count="7">
          <reference field="0" count="1" selected="0">
            <x v="7"/>
          </reference>
          <reference field="5" count="2">
            <x v="7969"/>
            <x v="797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8">
      <pivotArea dataOnly="0" labelOnly="1" outline="0" fieldPosition="0">
        <references count="7">
          <reference field="0" count="1" selected="0">
            <x v="7"/>
          </reference>
          <reference field="5" count="2">
            <x v="7973"/>
            <x v="797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07">
      <pivotArea dataOnly="0" labelOnly="1" outline="0" fieldPosition="0">
        <references count="7">
          <reference field="0" count="1" selected="0">
            <x v="7"/>
          </reference>
          <reference field="5" count="1">
            <x v="213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06">
      <pivotArea dataOnly="0" labelOnly="1" outline="0" fieldPosition="0">
        <references count="7">
          <reference field="0" count="1" selected="0">
            <x v="7"/>
          </reference>
          <reference field="5" count="1">
            <x v="796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5">
      <pivotArea dataOnly="0" labelOnly="1" outline="0" fieldPosition="0">
        <references count="7">
          <reference field="0" count="1" selected="0">
            <x v="7"/>
          </reference>
          <reference field="5" count="1">
            <x v="796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04">
      <pivotArea dataOnly="0" labelOnly="1" outline="0" fieldPosition="0">
        <references count="7">
          <reference field="0" count="1" selected="0">
            <x v="7"/>
          </reference>
          <reference field="5" count="2">
            <x v="7971"/>
            <x v="797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3">
      <pivotArea dataOnly="0" labelOnly="1" outline="0" fieldPosition="0">
        <references count="7">
          <reference field="0" count="1" selected="0">
            <x v="7"/>
          </reference>
          <reference field="5" count="1">
            <x v="796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02">
      <pivotArea dataOnly="0" labelOnly="1" outline="0" fieldPosition="0">
        <references count="7">
          <reference field="0" count="1" selected="0">
            <x v="7"/>
          </reference>
          <reference field="5" count="1">
            <x v="796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01">
      <pivotArea dataOnly="0" labelOnly="1" outline="0" fieldPosition="0">
        <references count="7">
          <reference field="0" count="1" selected="0">
            <x v="7"/>
          </reference>
          <reference field="5" count="1">
            <x v="796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00">
      <pivotArea dataOnly="0" labelOnly="1" outline="0" fieldPosition="0">
        <references count="7">
          <reference field="0" count="1" selected="0">
            <x v="7"/>
          </reference>
          <reference field="5" count="1">
            <x v="796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9">
      <pivotArea dataOnly="0" labelOnly="1" outline="0" fieldPosition="0">
        <references count="7">
          <reference field="0" count="1" selected="0">
            <x v="7"/>
          </reference>
          <reference field="5" count="1">
            <x v="796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98">
      <pivotArea dataOnly="0" labelOnly="1" outline="0" fieldPosition="0">
        <references count="7">
          <reference field="0" count="1" selected="0">
            <x v="7"/>
          </reference>
          <reference field="5" count="1">
            <x v="7962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97">
      <pivotArea dataOnly="0" labelOnly="1" outline="0" fieldPosition="0">
        <references count="7">
          <reference field="0" count="1" selected="0">
            <x v="7"/>
          </reference>
          <reference field="5" count="1">
            <x v="7968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6">
      <pivotArea dataOnly="0" labelOnly="1" outline="0" fieldPosition="0">
        <references count="7">
          <reference field="0" count="1" selected="0">
            <x v="12"/>
          </reference>
          <reference field="5" count="1">
            <x v="734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95">
      <pivotArea dataOnly="0" labelOnly="1" outline="0" fieldPosition="0">
        <references count="7">
          <reference field="0" count="1" selected="0">
            <x v="13"/>
          </reference>
          <reference field="5" count="2">
            <x v="4637"/>
            <x v="795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4">
      <pivotArea dataOnly="0" labelOnly="1" outline="0" fieldPosition="0">
        <references count="7">
          <reference field="0" count="1" selected="0">
            <x v="13"/>
          </reference>
          <reference field="5" count="1">
            <x v="792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3">
      <pivotArea dataOnly="0" labelOnly="1" outline="0" fieldPosition="0">
        <references count="7">
          <reference field="0" count="1" selected="0">
            <x v="13"/>
          </reference>
          <reference field="5" count="1">
            <x v="74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2">
      <pivotArea dataOnly="0" labelOnly="1" outline="0" fieldPosition="0">
        <references count="7">
          <reference field="0" count="1" selected="0">
            <x v="13"/>
          </reference>
          <reference field="5" count="1">
            <x v="7958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1">
      <pivotArea dataOnly="0" labelOnly="1" outline="0" fieldPosition="0">
        <references count="7">
          <reference field="0" count="1" selected="0">
            <x v="13"/>
          </reference>
          <reference field="5" count="1">
            <x v="795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90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9">
      <pivotArea dataOnly="0" labelOnly="1" outline="0" fieldPosition="0">
        <references count="7">
          <reference field="0" count="1" selected="0">
            <x v="13"/>
          </reference>
          <reference field="5" count="1"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88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7">
      <pivotArea dataOnly="0" labelOnly="1" outline="0" fieldPosition="0">
        <references count="7">
          <reference field="0" count="1" selected="0">
            <x v="13"/>
          </reference>
          <reference field="5" count="1">
            <x v="7956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86">
      <pivotArea dataOnly="0" labelOnly="1" outline="0" fieldPosition="0">
        <references count="7">
          <reference field="0" count="1" selected="0">
            <x v="13"/>
          </reference>
          <reference field="5" count="1">
            <x v="7882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85">
      <pivotArea dataOnly="0" labelOnly="1" outline="0" fieldPosition="0">
        <references count="7">
          <reference field="0" count="1" selected="0">
            <x v="14"/>
          </reference>
          <reference field="5" count="1">
            <x v="777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4">
      <pivotArea dataOnly="0" labelOnly="1" outline="0" fieldPosition="0">
        <references count="7">
          <reference field="0" count="1" selected="0">
            <x v="14"/>
          </reference>
          <reference field="5" count="1">
            <x v="794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83">
      <pivotArea dataOnly="0" labelOnly="1" outline="0" fieldPosition="0">
        <references count="7">
          <reference field="0" count="1" selected="0">
            <x v="14"/>
          </reference>
          <reference field="5" count="1">
            <x v="789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2">
      <pivotArea dataOnly="0" labelOnly="1" outline="0" fieldPosition="0">
        <references count="7">
          <reference field="0" count="1" selected="0">
            <x v="14"/>
          </reference>
          <reference field="5" count="1">
            <x v="795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81">
      <pivotArea dataOnly="0" labelOnly="1" outline="0" fieldPosition="0">
        <references count="7">
          <reference field="0" count="1" selected="0">
            <x v="14"/>
          </reference>
          <reference field="5" count="1">
            <x v="795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0">
      <pivotArea dataOnly="0" labelOnly="1" outline="0" fieldPosition="0">
        <references count="7">
          <reference field="0" count="1" selected="0">
            <x v="14"/>
          </reference>
          <reference field="5" count="1">
            <x v="3433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79">
      <pivotArea dataOnly="0" labelOnly="1" outline="0" fieldPosition="0">
        <references count="7">
          <reference field="0" count="1" selected="0">
            <x v="14"/>
          </reference>
          <reference field="5" count="1">
            <x v="4335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478">
      <pivotArea dataOnly="0" labelOnly="1" outline="0" fieldPosition="0">
        <references count="7">
          <reference field="0" count="1" selected="0">
            <x v="14"/>
          </reference>
          <reference field="5" count="1">
            <x v="795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77">
      <pivotArea dataOnly="0" labelOnly="1" outline="0" fieldPosition="0">
        <references count="7">
          <reference field="0" count="1" selected="0">
            <x v="14"/>
          </reference>
          <reference field="5" count="1">
            <x v="5082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76">
      <pivotArea dataOnly="0" labelOnly="1" outline="0" fieldPosition="0">
        <references count="7">
          <reference field="0" count="1" selected="0">
            <x v="14"/>
          </reference>
          <reference field="5" count="1">
            <x v="795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75">
      <pivotArea dataOnly="0" labelOnly="1" outline="0" fieldPosition="0">
        <references count="7">
          <reference field="0" count="1" selected="0">
            <x v="14"/>
          </reference>
          <reference field="5" count="1">
            <x v="3775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474">
      <pivotArea dataOnly="0" labelOnly="1" outline="0" fieldPosition="0">
        <references count="7">
          <reference field="0" count="1" selected="0">
            <x v="14"/>
          </reference>
          <reference field="5" count="2">
            <x v="5943"/>
            <x v="656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73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72">
      <pivotArea dataOnly="0" labelOnly="1" outline="0" fieldPosition="0">
        <references count="7">
          <reference field="0" count="1" selected="0">
            <x v="14"/>
          </reference>
          <reference field="5" count="1">
            <x v="7868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1">
      <pivotArea dataOnly="0" labelOnly="1" outline="0" fieldPosition="0">
        <references count="7">
          <reference field="0" count="1" selected="0">
            <x v="15"/>
          </reference>
          <reference field="5" count="1">
            <x v="19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0">
      <pivotArea dataOnly="0" labelOnly="1" outline="0" fieldPosition="0">
        <references count="7">
          <reference field="0" count="1" selected="0">
            <x v="15"/>
          </reference>
          <reference field="5" count="1">
            <x v="7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9">
      <pivotArea dataOnly="0" labelOnly="1" outline="0" fieldPosition="0">
        <references count="7">
          <reference field="0" count="1" selected="0">
            <x v="15"/>
          </reference>
          <reference field="5" count="1">
            <x v="79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68">
      <pivotArea dataOnly="0" labelOnly="1" outline="0" fieldPosition="0">
        <references count="7">
          <reference field="0" count="1" selected="0">
            <x v="15"/>
          </reference>
          <reference field="5" count="1">
            <x v="794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7">
      <pivotArea dataOnly="0" labelOnly="1" outline="0" fieldPosition="0">
        <references count="7">
          <reference field="0" count="1" selected="0">
            <x v="15"/>
          </reference>
          <reference field="5" count="1">
            <x v="77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66">
      <pivotArea dataOnly="0" labelOnly="1" outline="0" fieldPosition="0">
        <references count="7">
          <reference field="0" count="1" selected="0">
            <x v="15"/>
          </reference>
          <reference field="5" count="2">
            <x v="275"/>
            <x v="27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65">
      <pivotArea dataOnly="0" labelOnly="1" outline="0" fieldPosition="0">
        <references count="7">
          <reference field="0" count="1" selected="0">
            <x v="15"/>
          </reference>
          <reference field="5" count="1">
            <x v="79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8"/>
          </reference>
        </references>
      </pivotArea>
    </format>
    <format dxfId="464">
      <pivotArea dataOnly="0" labelOnly="1" outline="0" fieldPosition="0">
        <references count="7">
          <reference field="0" count="1" selected="0">
            <x v="15"/>
          </reference>
          <reference field="5" count="2">
            <x v="2208"/>
            <x v="793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3">
      <pivotArea dataOnly="0" labelOnly="1" outline="0" fieldPosition="0">
        <references count="7">
          <reference field="0" count="1" selected="0">
            <x v="15"/>
          </reference>
          <reference field="5" count="2">
            <x v="7937"/>
            <x v="79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462">
      <pivotArea dataOnly="0" labelOnly="1" outline="0" fieldPosition="0">
        <references count="7">
          <reference field="0" count="1" selected="0">
            <x v="15"/>
          </reference>
          <reference field="5" count="1">
            <x v="455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4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7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4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9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9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58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9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57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9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56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9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4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63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3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4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2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208"/>
          </reference>
          <reference field="9" count="1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28">
      <pivotArea dataOnly="0" labelOnly="1" outline="0" fieldPosition="0">
        <references count="9">
          <reference field="0" count="1" selected="0">
            <x v="7"/>
          </reference>
          <reference field="3" count="1">
            <x v="7974"/>
          </reference>
          <reference field="5" count="1" selected="0">
            <x v="27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4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4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6">
      <pivotArea dataOnly="0" labelOnly="1" outline="0" fieldPosition="0">
        <references count="9">
          <reference field="0" count="1" selected="0">
            <x v="5"/>
          </reference>
          <reference field="3" count="1">
            <x v="0"/>
          </reference>
          <reference field="5" count="1" selected="0">
            <x v="79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25">
      <pivotArea dataOnly="0" labelOnly="1" outline="0" fieldPosition="0">
        <references count="9">
          <reference field="0" count="1" selected="0">
            <x v="5"/>
          </reference>
          <reference field="3" count="1">
            <x v="7994"/>
          </reference>
          <reference field="5" count="1" selected="0">
            <x v="79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24">
      <pivotArea dataOnly="0" labelOnly="1" outline="0" fieldPosition="0">
        <references count="9">
          <reference field="0" count="1" selected="0">
            <x v="5"/>
          </reference>
          <reference field="3" count="1">
            <x v="7992"/>
          </reference>
          <reference field="5" count="1" selected="0">
            <x v="79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23">
      <pivotArea dataOnly="0" labelOnly="1" outline="0" fieldPosition="0">
        <references count="9">
          <reference field="0" count="1" selected="0">
            <x v="5"/>
          </reference>
          <reference field="3" count="1">
            <x v="7991"/>
          </reference>
          <reference field="5" count="1" selected="0">
            <x v="79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22">
      <pivotArea dataOnly="0" labelOnly="1" outline="0" fieldPosition="0">
        <references count="9">
          <reference field="0" count="1" selected="0">
            <x v="5"/>
          </reference>
          <reference field="3" count="1">
            <x v="7990"/>
          </reference>
          <reference field="5" count="1" selected="0">
            <x v="79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21">
      <pivotArea dataOnly="0" labelOnly="1" outline="0" fieldPosition="0">
        <references count="9">
          <reference field="0" count="1" selected="0">
            <x v="5"/>
          </reference>
          <reference field="3" count="1">
            <x v="7993"/>
          </reference>
          <reference field="5" count="1" selected="0">
            <x v="79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2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19">
      <pivotArea dataOnly="0" labelOnly="1" outline="0" fieldPosition="0">
        <references count="9">
          <reference field="0" count="1" selected="0">
            <x v="7"/>
          </reference>
          <reference field="3" count="1">
            <x v="7982"/>
          </reference>
          <reference field="5" count="1" selected="0">
            <x v="79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8">
      <pivotArea dataOnly="0" labelOnly="1" outline="0" fieldPosition="0">
        <references count="9">
          <reference field="0" count="1" selected="0">
            <x v="7"/>
          </reference>
          <reference field="3" count="1">
            <x v="7983"/>
          </reference>
          <reference field="5" count="1" selected="0">
            <x v="79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7">
      <pivotArea dataOnly="0" labelOnly="1" outline="0" fieldPosition="0">
        <references count="9">
          <reference field="0" count="1" selected="0">
            <x v="7"/>
          </reference>
          <reference field="3" count="1">
            <x v="7987"/>
          </reference>
          <reference field="5" count="1" selected="0">
            <x v="79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16">
      <pivotArea dataOnly="0" labelOnly="1" outline="0" fieldPosition="0">
        <references count="9">
          <reference field="0" count="1" selected="0">
            <x v="7"/>
          </reference>
          <reference field="3" count="1">
            <x v="7988"/>
          </reference>
          <reference field="5" count="1" selected="0">
            <x v="79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15">
      <pivotArea dataOnly="0" labelOnly="1" outline="0" fieldPosition="0">
        <references count="9">
          <reference field="0" count="1" selected="0">
            <x v="7"/>
          </reference>
          <reference field="3" count="1">
            <x v="7333"/>
          </reference>
          <reference field="5" count="1" selected="0">
            <x v="21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14">
      <pivotArea dataOnly="0" labelOnly="1" outline="0" fieldPosition="0">
        <references count="9">
          <reference field="0" count="1" selected="0">
            <x v="7"/>
          </reference>
          <reference field="3" count="1">
            <x v="7978"/>
          </reference>
          <reference field="5" count="1" selected="0">
            <x v="79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3">
      <pivotArea dataOnly="0" labelOnly="1" outline="0" fieldPosition="0">
        <references count="9">
          <reference field="0" count="1" selected="0">
            <x v="7"/>
          </reference>
          <reference field="3" count="1">
            <x v="7970"/>
          </reference>
          <reference field="5" count="1" selected="0">
            <x v="79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12">
      <pivotArea dataOnly="0" labelOnly="1" outline="0" fieldPosition="0">
        <references count="9">
          <reference field="0" count="1" selected="0">
            <x v="7"/>
          </reference>
          <reference field="3" count="1">
            <x v="7984"/>
          </reference>
          <reference field="5" count="1" selected="0">
            <x v="79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1">
      <pivotArea dataOnly="0" labelOnly="1" outline="0" fieldPosition="0">
        <references count="9">
          <reference field="0" count="1" selected="0">
            <x v="7"/>
          </reference>
          <reference field="3" count="1">
            <x v="7985"/>
          </reference>
          <reference field="5" count="1" selected="0">
            <x v="79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0">
      <pivotArea dataOnly="0" labelOnly="1" outline="0" fieldPosition="0">
        <references count="9">
          <reference field="0" count="1" selected="0">
            <x v="7"/>
          </reference>
          <reference field="3" count="1">
            <x v="7971"/>
          </reference>
          <reference field="5" count="1" selected="0">
            <x v="79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09">
      <pivotArea dataOnly="0" labelOnly="1" outline="0" fieldPosition="0">
        <references count="9">
          <reference field="0" count="1" selected="0">
            <x v="7"/>
          </reference>
          <reference field="3" count="1">
            <x v="7979"/>
          </reference>
          <reference field="5" count="1" selected="0">
            <x v="79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08">
      <pivotArea dataOnly="0" labelOnly="1" outline="0" fieldPosition="0">
        <references count="9">
          <reference field="0" count="1" selected="0">
            <x v="7"/>
          </reference>
          <reference field="3" count="1">
            <x v="7980"/>
          </reference>
          <reference field="5" count="1" selected="0">
            <x v="79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07">
      <pivotArea dataOnly="0" labelOnly="1" outline="0" fieldPosition="0">
        <references count="9">
          <reference field="0" count="1" selected="0">
            <x v="7"/>
          </reference>
          <reference field="3" count="1">
            <x v="7977"/>
          </reference>
          <reference field="5" count="1" selected="0">
            <x v="79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6">
      <pivotArea dataOnly="0" labelOnly="1" outline="0" fieldPosition="0">
        <references count="9">
          <reference field="0" count="1" selected="0">
            <x v="7"/>
          </reference>
          <reference field="3" count="1">
            <x v="7973"/>
          </reference>
          <reference field="5" count="1" selected="0">
            <x v="79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05">
      <pivotArea dataOnly="0" labelOnly="1" outline="0" fieldPosition="0">
        <references count="9">
          <reference field="0" count="1" selected="0">
            <x v="7"/>
          </reference>
          <reference field="3" count="1">
            <x v="7972"/>
          </reference>
          <reference field="5" count="1" selected="0">
            <x v="79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04">
      <pivotArea dataOnly="0" labelOnly="1" outline="0" fieldPosition="0">
        <references count="9">
          <reference field="0" count="1" selected="0">
            <x v="7"/>
          </reference>
          <reference field="3" count="1">
            <x v="7981"/>
          </reference>
          <reference field="5" count="1" selected="0">
            <x v="79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4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63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1">
      <pivotArea dataOnly="0" labelOnly="1" outline="0" fieldPosition="0">
        <references count="9">
          <reference field="0" count="1" selected="0">
            <x v="13"/>
          </reference>
          <reference field="3" count="1">
            <x v="7959"/>
          </reference>
          <reference field="5" count="1" selected="0">
            <x v="7958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5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9">
      <pivotArea dataOnly="0" labelOnly="1" outline="0" fieldPosition="0">
        <references count="9">
          <reference field="0" count="1" selected="0">
            <x v="14"/>
          </reference>
          <reference field="3" count="1">
            <x v="7955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4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5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95">
      <pivotArea dataOnly="0" labelOnly="1" outline="0" fieldPosition="0">
        <references count="9">
          <reference field="0" count="1" selected="0">
            <x v="14"/>
          </reference>
          <reference field="3" count="1">
            <x v="7968"/>
          </reference>
          <reference field="5" count="1" selected="0">
            <x v="795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4">
      <pivotArea dataOnly="0" labelOnly="1" outline="0" fieldPosition="0">
        <references count="9">
          <reference field="0" count="1" selected="0">
            <x v="14"/>
          </reference>
          <reference field="3" count="1">
            <x v="7969"/>
          </reference>
          <reference field="5" count="1" selected="0">
            <x v="343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93">
      <pivotArea dataOnly="0" labelOnly="1" outline="0" fieldPosition="0">
        <references count="9">
          <reference field="0" count="1" selected="0">
            <x v="14"/>
          </reference>
          <reference field="3" count="1">
            <x v="7366"/>
          </reference>
          <reference field="5" count="1" selected="0">
            <x v="433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39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5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91">
      <pivotArea dataOnly="0" labelOnly="1" outline="0" fieldPosition="0">
        <references count="9">
          <reference field="0" count="1" selected="0">
            <x v="14"/>
          </reference>
          <reference field="3" count="1">
            <x v="7966"/>
          </reference>
          <reference field="5" count="1" selected="0">
            <x v="377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390">
      <pivotArea dataOnly="0" labelOnly="1" outline="0" fieldPosition="0">
        <references count="9">
          <reference field="0" count="1" selected="0">
            <x v="14"/>
          </reference>
          <reference field="3" count="1">
            <x v="7956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89">
      <pivotArea dataOnly="0" labelOnly="1" outline="0" fieldPosition="0">
        <references count="9">
          <reference field="0" count="1" selected="0">
            <x v="14"/>
          </reference>
          <reference field="3" count="1">
            <x v="7954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88">
      <pivotArea dataOnly="0" labelOnly="1" outline="0" fieldPosition="0">
        <references count="9">
          <reference field="0" count="1" selected="0">
            <x v="14"/>
          </reference>
          <reference field="3" count="1">
            <x v="7953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87">
      <pivotArea dataOnly="0" labelOnly="1" outline="0" fieldPosition="0">
        <references count="9">
          <reference field="0" count="1" selected="0">
            <x v="14"/>
          </reference>
          <reference field="3" count="1">
            <x v="7967"/>
          </reference>
          <reference field="5" count="1" selected="0">
            <x v="78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6">
      <pivotArea dataOnly="0" labelOnly="1" outline="0" fieldPosition="0">
        <references count="9">
          <reference field="0" count="1" selected="0">
            <x v="15"/>
          </reference>
          <reference field="3" count="1">
            <x v="7951"/>
          </reference>
          <reference field="5" count="1" selected="0">
            <x v="19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4">
      <pivotArea dataOnly="0" labelOnly="1" outline="0" fieldPosition="0">
        <references count="9">
          <reference field="0" count="1" selected="0">
            <x v="15"/>
          </reference>
          <reference field="3" count="1">
            <x v="7952"/>
          </reference>
          <reference field="5" count="1" selected="0">
            <x v="794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3">
      <pivotArea dataOnly="0" labelOnly="1" outline="0" fieldPosition="0">
        <references count="9">
          <reference field="0" count="1" selected="0">
            <x v="15"/>
          </reference>
          <reference field="3" count="1">
            <x v="7798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8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81">
      <pivotArea dataOnly="0" labelOnly="1" outline="0" fieldPosition="0">
        <references count="9">
          <reference field="0" count="1" selected="0">
            <x v="15"/>
          </reference>
          <reference field="3" count="1">
            <x v="7929"/>
          </reference>
          <reference field="5" count="1" selected="0">
            <x v="795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8"/>
          </reference>
        </references>
      </pivotArea>
    </format>
    <format dxfId="38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20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4"/>
          </reference>
          <reference field="5" count="1" selected="0">
            <x v="27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3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7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0"/>
          </reference>
          <reference field="5" count="1" selected="0">
            <x v="79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376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994"/>
          </reference>
          <reference field="5" count="1" selected="0">
            <x v="79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75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992"/>
          </reference>
          <reference field="5" count="1" selected="0">
            <x v="79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74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991"/>
          </reference>
          <reference field="5" count="1" selected="0">
            <x v="79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73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993"/>
          </reference>
          <reference field="5" count="1" selected="0">
            <x v="79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2"/>
          </reference>
          <reference field="5" count="1" selected="0">
            <x v="79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7"/>
          </reference>
          <reference field="5" count="1" selected="0">
            <x v="79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3"/>
          </reference>
          <reference field="5" count="1" selected="0">
            <x v="21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8"/>
          </reference>
          <reference field="5" count="1" selected="0">
            <x v="79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0"/>
          </reference>
          <reference field="5" count="1" selected="0">
            <x v="79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4"/>
          </reference>
          <reference field="5" count="1" selected="0">
            <x v="79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0"/>
          </reference>
          <reference field="5" count="1" selected="0">
            <x v="79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2"/>
          </reference>
          <reference field="5" count="1" selected="0">
            <x v="79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1"/>
          </reference>
          <reference field="5" count="1" selected="0">
            <x v="79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6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6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959"/>
          </reference>
          <reference field="5" count="1" selected="0">
            <x v="79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5"/>
          </reference>
          <reference field="5" count="1" selected="0">
            <x v="7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8"/>
          </reference>
          <reference field="5" count="1" selected="0">
            <x v="79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9"/>
          </reference>
          <reference field="5" count="1" selected="0">
            <x v="34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6"/>
          </reference>
          <reference field="5" count="1" selected="0">
            <x v="37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3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6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7"/>
          </reference>
          <reference field="5" count="1" selected="0">
            <x v="7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51"/>
          </reference>
          <reference field="5" count="1" selected="0">
            <x v="19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52"/>
          </reference>
          <reference field="5" count="1" selected="0">
            <x v="794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8"/>
          </reference>
          <reference field="5" count="1" selected="0">
            <x v="77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29"/>
          </reference>
          <reference field="5" count="1" selected="0">
            <x v="79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8"/>
          </reference>
        </references>
      </pivotArea>
    </format>
    <format dxfId="3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2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41">
      <pivotArea dataOnly="0" labelOnly="1" outline="0" fieldPosition="0">
        <references count="11">
          <reference field="0" count="1" selected="0">
            <x v="7"/>
          </reference>
          <reference field="1" count="1">
            <x v="7941"/>
          </reference>
          <reference field="3" count="1" selected="0">
            <x v="7974"/>
          </reference>
          <reference field="5" count="1" selected="0">
            <x v="27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340">
      <pivotArea dataOnly="0" labelOnly="1" outline="0" fieldPosition="0">
        <references count="11">
          <reference field="0" count="1" selected="0">
            <x v="14"/>
          </reference>
          <reference field="1" count="1">
            <x v="7898"/>
          </reference>
          <reference field="3" count="1" selected="0">
            <x v="2"/>
          </reference>
          <reference field="5" count="1" selected="0">
            <x v="79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9">
      <pivotArea dataOnly="0" labelOnly="1" outline="0" fieldPosition="0">
        <references count="11">
          <reference field="0" count="1" selected="0">
            <x v="5"/>
          </reference>
          <reference field="1" count="1">
            <x v="7958"/>
          </reference>
          <reference field="3" count="1" selected="0">
            <x v="0"/>
          </reference>
          <reference field="5" count="1" selected="0">
            <x v="79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338">
      <pivotArea dataOnly="0" labelOnly="1" outline="0" fieldPosition="0">
        <references count="11">
          <reference field="0" count="1" selected="0">
            <x v="5"/>
          </reference>
          <reference field="1" count="1">
            <x v="7963"/>
          </reference>
          <reference field="3" count="1" selected="0">
            <x v="7992"/>
          </reference>
          <reference field="5" count="1" selected="0">
            <x v="79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37">
      <pivotArea dataOnly="0" labelOnly="1" outline="0" fieldPosition="0">
        <references count="11">
          <reference field="0" count="1" selected="0">
            <x v="5"/>
          </reference>
          <reference field="1" count="1">
            <x v="7960"/>
          </reference>
          <reference field="3" count="1" selected="0">
            <x v="7991"/>
          </reference>
          <reference field="5" count="1" selected="0">
            <x v="79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36">
      <pivotArea dataOnly="0" labelOnly="1" outline="0" fieldPosition="0">
        <references count="11">
          <reference field="0" count="1" selected="0">
            <x v="5"/>
          </reference>
          <reference field="1" count="1">
            <x v="7959"/>
          </reference>
          <reference field="3" count="1" selected="0">
            <x v="7990"/>
          </reference>
          <reference field="5" count="1" selected="0">
            <x v="79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35">
      <pivotArea dataOnly="0" labelOnly="1" outline="0" fieldPosition="0">
        <references count="11">
          <reference field="0" count="1" selected="0">
            <x v="5"/>
          </reference>
          <reference field="1" count="1">
            <x v="7964"/>
          </reference>
          <reference field="3" count="1" selected="0">
            <x v="7993"/>
          </reference>
          <reference field="5" count="1" selected="0">
            <x v="79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34">
      <pivotArea dataOnly="0" labelOnly="1" outline="0" fieldPosition="0">
        <references count="11">
          <reference field="0" count="1" selected="0">
            <x v="7"/>
          </reference>
          <reference field="1" count="1">
            <x v="7954"/>
          </reference>
          <reference field="3" count="1" selected="0">
            <x v="2"/>
          </reference>
          <reference field="5" count="1" selected="0">
            <x v="79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33">
      <pivotArea dataOnly="0" labelOnly="1" outline="0" fieldPosition="0">
        <references count="11">
          <reference field="0" count="1" selected="0">
            <x v="7"/>
          </reference>
          <reference field="1" count="1">
            <x v="7949"/>
          </reference>
          <reference field="3" count="1" selected="0">
            <x v="7982"/>
          </reference>
          <reference field="5" count="1" selected="0">
            <x v="79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2">
      <pivotArea dataOnly="0" labelOnly="1" outline="0" fieldPosition="0">
        <references count="11">
          <reference field="0" count="1" selected="0">
            <x v="7"/>
          </reference>
          <reference field="1" count="1">
            <x v="7950"/>
          </reference>
          <reference field="3" count="1" selected="0">
            <x v="7983"/>
          </reference>
          <reference field="5" count="1" selected="0">
            <x v="79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1">
      <pivotArea dataOnly="0" labelOnly="1" outline="0" fieldPosition="0">
        <references count="11">
          <reference field="0" count="1" selected="0">
            <x v="7"/>
          </reference>
          <reference field="1" count="1">
            <x v="7907"/>
          </reference>
          <reference field="3" count="1" selected="0">
            <x v="7333"/>
          </reference>
          <reference field="5" count="1" selected="0">
            <x v="21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30">
      <pivotArea dataOnly="0" labelOnly="1" outline="0" fieldPosition="0">
        <references count="11">
          <reference field="0" count="1" selected="0">
            <x v="7"/>
          </reference>
          <reference field="1" count="1">
            <x v="7945"/>
          </reference>
          <reference field="3" count="1" selected="0">
            <x v="7978"/>
          </reference>
          <reference field="5" count="1" selected="0">
            <x v="79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9">
      <pivotArea dataOnly="0" labelOnly="1" outline="0" fieldPosition="0">
        <references count="11">
          <reference field="0" count="1" selected="0">
            <x v="7"/>
          </reference>
          <reference field="1" count="1">
            <x v="7937"/>
          </reference>
          <reference field="3" count="1" selected="0">
            <x v="7970"/>
          </reference>
          <reference field="5" count="1" selected="0">
            <x v="79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28">
      <pivotArea dataOnly="0" labelOnly="1" outline="0" fieldPosition="0">
        <references count="11">
          <reference field="0" count="1" selected="0">
            <x v="7"/>
          </reference>
          <reference field="1" count="1">
            <x v="7951"/>
          </reference>
          <reference field="3" count="1" selected="0">
            <x v="7984"/>
          </reference>
          <reference field="5" count="1" selected="0">
            <x v="79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7">
      <pivotArea dataOnly="0" labelOnly="1" outline="0" fieldPosition="0">
        <references count="11">
          <reference field="0" count="1" selected="0">
            <x v="7"/>
          </reference>
          <reference field="1" count="1">
            <x v="7952"/>
          </reference>
          <reference field="3" count="1" selected="0">
            <x v="7985"/>
          </reference>
          <reference field="5" count="1" selected="0">
            <x v="7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6">
      <pivotArea dataOnly="0" labelOnly="1" outline="0" fieldPosition="0">
        <references count="11">
          <reference field="0" count="1" selected="0">
            <x v="7"/>
          </reference>
          <reference field="1" count="1">
            <x v="7938"/>
          </reference>
          <reference field="3" count="1" selected="0">
            <x v="7971"/>
          </reference>
          <reference field="5" count="1" selected="0">
            <x v="79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5">
      <pivotArea dataOnly="0" labelOnly="1" outline="0" fieldPosition="0">
        <references count="11">
          <reference field="0" count="1" selected="0">
            <x v="7"/>
          </reference>
          <reference field="1" count="1">
            <x v="7946"/>
          </reference>
          <reference field="3" count="1" selected="0">
            <x v="7979"/>
          </reference>
          <reference field="5" count="1" selected="0">
            <x v="79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24">
      <pivotArea dataOnly="0" labelOnly="1" outline="0" fieldPosition="0">
        <references count="11">
          <reference field="0" count="1" selected="0">
            <x v="7"/>
          </reference>
          <reference field="1" count="1">
            <x v="7947"/>
          </reference>
          <reference field="3" count="1" selected="0">
            <x v="7980"/>
          </reference>
          <reference field="5" count="1" selected="0">
            <x v="79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23">
      <pivotArea dataOnly="0" labelOnly="1" outline="0" fieldPosition="0">
        <references count="11">
          <reference field="0" count="1" selected="0">
            <x v="7"/>
          </reference>
          <reference field="1" count="1">
            <x v="7944"/>
          </reference>
          <reference field="3" count="1" selected="0">
            <x v="7977"/>
          </reference>
          <reference field="5" count="1" selected="0">
            <x v="79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2">
      <pivotArea dataOnly="0" labelOnly="1" outline="0" fieldPosition="0">
        <references count="11">
          <reference field="0" count="1" selected="0">
            <x v="7"/>
          </reference>
          <reference field="1" count="1">
            <x v="7940"/>
          </reference>
          <reference field="3" count="1" selected="0">
            <x v="7973"/>
          </reference>
          <reference field="5" count="1" selected="0">
            <x v="79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21">
      <pivotArea dataOnly="0" labelOnly="1" outline="0" fieldPosition="0">
        <references count="11">
          <reference field="0" count="1" selected="0">
            <x v="7"/>
          </reference>
          <reference field="1" count="1">
            <x v="7939"/>
          </reference>
          <reference field="3" count="1" selected="0">
            <x v="7972"/>
          </reference>
          <reference field="5" count="1" selected="0">
            <x v="79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20">
      <pivotArea dataOnly="0" labelOnly="1" outline="0" fieldPosition="0">
        <references count="11">
          <reference field="0" count="1" selected="0">
            <x v="7"/>
          </reference>
          <reference field="1" count="1">
            <x v="7948"/>
          </reference>
          <reference field="3" count="1" selected="0">
            <x v="7981"/>
          </reference>
          <reference field="5" count="1" selected="0">
            <x v="79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9">
      <pivotArea dataOnly="0" labelOnly="1" outline="0" fieldPosition="0">
        <references count="11">
          <reference field="0" count="1" selected="0">
            <x v="12"/>
          </reference>
          <reference field="1" count="1">
            <x v="7936"/>
          </reference>
          <reference field="3" count="1" selected="0">
            <x v="0"/>
          </reference>
          <reference field="5" count="1" selected="0">
            <x v="73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18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46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7">
      <pivotArea dataOnly="0" labelOnly="1" outline="0" fieldPosition="0">
        <references count="11">
          <reference field="0" count="1" selected="0">
            <x v="13"/>
          </reference>
          <reference field="1" count="1">
            <x v="7694"/>
          </reference>
          <reference field="3" count="1" selected="0">
            <x v="0"/>
          </reference>
          <reference field="5" count="1" selected="0">
            <x v="79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6">
      <pivotArea dataOnly="0" labelOnly="1" outline="0" fieldPosition="0">
        <references count="11">
          <reference field="0" count="1" selected="0">
            <x v="13"/>
          </reference>
          <reference field="1" count="1">
            <x v="7872"/>
          </reference>
          <reference field="3" count="1" selected="0">
            <x v="0"/>
          </reference>
          <reference field="5" count="1" selected="0">
            <x v="79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5">
      <pivotArea dataOnly="0" labelOnly="1" outline="0" fieldPosition="0">
        <references count="11">
          <reference field="0" count="1" selected="0">
            <x v="13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74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14">
      <pivotArea dataOnly="0" labelOnly="1" outline="0" fieldPosition="0">
        <references count="11">
          <reference field="0" count="1" selected="0">
            <x v="13"/>
          </reference>
          <reference field="1" count="1">
            <x v="7906"/>
          </reference>
          <reference field="3" count="1" selected="0">
            <x v="7959"/>
          </reference>
          <reference field="5" count="1" selected="0">
            <x v="795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3">
      <pivotArea dataOnly="0" labelOnly="1" outline="0" fieldPosition="0">
        <references count="11">
          <reference field="0" count="1" selected="0">
            <x v="13"/>
          </reference>
          <reference field="1" count="1">
            <x v="7456"/>
          </reference>
          <reference field="3" count="1" selected="0">
            <x v="0"/>
          </reference>
          <reference field="5" count="1" selected="0">
            <x v="795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12">
      <pivotArea dataOnly="0" labelOnly="1" outline="0" fieldPosition="0">
        <references count="11">
          <reference field="0" count="1" selected="0">
            <x v="13"/>
          </reference>
          <reference field="1" count="1">
            <x v="7693"/>
          </reference>
          <reference field="3" count="1" selected="0">
            <x v="0"/>
          </reference>
          <reference field="5" count="1" selected="0">
            <x v="55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1">
      <pivotArea dataOnly="0" labelOnly="1" outline="0" fieldPosition="0">
        <references count="11">
          <reference field="0" count="1" selected="0">
            <x v="13"/>
          </reference>
          <reference field="1" count="1">
            <x v="7871"/>
          </reference>
          <reference field="3" count="1" selected="0">
            <x v="0"/>
          </reference>
          <reference field="5" count="1" selected="0">
            <x v="554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10">
      <pivotArea dataOnly="0" labelOnly="1" outline="0" fieldPosition="0">
        <references count="11">
          <reference field="0" count="1" selected="0">
            <x v="13"/>
          </reference>
          <reference field="1" count="1">
            <x v="7756"/>
          </reference>
          <reference field="3" count="1" selected="0">
            <x v="0"/>
          </reference>
          <reference field="5" count="1" selected="0">
            <x v="3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9">
      <pivotArea dataOnly="0" labelOnly="1" outline="0" fieldPosition="0">
        <references count="11">
          <reference field="0" count="1" selected="0">
            <x v="13"/>
          </reference>
          <reference field="1" count="1">
            <x v="7645"/>
          </reference>
          <reference field="3" count="1" selected="0">
            <x v="0"/>
          </reference>
          <reference field="5" count="1" selected="0">
            <x v="79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8">
      <pivotArea dataOnly="0" labelOnly="1" outline="0" fieldPosition="0">
        <references count="11">
          <reference field="0" count="1" selected="0">
            <x v="13"/>
          </reference>
          <reference field="1" count="1">
            <x v="7789"/>
          </reference>
          <reference field="3" count="1" selected="0">
            <x v="0"/>
          </reference>
          <reference field="5" count="1" selected="0">
            <x v="78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7">
      <pivotArea dataOnly="0" labelOnly="1" outline="0" fieldPosition="0">
        <references count="11">
          <reference field="0" count="1" selected="0">
            <x v="14"/>
          </reference>
          <reference field="1" count="1">
            <x v="7901"/>
          </reference>
          <reference field="3" count="1" selected="0">
            <x v="7955"/>
          </reference>
          <reference field="5" count="1" selected="0">
            <x v="77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6">
      <pivotArea dataOnly="0" labelOnly="1" outline="0" fieldPosition="0">
        <references count="11">
          <reference field="0" count="1" selected="0">
            <x v="14"/>
          </reference>
          <reference field="1" count="1">
            <x v="7932"/>
          </reference>
          <reference field="3" count="1" selected="0">
            <x v="2"/>
          </reference>
          <reference field="5" count="1" selected="0">
            <x v="79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05">
      <pivotArea dataOnly="0" labelOnly="1" outline="0" fieldPosition="0">
        <references count="11">
          <reference field="0" count="1" selected="0">
            <x v="14"/>
          </reference>
          <reference field="1" count="1">
            <x v="7903"/>
          </reference>
          <reference field="3" count="1" selected="0">
            <x v="2"/>
          </reference>
          <reference field="5" count="1" selected="0">
            <x v="78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4">
      <pivotArea dataOnly="0" labelOnly="1" outline="0" fieldPosition="0">
        <references count="11">
          <reference field="0" count="1" selected="0">
            <x v="14"/>
          </reference>
          <reference field="1" count="1">
            <x v="7935"/>
          </reference>
          <reference field="3" count="1" selected="0">
            <x v="7968"/>
          </reference>
          <reference field="5" count="1" selected="0">
            <x v="79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3">
      <pivotArea dataOnly="0" labelOnly="1" outline="0" fieldPosition="0">
        <references count="11">
          <reference field="0" count="1" selected="0">
            <x v="14"/>
          </reference>
          <reference field="1" count="1">
            <x v="7904"/>
          </reference>
          <reference field="3" count="1" selected="0">
            <x v="7366"/>
          </reference>
          <reference field="5" count="1" selected="0">
            <x v="433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302">
      <pivotArea dataOnly="0" labelOnly="1" outline="0" fieldPosition="0">
        <references count="11">
          <reference field="0" count="1" selected="0">
            <x v="14"/>
          </reference>
          <reference field="1" count="1">
            <x v="7929"/>
          </reference>
          <reference field="3" count="1" selected="0">
            <x v="0"/>
          </reference>
          <reference field="5" count="1" selected="0">
            <x v="795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01">
      <pivotArea dataOnly="0" labelOnly="1" outline="0" fieldPosition="0">
        <references count="11">
          <reference field="0" count="1" selected="0">
            <x v="14"/>
          </reference>
          <reference field="1" count="1">
            <x v="7930"/>
          </reference>
          <reference field="3" count="1" selected="0">
            <x v="7966"/>
          </reference>
          <reference field="5" count="1" selected="0">
            <x v="37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300">
      <pivotArea dataOnly="0" labelOnly="1" outline="0" fieldPosition="0">
        <references count="11">
          <reference field="0" count="1" selected="0">
            <x v="14"/>
          </reference>
          <reference field="1" count="1">
            <x v="7902"/>
          </reference>
          <reference field="3" count="1" selected="0">
            <x v="7956"/>
          </reference>
          <reference field="5" count="1" selected="0">
            <x v="59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99">
      <pivotArea dataOnly="0" labelOnly="1" outline="0" fieldPosition="0">
        <references count="11">
          <reference field="0" count="1" selected="0">
            <x v="14"/>
          </reference>
          <reference field="1" count="1">
            <x v="7900"/>
          </reference>
          <reference field="3" count="1" selected="0">
            <x v="7954"/>
          </reference>
          <reference field="5" count="1" selected="0">
            <x v="65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98">
      <pivotArea dataOnly="0" labelOnly="1" outline="0" fieldPosition="0">
        <references count="11">
          <reference field="0" count="1" selected="0">
            <x v="14"/>
          </reference>
          <reference field="1" count="1">
            <x v="7899"/>
          </reference>
          <reference field="3" count="1" selected="0">
            <x v="7953"/>
          </reference>
          <reference field="5" count="1" selected="0">
            <x v="4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97">
      <pivotArea dataOnly="0" labelOnly="1" outline="0" fieldPosition="0">
        <references count="11">
          <reference field="0" count="1" selected="0">
            <x v="14"/>
          </reference>
          <reference field="1" count="1">
            <x v="7934"/>
          </reference>
          <reference field="3" count="1" selected="0">
            <x v="7967"/>
          </reference>
          <reference field="5" count="1" selected="0">
            <x v="786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6">
      <pivotArea dataOnly="0" labelOnly="1" outline="0" fieldPosition="0">
        <references count="11">
          <reference field="0" count="1" selected="0">
            <x v="15"/>
          </reference>
          <reference field="1" count="1">
            <x v="7897"/>
          </reference>
          <reference field="3" count="1" selected="0">
            <x v="7951"/>
          </reference>
          <reference field="5" count="1" selected="0">
            <x v="19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5">
      <pivotArea dataOnly="0" labelOnly="1" outline="0" fieldPosition="0">
        <references count="11">
          <reference field="0" count="1" selected="0">
            <x v="15"/>
          </reference>
          <reference field="1" count="1">
            <x v="7927"/>
          </reference>
          <reference field="3" count="1" selected="0">
            <x v="0"/>
          </reference>
          <reference field="5" count="1" selected="0">
            <x v="79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4">
      <pivotArea dataOnly="0" labelOnly="1" outline="0" fieldPosition="0">
        <references count="11">
          <reference field="0" count="1" selected="0">
            <x v="15"/>
          </reference>
          <reference field="1" count="1">
            <x v="7847"/>
          </reference>
          <reference field="3" count="1" selected="0">
            <x v="0"/>
          </reference>
          <reference field="5" count="1" selected="0">
            <x v="79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3">
      <pivotArea dataOnly="0" labelOnly="1" outline="0" fieldPosition="0">
        <references count="11">
          <reference field="0" count="1" selected="0">
            <x v="15"/>
          </reference>
          <reference field="1" count="1">
            <x v="7625"/>
          </reference>
          <reference field="3" count="1" selected="0">
            <x v="7798"/>
          </reference>
          <reference field="5" count="1" selected="0">
            <x v="77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92">
      <pivotArea dataOnly="0" labelOnly="1" outline="0" fieldPosition="0">
        <references count="11">
          <reference field="0" count="1" selected="0">
            <x v="15"/>
          </reference>
          <reference field="1" count="1">
            <x v="7926"/>
          </reference>
          <reference field="3" count="1" selected="0">
            <x v="0"/>
          </reference>
          <reference field="5" count="1" selected="0">
            <x v="2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91">
      <pivotArea dataOnly="0" labelOnly="1" outline="0" fieldPosition="0">
        <references count="11">
          <reference field="0" count="1" selected="0">
            <x v="15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27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90">
      <pivotArea dataOnly="0" labelOnly="1" outline="0" fieldPosition="0">
        <references count="11">
          <reference field="0" count="1" selected="0">
            <x v="15"/>
          </reference>
          <reference field="1" count="1">
            <x v="7896"/>
          </reference>
          <reference field="3" count="1" selected="0">
            <x v="7929"/>
          </reference>
          <reference field="5" count="1" selected="0">
            <x v="795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8"/>
          </reference>
        </references>
      </pivotArea>
    </format>
    <format dxfId="289">
      <pivotArea dataOnly="0" labelOnly="1" outline="0" fieldPosition="0">
        <references count="11">
          <reference field="0" count="1" selected="0">
            <x v="15"/>
          </reference>
          <reference field="1" count="1">
            <x v="7921"/>
          </reference>
          <reference field="3" count="1" selected="0">
            <x v="0"/>
          </reference>
          <reference field="5" count="1" selected="0">
            <x v="22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8">
      <pivotArea dataOnly="0" labelOnly="1" outline="0" fieldPosition="0">
        <references count="11">
          <reference field="0" count="1" selected="0">
            <x v="15"/>
          </reference>
          <reference field="1" count="1">
            <x v="7894"/>
          </reference>
          <reference field="3" count="1" selected="0">
            <x v="0"/>
          </reference>
          <reference field="5" count="1" selected="0">
            <x v="79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7">
      <pivotArea dataOnly="0" labelOnly="1" outline="0" fieldPosition="0">
        <references count="11">
          <reference field="0" count="1" selected="0">
            <x v="15"/>
          </reference>
          <reference field="1" count="1">
            <x v="7893"/>
          </reference>
          <reference field="3" count="1" selected="0">
            <x v="0"/>
          </reference>
          <reference field="5" count="1" selected="0">
            <x v="79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86">
      <pivotArea dataOnly="0" labelOnly="1" outline="0" fieldPosition="0">
        <references count="11">
          <reference field="0" count="1" selected="0">
            <x v="15"/>
          </reference>
          <reference field="1" count="1">
            <x v="7920"/>
          </reference>
          <reference field="3" count="1" selected="0">
            <x v="0"/>
          </reference>
          <reference field="5" count="1" selected="0">
            <x v="79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85">
      <pivotArea dataOnly="0" labelOnly="1" outline="0" fieldPosition="0">
        <references count="11">
          <reference field="0" count="1" selected="0">
            <x v="15"/>
          </reference>
          <reference field="1" count="1">
            <x v="7865"/>
          </reference>
          <reference field="3" count="1" selected="0">
            <x v="0"/>
          </reference>
          <reference field="5" count="1" selected="0">
            <x v="45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77">
      <pivotArea outline="0" collapsedLevelsAreSubtotals="1" fieldPosition="0"/>
    </format>
    <format dxfId="276">
      <pivotArea dataOnly="0" labelOnly="1" outline="0" axis="axisValues" fieldPosition="0"/>
    </format>
    <format dxfId="275">
      <pivotArea dataOnly="0" outline="0" fieldPosition="0">
        <references count="1">
          <reference field="12" count="0" defaultSubtotal="1"/>
        </references>
      </pivotArea>
    </format>
    <format dxfId="274">
      <pivotArea outline="0" collapsedLevelsAreSubtotals="1" fieldPosition="0"/>
    </format>
    <format dxfId="273">
      <pivotArea dataOnly="0" labelOnly="1" outline="0" axis="axisValues" fieldPosition="0"/>
    </format>
    <format dxfId="272">
      <pivotArea outline="0" collapsedLevelsAreSubtotals="1" fieldPosition="0"/>
    </format>
    <format dxfId="271">
      <pivotArea dataOnly="0" labelOnly="1" outline="0" axis="axisValues" fieldPosition="0"/>
    </format>
    <format dxfId="270">
      <pivotArea dataOnly="0" labelOnly="1" outline="0" axis="axisValues" fieldPosition="0"/>
    </format>
    <format dxfId="269">
      <pivotArea outline="0" collapsedLevelsAreSubtotals="1" fieldPosition="0"/>
    </format>
    <format dxfId="268">
      <pivotArea field="12" type="button" dataOnly="0" labelOnly="1" outline="0" axis="axisRow" fieldPosition="2"/>
    </format>
    <format dxfId="267">
      <pivotArea field="10" type="button" dataOnly="0" labelOnly="1" outline="0" axis="axisRow" fieldPosition="3"/>
    </format>
    <format dxfId="266">
      <pivotArea field="16" type="button" dataOnly="0" labelOnly="1" outline="0" axis="axisRow" fieldPosition="4"/>
    </format>
    <format dxfId="265">
      <pivotArea field="18" type="button" dataOnly="0" labelOnly="1" outline="0" axis="axisRow" fieldPosition="5"/>
    </format>
    <format dxfId="264">
      <pivotArea field="5" type="button" dataOnly="0" labelOnly="1" outline="0" axis="axisRow" fieldPosition="6"/>
    </format>
    <format dxfId="263">
      <pivotArea field="9" type="button" dataOnly="0" labelOnly="1" outline="0" axis="axisRow" fieldPosition="7"/>
    </format>
    <format dxfId="262">
      <pivotArea field="3" type="button" dataOnly="0" labelOnly="1" outline="0" axis="axisRow" fieldPosition="8"/>
    </format>
    <format dxfId="261">
      <pivotArea field="7" type="button" dataOnly="0" labelOnly="1" outline="0" axis="axisRow" fieldPosition="9"/>
    </format>
    <format dxfId="260">
      <pivotArea field="1" type="button" dataOnly="0" labelOnly="1" outline="0" axis="axisRow" fieldPosition="10"/>
    </format>
    <format dxfId="259">
      <pivotArea dataOnly="0" labelOnly="1" outline="0" axis="axisValues" fieldPosition="0"/>
    </format>
    <format dxfId="25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6">
      <pivotArea dataOnly="0" labelOnly="1" outline="0" fieldPosition="0">
        <references count="3">
          <reference field="0" count="1" selected="0">
            <x v="14"/>
          </reference>
          <reference field="12" count="2">
            <x v="13"/>
            <x v="19"/>
          </reference>
          <reference field="13" count="1" selected="0">
            <x v="0"/>
          </reference>
        </references>
      </pivotArea>
    </format>
    <format dxfId="25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3"/>
            <x v="19"/>
          </reference>
          <reference field="13" count="1" selected="0">
            <x v="0"/>
          </reference>
        </references>
      </pivotArea>
    </format>
    <format dxfId="25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5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52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251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25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6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9"/>
            <x v="20"/>
            <x v="21"/>
            <x v="25"/>
            <x v="31"/>
            <x v="32"/>
          </reference>
          <reference field="13" count="1" selected="0">
            <x v="2"/>
          </reference>
        </references>
      </pivotArea>
    </format>
    <format dxfId="245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9"/>
            <x v="20"/>
            <x v="21"/>
            <x v="25"/>
            <x v="31"/>
            <x v="32"/>
          </reference>
          <reference field="13" count="1" selected="0">
            <x v="2"/>
          </reference>
        </references>
      </pivotArea>
    </format>
    <format dxfId="24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0"/>
          </reference>
        </references>
      </pivotArea>
    </format>
    <format dxfId="2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23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8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7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3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29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2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2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01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00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9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6"/>
          </reference>
        </references>
      </pivotArea>
    </format>
    <format dxfId="1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9"/>
          </reference>
        </references>
      </pivotArea>
    </format>
    <format dxfId="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4"/>
            <x v="36"/>
            <x v="41"/>
            <x v="42"/>
            <x v="58"/>
            <x v="128"/>
          </reference>
        </references>
      </pivotArea>
    </format>
    <format dxfId="1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5"/>
            <x v="41"/>
            <x v="44"/>
            <x v="49"/>
            <x v="71"/>
            <x v="73"/>
            <x v="78"/>
          </reference>
        </references>
      </pivotArea>
    </format>
    <format dxfId="1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1"/>
          </reference>
        </references>
      </pivotArea>
    </format>
    <format dxfId="178">
      <pivotArea dataOnly="0" labelOnly="1" outline="0" fieldPosition="0">
        <references count="7">
          <reference field="0" count="1" selected="0">
            <x v="7"/>
          </reference>
          <reference field="5" count="1">
            <x v="799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77">
      <pivotArea dataOnly="0" labelOnly="1" outline="0" fieldPosition="0">
        <references count="7">
          <reference field="0" count="1" selected="0">
            <x v="14"/>
          </reference>
          <reference field="5" count="1">
            <x v="7995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6">
      <pivotArea dataOnly="0" labelOnly="1" outline="0" fieldPosition="0">
        <references count="7">
          <reference field="0" count="1" selected="0">
            <x v="14"/>
          </reference>
          <reference field="5" count="1">
            <x v="794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5">
      <pivotArea dataOnly="0" labelOnly="1" outline="0" fieldPosition="0">
        <references count="7">
          <reference field="0" count="1" selected="0">
            <x v="7"/>
          </reference>
          <reference field="5" count="1">
            <x v="213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74">
      <pivotArea dataOnly="0" labelOnly="1" outline="0" fieldPosition="0">
        <references count="7">
          <reference field="0" count="1" selected="0">
            <x v="9"/>
          </reference>
          <reference field="5" count="1">
            <x v="799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3">
      <pivotArea dataOnly="0" labelOnly="1" outline="0" fieldPosition="0">
        <references count="7">
          <reference field="0" count="1" selected="0">
            <x v="9"/>
          </reference>
          <reference field="5" count="1">
            <x v="1715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72">
      <pivotArea dataOnly="0" labelOnly="1" outline="0" fieldPosition="0">
        <references count="7">
          <reference field="0" count="1" selected="0">
            <x v="12"/>
          </reference>
          <reference field="5" count="1">
            <x v="799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1">
      <pivotArea dataOnly="0" labelOnly="1" outline="0" fieldPosition="0">
        <references count="7">
          <reference field="0" count="1" selected="0">
            <x v="13"/>
          </reference>
          <reference field="5" count="2">
            <x v="4637"/>
            <x v="795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0">
      <pivotArea dataOnly="0" labelOnly="1" outline="0" fieldPosition="0">
        <references count="7">
          <reference field="0" count="1" selected="0">
            <x v="13"/>
          </reference>
          <reference field="5" count="1">
            <x v="792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9">
      <pivotArea dataOnly="0" labelOnly="1" outline="0" fieldPosition="0">
        <references count="7">
          <reference field="0" count="1" selected="0">
            <x v="13"/>
          </reference>
          <reference field="5" count="1">
            <x v="74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">
      <pivotArea dataOnly="0" labelOnly="1" outline="0" fieldPosition="0">
        <references count="7">
          <reference field="0" count="1" selected="0">
            <x v="13"/>
          </reference>
          <reference field="5" count="1">
            <x v="7958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7">
      <pivotArea dataOnly="0" labelOnly="1" outline="0" fieldPosition="0">
        <references count="7">
          <reference field="0" count="1" selected="0">
            <x v="13"/>
          </reference>
          <reference field="5" count="1">
            <x v="795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6">
      <pivotArea dataOnly="0" labelOnly="1" outline="0" fieldPosition="0">
        <references count="7">
          <reference field="0" count="1" selected="0">
            <x v="13"/>
          </reference>
          <reference field="5" count="1">
            <x v="557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5">
      <pivotArea dataOnly="0" labelOnly="1" outline="0" fieldPosition="0">
        <references count="7">
          <reference field="0" count="1" selected="0">
            <x v="13"/>
          </reference>
          <reference field="5" count="1">
            <x v="554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4">
      <pivotArea dataOnly="0" labelOnly="1" outline="0" fieldPosition="0">
        <references count="7">
          <reference field="0" count="1" selected="0">
            <x v="13"/>
          </reference>
          <reference field="5" count="1">
            <x v="79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3">
      <pivotArea dataOnly="0" labelOnly="1" outline="0" fieldPosition="0">
        <references count="7">
          <reference field="0" count="1" selected="0">
            <x v="13"/>
          </reference>
          <reference field="5" count="1">
            <x v="31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2">
      <pivotArea dataOnly="0" labelOnly="1" outline="0" fieldPosition="0">
        <references count="7">
          <reference field="0" count="1" selected="0">
            <x v="13"/>
          </reference>
          <reference field="5" count="1">
            <x v="7956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1">
      <pivotArea dataOnly="0" labelOnly="1" outline="0" fieldPosition="0">
        <references count="7">
          <reference field="0" count="1" selected="0">
            <x v="13"/>
          </reference>
          <reference field="5" count="1">
            <x v="7882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0">
      <pivotArea dataOnly="0" labelOnly="1" outline="0" fieldPosition="0">
        <references count="7">
          <reference field="0" count="1" selected="0">
            <x v="14"/>
          </reference>
          <reference field="5" count="1">
            <x v="777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9">
      <pivotArea dataOnly="0" labelOnly="1" outline="0" fieldPosition="0">
        <references count="7">
          <reference field="0" count="1" selected="0">
            <x v="14"/>
          </reference>
          <reference field="5" count="1">
            <x v="790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9"/>
          </reference>
        </references>
      </pivotArea>
    </format>
    <format dxfId="158">
      <pivotArea dataOnly="0" labelOnly="1" outline="0" fieldPosition="0">
        <references count="7">
          <reference field="0" count="1" selected="0">
            <x v="14"/>
          </reference>
          <reference field="5" count="1">
            <x v="786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7">
      <pivotArea dataOnly="0" labelOnly="1" outline="0" fieldPosition="0">
        <references count="7">
          <reference field="0" count="1" selected="0">
            <x v="14"/>
          </reference>
          <reference field="5" count="1">
            <x v="789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6">
      <pivotArea dataOnly="0" labelOnly="1" outline="0" fieldPosition="0">
        <references count="7">
          <reference field="0" count="1" selected="0">
            <x v="14"/>
          </reference>
          <reference field="5" count="1">
            <x v="2353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55">
      <pivotArea dataOnly="0" labelOnly="1" outline="0" fieldPosition="0">
        <references count="7">
          <reference field="0" count="1" selected="0">
            <x v="14"/>
          </reference>
          <reference field="5" count="1">
            <x v="7992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4">
      <pivotArea dataOnly="0" labelOnly="1" outline="0" fieldPosition="0">
        <references count="7">
          <reference field="0" count="1" selected="0">
            <x v="14"/>
          </reference>
          <reference field="5" count="1">
            <x v="799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3">
      <pivotArea dataOnly="0" labelOnly="1" outline="0" fieldPosition="0">
        <references count="7">
          <reference field="0" count="1" selected="0">
            <x v="14"/>
          </reference>
          <reference field="5" count="1">
            <x v="790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2">
      <pivotArea dataOnly="0" labelOnly="1" outline="0" fieldPosition="0">
        <references count="7">
          <reference field="0" count="1" selected="0">
            <x v="14"/>
          </reference>
          <reference field="5" count="1">
            <x v="3855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1">
      <pivotArea dataOnly="0" labelOnly="1" outline="0" fieldPosition="0">
        <references count="7">
          <reference field="0" count="1" selected="0">
            <x v="14"/>
          </reference>
          <reference field="5" count="2">
            <x v="5943"/>
            <x v="656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0">
      <pivotArea dataOnly="0" labelOnly="1" outline="0" fieldPosition="0">
        <references count="7">
          <reference field="0" count="1" selected="0">
            <x v="14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49">
      <pivotArea dataOnly="0" labelOnly="1" outline="0" fieldPosition="0">
        <references count="7">
          <reference field="0" count="1" selected="0">
            <x v="14"/>
          </reference>
          <reference field="5" count="1">
            <x v="7993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48">
      <pivotArea dataOnly="0" labelOnly="1" outline="0" fieldPosition="0">
        <references count="7">
          <reference field="0" count="1" selected="0">
            <x v="14"/>
          </reference>
          <reference field="5" count="1">
            <x v="7943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7">
      <pivotArea dataOnly="0" labelOnly="1" outline="0" fieldPosition="0">
        <references count="7">
          <reference field="0" count="1" selected="0">
            <x v="15"/>
          </reference>
          <reference field="5" count="1">
            <x v="19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6">
      <pivotArea dataOnly="0" labelOnly="1" outline="0" fieldPosition="0">
        <references count="7">
          <reference field="0" count="1" selected="0">
            <x v="15"/>
          </reference>
          <reference field="5" count="1">
            <x v="7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5">
      <pivotArea dataOnly="0" labelOnly="1" outline="0" fieldPosition="0">
        <references count="7">
          <reference field="0" count="1" selected="0">
            <x v="15"/>
          </reference>
          <reference field="5" count="2">
            <x v="7949"/>
            <x v="79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">
      <pivotArea dataOnly="0" labelOnly="1" outline="0" fieldPosition="0">
        <references count="7">
          <reference field="0" count="1" selected="0">
            <x v="15"/>
          </reference>
          <reference field="5" count="1">
            <x v="79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43">
      <pivotArea dataOnly="0" labelOnly="1" outline="0" fieldPosition="0">
        <references count="7">
          <reference field="0" count="1" selected="0">
            <x v="15"/>
          </reference>
          <reference field="5" count="1">
            <x v="77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2">
      <pivotArea dataOnly="0" labelOnly="1" outline="0" fieldPosition="0">
        <references count="7">
          <reference field="0" count="1" selected="0">
            <x v="15"/>
          </reference>
          <reference field="5" count="3">
            <x v="275"/>
            <x v="2738"/>
            <x v="79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1">
      <pivotArea dataOnly="0" labelOnly="1" outline="0" fieldPosition="0">
        <references count="7">
          <reference field="0" count="1" selected="0">
            <x v="15"/>
          </reference>
          <reference field="5" count="1">
            <x v="79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8"/>
          </reference>
        </references>
      </pivotArea>
    </format>
    <format dxfId="140">
      <pivotArea dataOnly="0" labelOnly="1" outline="0" fieldPosition="0">
        <references count="7">
          <reference field="0" count="1" selected="0">
            <x v="15"/>
          </reference>
          <reference field="5" count="1">
            <x v="798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9">
      <pivotArea dataOnly="0" labelOnly="1" outline="0" fieldPosition="0">
        <references count="7">
          <reference field="0" count="1" selected="0">
            <x v="15"/>
          </reference>
          <reference field="5" count="1">
            <x v="769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38">
      <pivotArea dataOnly="0" labelOnly="1" outline="0" fieldPosition="0">
        <references count="7">
          <reference field="0" count="1" selected="0">
            <x v="15"/>
          </reference>
          <reference field="5" count="2">
            <x v="3146"/>
            <x v="798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37">
      <pivotArea dataOnly="0" labelOnly="1" outline="0" fieldPosition="0">
        <references count="7">
          <reference field="0" count="1" selected="0">
            <x v="15"/>
          </reference>
          <reference field="5" count="1">
            <x v="798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36">
      <pivotArea dataOnly="0" labelOnly="1" outline="0" fieldPosition="0">
        <references count="7">
          <reference field="0" count="1" selected="0">
            <x v="15"/>
          </reference>
          <reference field="5" count="1">
            <x v="554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5">
      <pivotArea dataOnly="0" labelOnly="1" outline="0" fieldPosition="0">
        <references count="7">
          <reference field="0" count="1" selected="0">
            <x v="15"/>
          </reference>
          <reference field="5" count="1">
            <x v="79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134">
      <pivotArea dataOnly="0" labelOnly="1" outline="0" fieldPosition="0">
        <references count="7">
          <reference field="0" count="1" selected="0">
            <x v="15"/>
          </reference>
          <reference field="5" count="1">
            <x v="798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33">
      <pivotArea dataOnly="0" labelOnly="1" outline="0" fieldPosition="0">
        <references count="7">
          <reference field="0" count="1" selected="0">
            <x v="15"/>
          </reference>
          <reference field="5" count="1">
            <x v="793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2">
      <pivotArea dataOnly="0" labelOnly="1" outline="0" fieldPosition="0">
        <references count="7">
          <reference field="0" count="1" selected="0">
            <x v="15"/>
          </reference>
          <reference field="5" count="2">
            <x v="7937"/>
            <x v="79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7">
      <pivotArea dataOnly="0" labelOnly="1" outline="0" fieldPosition="0">
        <references count="8">
          <reference field="0" count="1" selected="0">
            <x v="9"/>
          </reference>
          <reference field="5" count="1" selected="0">
            <x v="79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6">
      <pivotArea dataOnly="0" labelOnly="1" outline="0" fieldPosition="0">
        <references count="8">
          <reference field="0" count="1" selected="0">
            <x v="9"/>
          </reference>
          <reference field="5" count="1" selected="0">
            <x v="171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9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63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4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96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5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4"/>
          </reference>
          <reference field="9" count="1">
            <x v="0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4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5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89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1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9">
      <pivotArea dataOnly="0" labelOnly="1" outline="0" fieldPosition="0">
        <references count="9">
          <reference field="0" count="1" selected="0">
            <x v="7"/>
          </reference>
          <reference field="3" count="1">
            <x v="7999"/>
          </reference>
          <reference field="5" count="1" selected="0">
            <x v="79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9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4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">
      <pivotArea dataOnly="0" labelOnly="1" outline="0" fieldPosition="0">
        <references count="9">
          <reference field="0" count="1" selected="0">
            <x v="7"/>
          </reference>
          <reference field="3" count="1">
            <x v="7333"/>
          </reference>
          <reference field="5" count="1" selected="0">
            <x v="21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5">
      <pivotArea dataOnly="0" labelOnly="1" outline="0" fieldPosition="0">
        <references count="9">
          <reference field="0" count="1" selected="0">
            <x v="9"/>
          </reference>
          <reference field="3" count="1">
            <x v="7997"/>
          </reference>
          <reference field="5" count="1" selected="0">
            <x v="79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4">
      <pivotArea dataOnly="0" labelOnly="1" outline="0" fieldPosition="0">
        <references count="9">
          <reference field="0" count="1" selected="0">
            <x v="9"/>
          </reference>
          <reference field="3" count="1">
            <x v="7998"/>
          </reference>
          <reference field="5" count="1" selected="0">
            <x v="171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9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63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1">
      <pivotArea dataOnly="0" labelOnly="1" outline="0" fieldPosition="0">
        <references count="9">
          <reference field="0" count="1" selected="0">
            <x v="13"/>
          </reference>
          <reference field="3" count="1">
            <x v="7959"/>
          </reference>
          <reference field="5" count="1" selected="0">
            <x v="7958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5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9">
      <pivotArea dataOnly="0" labelOnly="1" outline="0" fieldPosition="0">
        <references count="9">
          <reference field="0" count="1" selected="0">
            <x v="14"/>
          </reference>
          <reference field="3" count="1">
            <x v="7955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8">
      <pivotArea dataOnly="0" labelOnly="1" outline="0" fieldPosition="0">
        <references count="9">
          <reference field="0" count="1" selected="0">
            <x v="14"/>
          </reference>
          <reference field="3" count="1">
            <x v="7921"/>
          </reference>
          <reference field="5" count="1" selected="0">
            <x v="79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9"/>
          </reference>
        </references>
      </pivotArea>
    </format>
    <format dxfId="97">
      <pivotArea dataOnly="0" labelOnly="1" outline="0" fieldPosition="0">
        <references count="9">
          <reference field="0" count="1" selected="0">
            <x v="14"/>
          </reference>
          <reference field="3" count="1">
            <x v="7967"/>
          </reference>
          <reference field="5" count="1" selected="0">
            <x v="78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">
      <pivotArea dataOnly="0" labelOnly="1" outline="0" fieldPosition="0">
        <references count="9">
          <reference field="0" count="1" selected="0">
            <x v="14"/>
          </reference>
          <reference field="3" count="1">
            <x v="7996"/>
          </reference>
          <reference field="5" count="1" selected="0">
            <x v="235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9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3">
      <pivotArea dataOnly="0" labelOnly="1" outline="0" fieldPosition="0">
        <references count="9">
          <reference field="0" count="1" selected="0">
            <x v="14"/>
          </reference>
          <reference field="3" count="1">
            <x v="7908"/>
          </reference>
          <reference field="5" count="1" selected="0">
            <x v="7994"/>
          </reference>
          <reference field="9" count="1" selected="0">
            <x v="0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1">
      <pivotArea dataOnly="0" labelOnly="1" outline="0" fieldPosition="0">
        <references count="9">
          <reference field="0" count="1" selected="0">
            <x v="14"/>
          </reference>
          <reference field="3" count="1">
            <x v="7529"/>
          </reference>
          <reference field="5" count="1" selected="0">
            <x v="385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0">
      <pivotArea dataOnly="0" labelOnly="1" outline="0" fieldPosition="0">
        <references count="9">
          <reference field="0" count="1" selected="0">
            <x v="14"/>
          </reference>
          <reference field="3" count="1">
            <x v="7956"/>
          </reference>
          <reference field="5" count="1" selected="0">
            <x v="594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9">
      <pivotArea dataOnly="0" labelOnly="1" outline="0" fieldPosition="0">
        <references count="9">
          <reference field="0" count="1" selected="0">
            <x v="14"/>
          </reference>
          <reference field="3" count="1">
            <x v="7954"/>
          </reference>
          <reference field="5" count="1" selected="0">
            <x v="656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8">
      <pivotArea dataOnly="0" labelOnly="1" outline="0" fieldPosition="0">
        <references count="9">
          <reference field="0" count="1" selected="0">
            <x v="14"/>
          </reference>
          <reference field="3" count="1">
            <x v="7953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7">
      <pivotArea dataOnly="0" labelOnly="1" outline="0" fieldPosition="0">
        <references count="9">
          <reference field="0" count="1" selected="0">
            <x v="14"/>
          </reference>
          <reference field="3" count="1">
            <x v="7958"/>
          </reference>
          <reference field="5" count="1" selected="0">
            <x v="7993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4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5">
      <pivotArea dataOnly="0" labelOnly="1" outline="0" fieldPosition="0">
        <references count="9">
          <reference field="0" count="1" selected="0">
            <x v="15"/>
          </reference>
          <reference field="3" count="1">
            <x v="7951"/>
          </reference>
          <reference field="5" count="1" selected="0">
            <x v="19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">
      <pivotArea dataOnly="0" labelOnly="1" outline="0" fieldPosition="0">
        <references count="9">
          <reference field="0" count="1" selected="0">
            <x v="15"/>
          </reference>
          <reference field="3" count="1">
            <x v="7798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1">
      <pivotArea dataOnly="0" labelOnly="1" outline="0" fieldPosition="0">
        <references count="9">
          <reference field="0" count="1" selected="0">
            <x v="15"/>
          </reference>
          <reference field="3" count="1">
            <x v="7929"/>
          </reference>
          <reference field="5" count="1" selected="0">
            <x v="795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8"/>
          </reference>
        </references>
      </pivotArea>
    </format>
    <format dxfId="8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8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9"/>
          </reference>
          <reference field="5" count="1" selected="0">
            <x v="79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3"/>
          </reference>
          <reference field="5" count="1" selected="0">
            <x v="21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5">
      <pivotArea dataOnly="0" labelOnly="1" outline="0" fieldPosition="0">
        <references count="10">
          <reference field="0" count="1" selected="0">
            <x v="9"/>
          </reference>
          <reference field="3" count="1" selected="0">
            <x v="7997"/>
          </reference>
          <reference field="5" count="1" selected="0">
            <x v="79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4">
      <pivotArea dataOnly="0" labelOnly="1" outline="0" fieldPosition="0">
        <references count="10">
          <reference field="0" count="1" selected="0">
            <x v="9"/>
          </reference>
          <reference field="3" count="1" selected="0">
            <x v="7998"/>
          </reference>
          <reference field="5" count="1" selected="0">
            <x v="17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6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959"/>
          </reference>
          <reference field="5" count="1" selected="0">
            <x v="79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5"/>
          </reference>
          <reference field="5" count="1" selected="0">
            <x v="7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7"/>
          </reference>
          <reference field="5" count="1" selected="0">
            <x v="7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6"/>
          </reference>
          <reference field="5" count="1" selected="0">
            <x v="23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8"/>
          </reference>
          <reference field="5" count="1" selected="0">
            <x v="79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9"/>
          </reference>
          <reference field="5" count="1" selected="0">
            <x v="38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6"/>
          </reference>
          <reference field="5" count="1" selected="0">
            <x v="5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51"/>
          </reference>
          <reference field="5" count="1" selected="0">
            <x v="19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8"/>
          </reference>
          <reference field="5" count="1" selected="0">
            <x v="77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29"/>
          </reference>
          <reference field="5" count="1" selected="0">
            <x v="79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8"/>
          </reference>
        </references>
      </pivotArea>
    </format>
    <format dxfId="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">
      <pivotArea dataOnly="0" labelOnly="1" outline="0" fieldPosition="0">
        <references count="11">
          <reference field="0" count="1" selected="0">
            <x v="7"/>
          </reference>
          <reference field="1" count="1">
            <x v="7999"/>
          </reference>
          <reference field="3" count="1" selected="0">
            <x v="7999"/>
          </reference>
          <reference field="5" count="1" selected="0">
            <x v="79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2">
      <pivotArea dataOnly="0" labelOnly="1" outline="0" fieldPosition="0">
        <references count="11">
          <reference field="0" count="1" selected="0">
            <x v="14"/>
          </reference>
          <reference field="1" count="1">
            <x v="7993"/>
          </reference>
          <reference field="3" count="1" selected="0">
            <x v="0"/>
          </reference>
          <reference field="5" count="1" selected="0">
            <x v="79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1">
      <pivotArea dataOnly="0" labelOnly="1" outline="0" fieldPosition="0">
        <references count="11">
          <reference field="0" count="1" selected="0">
            <x v="14"/>
          </reference>
          <reference field="1" count="1">
            <x v="7898"/>
          </reference>
          <reference field="3" count="1" selected="0">
            <x v="2"/>
          </reference>
          <reference field="5" count="1" selected="0">
            <x v="79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">
      <pivotArea dataOnly="0" labelOnly="1" outline="0" fieldPosition="0">
        <references count="11">
          <reference field="0" count="1" selected="0">
            <x v="7"/>
          </reference>
          <reference field="1" count="1">
            <x v="7907"/>
          </reference>
          <reference field="3" count="1" selected="0">
            <x v="7333"/>
          </reference>
          <reference field="5" count="1" selected="0">
            <x v="21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9">
      <pivotArea dataOnly="0" labelOnly="1" outline="0" fieldPosition="0">
        <references count="11">
          <reference field="0" count="1" selected="0">
            <x v="9"/>
          </reference>
          <reference field="1" count="1">
            <x v="7997"/>
          </reference>
          <reference field="3" count="1" selected="0">
            <x v="7997"/>
          </reference>
          <reference field="5" count="1" selected="0">
            <x v="79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8">
      <pivotArea dataOnly="0" labelOnly="1" outline="0" fieldPosition="0">
        <references count="11">
          <reference field="0" count="1" selected="0">
            <x v="9"/>
          </reference>
          <reference field="1" count="1">
            <x v="7998"/>
          </reference>
          <reference field="3" count="1" selected="0">
            <x v="7998"/>
          </reference>
          <reference field="5" count="1" selected="0">
            <x v="17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7">
      <pivotArea dataOnly="0" labelOnly="1" outline="0" fieldPosition="0">
        <references count="11">
          <reference field="0" count="1" selected="0">
            <x v="12"/>
          </reference>
          <reference field="1" count="1">
            <x v="7996"/>
          </reference>
          <reference field="3" count="1" selected="0">
            <x v="0"/>
          </reference>
          <reference field="5" count="1" selected="0">
            <x v="799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">
      <pivotArea dataOnly="0" labelOnly="1" outline="0" fieldPosition="0">
        <references count="11">
          <reference field="0" count="1" selected="0">
            <x v="13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46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">
      <pivotArea dataOnly="0" labelOnly="1" outline="0" fieldPosition="0">
        <references count="11">
          <reference field="0" count="1" selected="0">
            <x v="13"/>
          </reference>
          <reference field="1" count="1">
            <x v="7694"/>
          </reference>
          <reference field="3" count="1" selected="0">
            <x v="0"/>
          </reference>
          <reference field="5" count="1" selected="0">
            <x v="79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">
      <pivotArea dataOnly="0" labelOnly="1" outline="0" fieldPosition="0">
        <references count="11">
          <reference field="0" count="1" selected="0">
            <x v="13"/>
          </reference>
          <reference field="1" count="1">
            <x v="7872"/>
          </reference>
          <reference field="3" count="1" selected="0">
            <x v="0"/>
          </reference>
          <reference field="5" count="1" selected="0">
            <x v="79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">
      <pivotArea dataOnly="0" labelOnly="1" outline="0" fieldPosition="0">
        <references count="11">
          <reference field="0" count="1" selected="0">
            <x v="13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74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2">
      <pivotArea dataOnly="0" labelOnly="1" outline="0" fieldPosition="0">
        <references count="11">
          <reference field="0" count="1" selected="0">
            <x v="13"/>
          </reference>
          <reference field="1" count="1">
            <x v="7906"/>
          </reference>
          <reference field="3" count="1" selected="0">
            <x v="7959"/>
          </reference>
          <reference field="5" count="1" selected="0">
            <x v="795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">
      <pivotArea dataOnly="0" labelOnly="1" outline="0" fieldPosition="0">
        <references count="11">
          <reference field="0" count="1" selected="0">
            <x v="13"/>
          </reference>
          <reference field="1" count="1">
            <x v="7456"/>
          </reference>
          <reference field="3" count="1" selected="0">
            <x v="0"/>
          </reference>
          <reference field="5" count="1" selected="0">
            <x v="795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0">
      <pivotArea dataOnly="0" labelOnly="1" outline="0" fieldPosition="0">
        <references count="11">
          <reference field="0" count="1" selected="0">
            <x v="13"/>
          </reference>
          <reference field="1" count="1">
            <x v="7693"/>
          </reference>
          <reference field="3" count="1" selected="0">
            <x v="0"/>
          </reference>
          <reference field="5" count="1" selected="0">
            <x v="55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">
      <pivotArea dataOnly="0" labelOnly="1" outline="0" fieldPosition="0">
        <references count="11">
          <reference field="0" count="1" selected="0">
            <x v="13"/>
          </reference>
          <reference field="1" count="1">
            <x v="7871"/>
          </reference>
          <reference field="3" count="1" selected="0">
            <x v="0"/>
          </reference>
          <reference field="5" count="1" selected="0">
            <x v="554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">
      <pivotArea dataOnly="0" labelOnly="1" outline="0" fieldPosition="0">
        <references count="11">
          <reference field="0" count="1" selected="0">
            <x v="13"/>
          </reference>
          <reference field="1" count="1">
            <x v="7421"/>
          </reference>
          <reference field="3" count="1" selected="0">
            <x v="0"/>
          </reference>
          <reference field="5" count="1" selected="0">
            <x v="799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">
      <pivotArea dataOnly="0" labelOnly="1" outline="0" fieldPosition="0">
        <references count="11">
          <reference field="0" count="1" selected="0">
            <x v="13"/>
          </reference>
          <reference field="1" count="1">
            <x v="7756"/>
          </reference>
          <reference field="3" count="1" selected="0">
            <x v="0"/>
          </reference>
          <reference field="5" count="1" selected="0">
            <x v="3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">
      <pivotArea dataOnly="0" labelOnly="1" outline="0" fieldPosition="0">
        <references count="11">
          <reference field="0" count="1" selected="0">
            <x v="13"/>
          </reference>
          <reference field="1" count="1">
            <x v="7645"/>
          </reference>
          <reference field="3" count="1" selected="0">
            <x v="0"/>
          </reference>
          <reference field="5" count="1" selected="0">
            <x v="79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">
      <pivotArea dataOnly="0" labelOnly="1" outline="0" fieldPosition="0">
        <references count="11">
          <reference field="0" count="1" selected="0">
            <x v="13"/>
          </reference>
          <reference field="1" count="1">
            <x v="7789"/>
          </reference>
          <reference field="3" count="1" selected="0">
            <x v="0"/>
          </reference>
          <reference field="5" count="1" selected="0">
            <x v="78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4">
      <pivotArea dataOnly="0" labelOnly="1" outline="0" fieldPosition="0">
        <references count="11">
          <reference field="0" count="1" selected="0">
            <x v="14"/>
          </reference>
          <reference field="1" count="1">
            <x v="7901"/>
          </reference>
          <reference field="3" count="1" selected="0">
            <x v="7955"/>
          </reference>
          <reference field="5" count="1" selected="0">
            <x v="77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">
      <pivotArea dataOnly="0" labelOnly="1" outline="0" fieldPosition="0">
        <references count="11">
          <reference field="0" count="1" selected="0">
            <x v="14"/>
          </reference>
          <reference field="1" count="1">
            <x v="7992"/>
          </reference>
          <reference field="3" count="1" selected="0">
            <x v="7921"/>
          </reference>
          <reference field="5" count="1" selected="0">
            <x v="79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9"/>
          </reference>
        </references>
      </pivotArea>
    </format>
    <format dxfId="32">
      <pivotArea dataOnly="0" labelOnly="1" outline="0" fieldPosition="0">
        <references count="11">
          <reference field="0" count="1" selected="0">
            <x v="14"/>
          </reference>
          <reference field="1" count="1">
            <x v="7934"/>
          </reference>
          <reference field="3" count="1" selected="0">
            <x v="7967"/>
          </reference>
          <reference field="5" count="1" selected="0">
            <x v="786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">
      <pivotArea dataOnly="0" labelOnly="1" outline="0" fieldPosition="0">
        <references count="11">
          <reference field="0" count="1" selected="0">
            <x v="14"/>
          </reference>
          <reference field="1" count="1">
            <x v="7903"/>
          </reference>
          <reference field="3" count="1" selected="0">
            <x v="2"/>
          </reference>
          <reference field="5" count="1" selected="0">
            <x v="78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">
      <pivotArea dataOnly="0" labelOnly="1" outline="0" fieldPosition="0">
        <references count="11">
          <reference field="0" count="1" selected="0">
            <x v="14"/>
          </reference>
          <reference field="1" count="1">
            <x v="7995"/>
          </reference>
          <reference field="3" count="1" selected="0">
            <x v="7996"/>
          </reference>
          <reference field="5" count="1" selected="0">
            <x v="23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9">
      <pivotArea dataOnly="0" labelOnly="1" outline="0" fieldPosition="0">
        <references count="11">
          <reference field="0" count="1" selected="0">
            <x v="14"/>
          </reference>
          <reference field="1" count="1">
            <x v="7928"/>
          </reference>
          <reference field="3" count="1" selected="0">
            <x v="0"/>
          </reference>
          <reference field="5" count="1" selected="0">
            <x v="79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8">
      <pivotArea dataOnly="0" labelOnly="1" outline="0" fieldPosition="0">
        <references count="11">
          <reference field="0" count="1" selected="0">
            <x v="14"/>
          </reference>
          <reference field="1" count="1">
            <x v="7785"/>
          </reference>
          <reference field="3" count="1" selected="0">
            <x v="7908"/>
          </reference>
          <reference field="5" count="1" selected="0">
            <x v="79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7">
      <pivotArea dataOnly="0" labelOnly="1" outline="0" fieldPosition="0">
        <references count="11">
          <reference field="0" count="1" selected="0">
            <x v="14"/>
          </reference>
          <reference field="1" count="1">
            <x v="7811"/>
          </reference>
          <reference field="3" count="1" selected="0">
            <x v="0"/>
          </reference>
          <reference field="5" count="1" selected="0">
            <x v="790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6">
      <pivotArea dataOnly="0" labelOnly="1" outline="0" fieldPosition="0">
        <references count="11">
          <reference field="0" count="1" selected="0">
            <x v="14"/>
          </reference>
          <reference field="1" count="1">
            <x v="7306"/>
          </reference>
          <reference field="3" count="1" selected="0">
            <x v="7529"/>
          </reference>
          <reference field="5" count="1" selected="0">
            <x v="385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5">
      <pivotArea dataOnly="0" labelOnly="1" outline="0" fieldPosition="0">
        <references count="11">
          <reference field="0" count="1" selected="0">
            <x v="14"/>
          </reference>
          <reference field="1" count="1">
            <x v="7902"/>
          </reference>
          <reference field="3" count="1" selected="0">
            <x v="7956"/>
          </reference>
          <reference field="5" count="1" selected="0">
            <x v="59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4">
      <pivotArea dataOnly="0" labelOnly="1" outline="0" fieldPosition="0">
        <references count="11">
          <reference field="0" count="1" selected="0">
            <x v="14"/>
          </reference>
          <reference field="1" count="1">
            <x v="7900"/>
          </reference>
          <reference field="3" count="1" selected="0">
            <x v="7954"/>
          </reference>
          <reference field="5" count="1" selected="0">
            <x v="65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3">
      <pivotArea dataOnly="0" labelOnly="1" outline="0" fieldPosition="0">
        <references count="11">
          <reference field="0" count="1" selected="0">
            <x v="14"/>
          </reference>
          <reference field="1" count="1">
            <x v="7899"/>
          </reference>
          <reference field="3" count="1" selected="0">
            <x v="7953"/>
          </reference>
          <reference field="5" count="1" selected="0">
            <x v="4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2">
      <pivotArea dataOnly="0" labelOnly="1" outline="0" fieldPosition="0">
        <references count="11">
          <reference field="0" count="1" selected="0">
            <x v="14"/>
          </reference>
          <reference field="1" count="1">
            <x v="7905"/>
          </reference>
          <reference field="3" count="1" selected="0">
            <x v="7958"/>
          </reference>
          <reference field="5" count="1" selected="0">
            <x v="79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1">
      <pivotArea dataOnly="0" labelOnly="1" outline="0" fieldPosition="0">
        <references count="11">
          <reference field="0" count="1" selected="0">
            <x v="14"/>
          </reference>
          <reference field="1" count="1">
            <x v="7994"/>
          </reference>
          <reference field="3" count="1" selected="0">
            <x v="2"/>
          </reference>
          <reference field="5" count="1" selected="0">
            <x v="79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0">
      <pivotArea dataOnly="0" labelOnly="1" outline="0" fieldPosition="0">
        <references count="11">
          <reference field="0" count="1" selected="0">
            <x v="15"/>
          </reference>
          <reference field="1" count="1">
            <x v="7897"/>
          </reference>
          <reference field="3" count="1" selected="0">
            <x v="7951"/>
          </reference>
          <reference field="5" count="1" selected="0">
            <x v="19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">
      <pivotArea dataOnly="0" labelOnly="1" outline="0" fieldPosition="0">
        <references count="11">
          <reference field="0" count="1" selected="0">
            <x v="15"/>
          </reference>
          <reference field="1" count="1">
            <x v="7927"/>
          </reference>
          <reference field="3" count="1" selected="0">
            <x v="0"/>
          </reference>
          <reference field="5" count="1" selected="0">
            <x v="79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">
      <pivotArea dataOnly="0" labelOnly="1" outline="0" fieldPosition="0">
        <references count="11">
          <reference field="0" count="1" selected="0">
            <x v="15"/>
          </reference>
          <reference field="1" count="1">
            <x v="7847"/>
          </reference>
          <reference field="3" count="1" selected="0">
            <x v="0"/>
          </reference>
          <reference field="5" count="1" selected="0">
            <x v="79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">
      <pivotArea dataOnly="0" labelOnly="1" outline="0" fieldPosition="0">
        <references count="11">
          <reference field="0" count="1" selected="0">
            <x v="15"/>
          </reference>
          <reference field="1" count="1">
            <x v="7763"/>
          </reference>
          <reference field="3" count="1" selected="0">
            <x v="0"/>
          </reference>
          <reference field="5" count="1" selected="0">
            <x v="79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">
      <pivotArea dataOnly="0" labelOnly="1" outline="0" fieldPosition="0">
        <references count="11">
          <reference field="0" count="1" selected="0">
            <x v="15"/>
          </reference>
          <reference field="1" count="1">
            <x v="7687"/>
          </reference>
          <reference field="3" count="1" selected="0">
            <x v="0"/>
          </reference>
          <reference field="5" count="1" selected="0">
            <x v="798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5">
      <pivotArea dataOnly="0" labelOnly="1" outline="0" fieldPosition="0">
        <references count="11">
          <reference field="0" count="1" selected="0">
            <x v="15"/>
          </reference>
          <reference field="1" count="1">
            <x v="7625"/>
          </reference>
          <reference field="3" count="1" selected="0">
            <x v="7798"/>
          </reference>
          <reference field="5" count="1" selected="0">
            <x v="77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">
      <pivotArea dataOnly="0" labelOnly="1" outline="0" fieldPosition="0">
        <references count="11">
          <reference field="0" count="1" selected="0">
            <x v="15"/>
          </reference>
          <reference field="1" count="1">
            <x v="7991"/>
          </reference>
          <reference field="3" count="1" selected="0">
            <x v="0"/>
          </reference>
          <reference field="5" count="1" selected="0">
            <x v="2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">
      <pivotArea dataOnly="0" labelOnly="1" outline="0" fieldPosition="0">
        <references count="11">
          <reference field="0" count="1" selected="0">
            <x v="15"/>
          </reference>
          <reference field="1" count="1">
            <x v="7641"/>
          </reference>
          <reference field="3" count="1" selected="0">
            <x v="0"/>
          </reference>
          <reference field="5" count="1" selected="0">
            <x v="27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">
      <pivotArea dataOnly="0" labelOnly="1" outline="0" fieldPosition="0">
        <references count="11">
          <reference field="0" count="1" selected="0">
            <x v="15"/>
          </reference>
          <reference field="1" count="1">
            <x v="7846"/>
          </reference>
          <reference field="3" count="1" selected="0">
            <x v="0"/>
          </reference>
          <reference field="5" count="1" selected="0">
            <x v="799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">
      <pivotArea dataOnly="0" labelOnly="1" outline="0" fieldPosition="0">
        <references count="11">
          <reference field="0" count="1" selected="0">
            <x v="15"/>
          </reference>
          <reference field="1" count="1">
            <x v="7896"/>
          </reference>
          <reference field="3" count="1" selected="0">
            <x v="7929"/>
          </reference>
          <reference field="5" count="1" selected="0">
            <x v="795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8"/>
          </reference>
        </references>
      </pivotArea>
    </format>
    <format dxfId="10">
      <pivotArea dataOnly="0" labelOnly="1" outline="0" fieldPosition="0">
        <references count="11">
          <reference field="0" count="1" selected="0">
            <x v="15"/>
          </reference>
          <reference field="1" count="2">
            <x v="7973"/>
            <x v="7985"/>
          </reference>
          <reference field="3" count="1" selected="0">
            <x v="0"/>
          </reference>
          <reference field="5" count="1" selected="0">
            <x v="79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">
      <pivotArea dataOnly="0" labelOnly="1" outline="0" fieldPosition="0">
        <references count="11">
          <reference field="0" count="1" selected="0">
            <x v="15"/>
          </reference>
          <reference field="1" count="1">
            <x v="7972"/>
          </reference>
          <reference field="3" count="1" selected="0">
            <x v="0"/>
          </reference>
          <reference field="5" count="1" selected="0">
            <x v="769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8">
      <pivotArea dataOnly="0" labelOnly="1" outline="0" fieldPosition="0">
        <references count="11">
          <reference field="0" count="1" selected="0">
            <x v="15"/>
          </reference>
          <reference field="1" count="1">
            <x v="7843"/>
          </reference>
          <reference field="3" count="1" selected="0">
            <x v="0"/>
          </reference>
          <reference field="5" count="1" selected="0">
            <x v="31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">
      <pivotArea dataOnly="0" labelOnly="1" outline="0" fieldPosition="0">
        <references count="11">
          <reference field="0" count="1" selected="0">
            <x v="15"/>
          </reference>
          <reference field="1" count="1">
            <x v="7982"/>
          </reference>
          <reference field="3" count="1" selected="0">
            <x v="0"/>
          </reference>
          <reference field="5" count="1" selected="0">
            <x v="79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">
      <pivotArea dataOnly="0" labelOnly="1" outline="0" fieldPosition="0">
        <references count="11">
          <reference field="0" count="1" selected="0">
            <x v="15"/>
          </reference>
          <reference field="1" count="1">
            <x v="7976"/>
          </reference>
          <reference field="3" count="1" selected="0">
            <x v="0"/>
          </reference>
          <reference field="5" count="1" selected="0">
            <x v="79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5">
      <pivotArea dataOnly="0" labelOnly="1" outline="0" fieldPosition="0">
        <references count="11">
          <reference field="0" count="1" selected="0">
            <x v="15"/>
          </reference>
          <reference field="1" count="1">
            <x v="7810"/>
          </reference>
          <reference field="3" count="1" selected="0">
            <x v="0"/>
          </reference>
          <reference field="5" count="1" selected="0">
            <x v="55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">
      <pivotArea dataOnly="0" labelOnly="1" outline="0" fieldPosition="0">
        <references count="11">
          <reference field="0" count="1" selected="0">
            <x v="15"/>
          </reference>
          <reference field="1" count="1">
            <x v="7861"/>
          </reference>
          <reference field="3" count="1" selected="0">
            <x v="0"/>
          </reference>
          <reference field="5" count="1" selected="0">
            <x v="79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3">
      <pivotArea dataOnly="0" labelOnly="1" outline="0" fieldPosition="0">
        <references count="11">
          <reference field="0" count="1" selected="0">
            <x v="15"/>
          </reference>
          <reference field="1" count="1">
            <x v="7831"/>
          </reference>
          <reference field="3" count="1" selected="0">
            <x v="0"/>
          </reference>
          <reference field="5" count="1" selected="0">
            <x v="79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">
      <pivotArea dataOnly="0" labelOnly="1" outline="0" fieldPosition="0">
        <references count="11">
          <reference field="0" count="1" selected="0">
            <x v="15"/>
          </reference>
          <reference field="1" count="1">
            <x v="7894"/>
          </reference>
          <reference field="3" count="1" selected="0">
            <x v="0"/>
          </reference>
          <reference field="5" count="1" selected="0">
            <x v="79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">
      <pivotArea dataOnly="0" labelOnly="1" outline="0" fieldPosition="0">
        <references count="11">
          <reference field="0" count="1" selected="0">
            <x v="15"/>
          </reference>
          <reference field="1" count="1">
            <x v="7893"/>
          </reference>
          <reference field="3" count="1" selected="0">
            <x v="0"/>
          </reference>
          <reference field="5" count="1" selected="0">
            <x v="79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0">
      <pivotArea dataOnly="0" labelOnly="1" outline="0" fieldPosition="0">
        <references count="11">
          <reference field="0" count="1" selected="0">
            <x v="15"/>
          </reference>
          <reference field="1" count="1">
            <x v="7920"/>
          </reference>
          <reference field="3" count="1" selected="0">
            <x v="0"/>
          </reference>
          <reference field="5" count="1" selected="0">
            <x v="79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</format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InputData" displayName="InputData" ref="A1:S56" totalsRowShown="0" headerRowCellStyle="Normal 2" dataCellStyle="Normal 2">
  <autoFilter ref="A1:S56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 dataCellStyle="Normal 2"/>
    <tableColumn id="2" name="Aviso" dataCellStyle="Normal 2"/>
    <tableColumn id="3" name="Anunciante" dataCellStyle="Normal 2"/>
    <tableColumn id="4" name="Cod. Neg." dataCellStyle="Normal 2"/>
    <tableColumn id="5" name="Referencia" dataCellStyle="Normal 2"/>
    <tableColumn id="6" name="Comentario" dataDxfId="281" dataCellStyle="Normal 2">
      <calculatedColumnFormula>LEFT(InputData[[#This Row],[Referencia]],32)</calculatedColumnFormula>
    </tableColumn>
    <tableColumn id="7" name="Tipo de aviso" dataCellStyle="Normal 2"/>
    <tableColumn id="8" name="Forma de Pago" dataCellStyle="Normal 2"/>
    <tableColumn id="9" name="Precio" dataCellStyle="Normal 2"/>
    <tableColumn id="10" name="Color" dataCellStyle="Normal 2"/>
    <tableColumn id="11" name="Ubic.Pretendida" dataCellStyle="Normal 2"/>
    <tableColumn id="12" name="Ubic.Obtenida" dataCellStyle="Normal 2"/>
    <tableColumn id="13" name="Nro pag" dataCellStyle="Normal 2"/>
    <tableColumn id="14" name="Original" dataCellStyle="Normal 2"/>
    <tableColumn id="15" name="Col" dataCellStyle="Normal 2"/>
    <tableColumn id="16" name="AltoCm" dataCellStyle="Normal 2"/>
    <tableColumn id="17" name="Evaluate Location" dataDxfId="284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283" dataCellStyle="Normal 2">
      <calculatedColumnFormula>ROUND(InputData[[#This Row],[AltoCm]],0)</calculatedColumnFormula>
    </tableColumn>
    <tableColumn id="19" name="Medida" dataDxfId="282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56"/>
  <sheetViews>
    <sheetView showOutlineSymbols="0" workbookViewId="0">
      <selection activeCell="A2" sqref="A2:XFD102"/>
    </sheetView>
  </sheetViews>
  <sheetFormatPr baseColWidth="10" defaultRowHeight="12.75" customHeight="1" x14ac:dyDescent="0.2"/>
  <cols>
    <col min="1" max="1" width="11.42578125" style="35"/>
    <col min="2" max="2" width="8" style="35" customWidth="1"/>
    <col min="3" max="3" width="13.42578125" style="35" customWidth="1"/>
    <col min="4" max="4" width="12" style="35" customWidth="1"/>
    <col min="5" max="5" width="13" style="35" customWidth="1"/>
    <col min="6" max="6" width="13.7109375" style="35" customWidth="1"/>
    <col min="7" max="7" width="15.28515625" style="35" customWidth="1"/>
    <col min="8" max="8" width="17.140625" style="35" customWidth="1"/>
    <col min="9" max="9" width="9" style="35" customWidth="1"/>
    <col min="10" max="10" width="8" style="35" customWidth="1"/>
    <col min="11" max="11" width="17.7109375" style="35" customWidth="1"/>
    <col min="12" max="12" width="16" style="35" customWidth="1"/>
    <col min="13" max="13" width="10.28515625" style="35" customWidth="1"/>
    <col min="14" max="14" width="10.42578125" style="35" customWidth="1"/>
    <col min="15" max="15" width="6.85546875" style="35" customWidth="1"/>
    <col min="16" max="16" width="9.7109375" style="35" customWidth="1"/>
    <col min="17" max="19" width="12.28515625" style="35" customWidth="1"/>
    <col min="20" max="16384" width="6.85546875" style="35" customWidth="1"/>
  </cols>
  <sheetData>
    <row r="1" spans="1:19" x14ac:dyDescent="0.2">
      <c r="A1" s="35" t="s">
        <v>0</v>
      </c>
      <c r="B1" s="35" t="s">
        <v>1</v>
      </c>
      <c r="C1" s="35" t="s">
        <v>2</v>
      </c>
      <c r="D1" s="35" t="s">
        <v>3</v>
      </c>
      <c r="E1" s="35" t="s">
        <v>4</v>
      </c>
      <c r="F1" s="35" t="s">
        <v>5</v>
      </c>
      <c r="G1" s="35" t="s">
        <v>6</v>
      </c>
      <c r="H1" s="35" t="s">
        <v>7</v>
      </c>
      <c r="I1" s="35" t="s">
        <v>8</v>
      </c>
      <c r="J1" s="35" t="s">
        <v>9</v>
      </c>
      <c r="K1" s="35" t="s">
        <v>10</v>
      </c>
      <c r="L1" s="35" t="s">
        <v>11</v>
      </c>
      <c r="M1" s="35" t="s">
        <v>12</v>
      </c>
      <c r="N1" s="35" t="s">
        <v>13</v>
      </c>
      <c r="O1" s="35" t="s">
        <v>14</v>
      </c>
      <c r="P1" s="35" t="s">
        <v>15</v>
      </c>
      <c r="Q1" s="35" t="s">
        <v>16</v>
      </c>
      <c r="R1" s="35" t="s">
        <v>17</v>
      </c>
      <c r="S1" s="35" t="s">
        <v>18</v>
      </c>
    </row>
    <row r="2" spans="1:19" hidden="1" x14ac:dyDescent="0.2">
      <c r="A2" s="35" t="s">
        <v>38</v>
      </c>
      <c r="B2" s="35" t="s">
        <v>242</v>
      </c>
      <c r="C2" s="35" t="s">
        <v>243</v>
      </c>
      <c r="E2" s="35" t="s">
        <v>244</v>
      </c>
      <c r="F2" s="35" t="str">
        <f>LEFT(InputData[[#This Row],[Referencia]],32)</f>
        <v>EDICTO "La Dra , Lis Valdecantos</v>
      </c>
      <c r="G2" s="35" t="s">
        <v>245</v>
      </c>
      <c r="H2" s="35" t="s">
        <v>20</v>
      </c>
      <c r="I2" s="37">
        <v>442.62</v>
      </c>
      <c r="J2" s="35" t="s">
        <v>39</v>
      </c>
      <c r="K2" s="35" t="s">
        <v>246</v>
      </c>
      <c r="M2" s="38">
        <v>0</v>
      </c>
      <c r="N2" s="35" t="s">
        <v>19</v>
      </c>
      <c r="O2" s="36">
        <v>2</v>
      </c>
      <c r="P2" s="39">
        <v>11.999999999472221</v>
      </c>
      <c r="Q2" s="35" t="str">
        <f>EVALUATE_LOCATION(InputData[[#This Row],[Section]],InputData[[#This Row],[Forma de Pago]],InputData[[#This Row],[Ubic.Pretendida]],InputData[[#This Row],[Nro pag]])</f>
        <v xml:space="preserve"> </v>
      </c>
      <c r="R2" s="35">
        <f>ROUND(InputData[[#This Row],[AltoCm]],0)</f>
        <v>12</v>
      </c>
      <c r="S2" s="35" t="str">
        <f>InputData[[#This Row],[Col]]&amp;"x"&amp;IF(LEN(InputData[[#This Row],[Alto]])=2,InputData[[#This Row],[Alto]],"0"&amp;InputData[[#This Row],[Alto]])</f>
        <v>2x12</v>
      </c>
    </row>
    <row r="3" spans="1:19" hidden="1" x14ac:dyDescent="0.2">
      <c r="A3" s="35" t="s">
        <v>38</v>
      </c>
      <c r="B3" s="35" t="s">
        <v>247</v>
      </c>
      <c r="C3" s="35" t="s">
        <v>248</v>
      </c>
      <c r="E3" s="35" t="s">
        <v>249</v>
      </c>
      <c r="F3" s="35" t="str">
        <f>LEFT(InputData[[#This Row],[Referencia]],32)</f>
        <v>PODER JUDICIAL DE LA PROVINCIA D</v>
      </c>
      <c r="G3" s="35" t="s">
        <v>245</v>
      </c>
      <c r="H3" s="35" t="s">
        <v>20</v>
      </c>
      <c r="I3" s="37">
        <v>995.89200000000017</v>
      </c>
      <c r="J3" s="35" t="s">
        <v>39</v>
      </c>
      <c r="K3" s="35" t="s">
        <v>246</v>
      </c>
      <c r="M3" s="38">
        <v>0</v>
      </c>
      <c r="N3" s="35" t="s">
        <v>19</v>
      </c>
      <c r="O3" s="36">
        <v>3</v>
      </c>
      <c r="P3" s="39">
        <v>18.000000000972221</v>
      </c>
      <c r="Q3" s="35" t="str">
        <f>EVALUATE_LOCATION(InputData[[#This Row],[Section]],InputData[[#This Row],[Forma de Pago]],InputData[[#This Row],[Ubic.Pretendida]],InputData[[#This Row],[Nro pag]])</f>
        <v xml:space="preserve"> </v>
      </c>
      <c r="R3" s="35">
        <f>ROUND(InputData[[#This Row],[AltoCm]],0)</f>
        <v>18</v>
      </c>
      <c r="S3" s="35" t="str">
        <f>InputData[[#This Row],[Col]]&amp;"x"&amp;IF(LEN(InputData[[#This Row],[Alto]])=2,InputData[[#This Row],[Alto]],"0"&amp;InputData[[#This Row],[Alto]])</f>
        <v>3x18</v>
      </c>
    </row>
    <row r="4" spans="1:19" hidden="1" x14ac:dyDescent="0.2">
      <c r="A4" s="35" t="s">
        <v>38</v>
      </c>
      <c r="B4" s="35" t="s">
        <v>250</v>
      </c>
      <c r="C4" s="35" t="s">
        <v>251</v>
      </c>
      <c r="E4" s="35" t="s">
        <v>252</v>
      </c>
      <c r="F4" s="35" t="str">
        <f>LEFT(InputData[[#This Row],[Referencia]],32)</f>
        <v>EDICTO INSCRIPCION DE MARTILLERO</v>
      </c>
      <c r="G4" s="35" t="s">
        <v>245</v>
      </c>
      <c r="H4" s="35" t="s">
        <v>20</v>
      </c>
      <c r="I4" s="37">
        <v>221.31000000000003</v>
      </c>
      <c r="J4" s="35" t="s">
        <v>39</v>
      </c>
      <c r="K4" s="35" t="s">
        <v>246</v>
      </c>
      <c r="M4" s="38">
        <v>0</v>
      </c>
      <c r="N4" s="35" t="s">
        <v>19</v>
      </c>
      <c r="O4" s="36">
        <v>2</v>
      </c>
      <c r="P4" s="39">
        <v>6.0000000015000001</v>
      </c>
      <c r="Q4" s="35" t="str">
        <f>EVALUATE_LOCATION(InputData[[#This Row],[Section]],InputData[[#This Row],[Forma de Pago]],InputData[[#This Row],[Ubic.Pretendida]],InputData[[#This Row],[Nro pag]])</f>
        <v xml:space="preserve"> </v>
      </c>
      <c r="R4" s="35">
        <f>ROUND(InputData[[#This Row],[AltoCm]],0)</f>
        <v>6</v>
      </c>
      <c r="S4" s="35" t="str">
        <f>InputData[[#This Row],[Col]]&amp;"x"&amp;IF(LEN(InputData[[#This Row],[Alto]])=2,InputData[[#This Row],[Alto]],"0"&amp;InputData[[#This Row],[Alto]])</f>
        <v>2x06</v>
      </c>
    </row>
    <row r="5" spans="1:19" hidden="1" x14ac:dyDescent="0.2">
      <c r="A5" s="35" t="s">
        <v>38</v>
      </c>
      <c r="B5" s="35" t="s">
        <v>253</v>
      </c>
      <c r="C5" s="35" t="s">
        <v>254</v>
      </c>
      <c r="E5" s="35" t="s">
        <v>255</v>
      </c>
      <c r="F5" s="35" t="str">
        <f>LEFT(InputData[[#This Row],[Referencia]],32)</f>
        <v>Expte. Nº C-197535/2022 caratula</v>
      </c>
      <c r="G5" s="35" t="s">
        <v>245</v>
      </c>
      <c r="H5" s="35" t="s">
        <v>20</v>
      </c>
      <c r="I5" s="37">
        <v>1383.1833333333334</v>
      </c>
      <c r="J5" s="35" t="s">
        <v>39</v>
      </c>
      <c r="K5" s="35" t="s">
        <v>246</v>
      </c>
      <c r="M5" s="38">
        <v>0</v>
      </c>
      <c r="N5" s="35" t="s">
        <v>19</v>
      </c>
      <c r="O5" s="36">
        <v>3</v>
      </c>
      <c r="P5" s="39">
        <v>24.999999999194447</v>
      </c>
      <c r="Q5" s="35" t="str">
        <f>EVALUATE_LOCATION(InputData[[#This Row],[Section]],InputData[[#This Row],[Forma de Pago]],InputData[[#This Row],[Ubic.Pretendida]],InputData[[#This Row],[Nro pag]])</f>
        <v xml:space="preserve"> </v>
      </c>
      <c r="R5" s="35">
        <f>ROUND(InputData[[#This Row],[AltoCm]],0)</f>
        <v>25</v>
      </c>
      <c r="S5" s="35" t="str">
        <f>InputData[[#This Row],[Col]]&amp;"x"&amp;IF(LEN(InputData[[#This Row],[Alto]])=2,InputData[[#This Row],[Alto]],"0"&amp;InputData[[#This Row],[Alto]])</f>
        <v>3x25</v>
      </c>
    </row>
    <row r="6" spans="1:19" hidden="1" x14ac:dyDescent="0.2">
      <c r="A6" s="35" t="s">
        <v>38</v>
      </c>
      <c r="B6" s="35" t="s">
        <v>256</v>
      </c>
      <c r="C6" s="35" t="s">
        <v>257</v>
      </c>
      <c r="E6" s="35" t="s">
        <v>258</v>
      </c>
      <c r="F6" s="35" t="str">
        <f>LEFT(InputData[[#This Row],[Referencia]],32)</f>
        <v>EDICTO DE CITACION EL DIRECTOR D</v>
      </c>
      <c r="G6" s="35" t="s">
        <v>245</v>
      </c>
      <c r="H6" s="35" t="s">
        <v>20</v>
      </c>
      <c r="I6" s="37">
        <v>553.27333333333331</v>
      </c>
      <c r="J6" s="35" t="s">
        <v>39</v>
      </c>
      <c r="K6" s="35" t="s">
        <v>246</v>
      </c>
      <c r="M6" s="38">
        <v>0</v>
      </c>
      <c r="N6" s="35" t="s">
        <v>19</v>
      </c>
      <c r="O6" s="36">
        <v>2</v>
      </c>
      <c r="P6" s="39">
        <v>15.000000000222226</v>
      </c>
      <c r="Q6" s="35" t="str">
        <f>EVALUATE_LOCATION(InputData[[#This Row],[Section]],InputData[[#This Row],[Forma de Pago]],InputData[[#This Row],[Ubic.Pretendida]],InputData[[#This Row],[Nro pag]])</f>
        <v xml:space="preserve"> </v>
      </c>
      <c r="R6" s="35">
        <f>ROUND(InputData[[#This Row],[AltoCm]],0)</f>
        <v>15</v>
      </c>
      <c r="S6" s="35" t="str">
        <f>InputData[[#This Row],[Col]]&amp;"x"&amp;IF(LEN(InputData[[#This Row],[Alto]])=2,InputData[[#This Row],[Alto]],"0"&amp;InputData[[#This Row],[Alto]])</f>
        <v>2x15</v>
      </c>
    </row>
    <row r="7" spans="1:19" hidden="1" x14ac:dyDescent="0.2">
      <c r="A7" s="35" t="s">
        <v>38</v>
      </c>
      <c r="B7" s="35" t="s">
        <v>259</v>
      </c>
      <c r="C7" s="35" t="s">
        <v>260</v>
      </c>
      <c r="E7" s="35" t="s">
        <v>261</v>
      </c>
      <c r="F7" s="35" t="str">
        <f>LEFT(InputData[[#This Row],[Referencia]],32)</f>
        <v>-------------------------- E D I</v>
      </c>
      <c r="G7" s="35" t="s">
        <v>245</v>
      </c>
      <c r="H7" s="35" t="s">
        <v>20</v>
      </c>
      <c r="I7" s="37">
        <v>737.69666666666672</v>
      </c>
      <c r="J7" s="35" t="s">
        <v>39</v>
      </c>
      <c r="K7" s="35" t="s">
        <v>246</v>
      </c>
      <c r="M7" s="38">
        <v>0</v>
      </c>
      <c r="N7" s="35" t="s">
        <v>19</v>
      </c>
      <c r="O7" s="36">
        <v>2</v>
      </c>
      <c r="P7" s="39">
        <v>20.000000001472223</v>
      </c>
      <c r="Q7" s="35" t="str">
        <f>EVALUATE_LOCATION(InputData[[#This Row],[Section]],InputData[[#This Row],[Forma de Pago]],InputData[[#This Row],[Ubic.Pretendida]],InputData[[#This Row],[Nro pag]])</f>
        <v xml:space="preserve"> </v>
      </c>
      <c r="R7" s="35">
        <f>ROUND(InputData[[#This Row],[AltoCm]],0)</f>
        <v>20</v>
      </c>
      <c r="S7" s="35" t="str">
        <f>InputData[[#This Row],[Col]]&amp;"x"&amp;IF(LEN(InputData[[#This Row],[Alto]])=2,InputData[[#This Row],[Alto]],"0"&amp;InputData[[#This Row],[Alto]])</f>
        <v>2x20</v>
      </c>
    </row>
    <row r="8" spans="1:19" hidden="1" x14ac:dyDescent="0.2">
      <c r="A8" s="35" t="s">
        <v>38</v>
      </c>
      <c r="B8" s="35" t="s">
        <v>262</v>
      </c>
      <c r="C8" s="35" t="s">
        <v>263</v>
      </c>
      <c r="E8" s="35" t="s">
        <v>264</v>
      </c>
      <c r="F8" s="35" t="str">
        <f>LEFT(InputData[[#This Row],[Referencia]],32)</f>
        <v>EDICTO San Salvador de Jujuy, 06</v>
      </c>
      <c r="G8" s="35" t="s">
        <v>245</v>
      </c>
      <c r="H8" s="35" t="s">
        <v>20</v>
      </c>
      <c r="I8" s="37">
        <v>1106.5466666666666</v>
      </c>
      <c r="J8" s="35" t="s">
        <v>39</v>
      </c>
      <c r="K8" s="35" t="s">
        <v>246</v>
      </c>
      <c r="M8" s="38">
        <v>0</v>
      </c>
      <c r="N8" s="35" t="s">
        <v>19</v>
      </c>
      <c r="O8" s="36">
        <v>3</v>
      </c>
      <c r="P8" s="39">
        <v>20.000000001472223</v>
      </c>
      <c r="Q8" s="35" t="str">
        <f>EVALUATE_LOCATION(InputData[[#This Row],[Section]],InputData[[#This Row],[Forma de Pago]],InputData[[#This Row],[Ubic.Pretendida]],InputData[[#This Row],[Nro pag]])</f>
        <v xml:space="preserve"> </v>
      </c>
      <c r="R8" s="35">
        <f>ROUND(InputData[[#This Row],[AltoCm]],0)</f>
        <v>20</v>
      </c>
      <c r="S8" s="35" t="str">
        <f>InputData[[#This Row],[Col]]&amp;"x"&amp;IF(LEN(InputData[[#This Row],[Alto]])=2,InputData[[#This Row],[Alto]],"0"&amp;InputData[[#This Row],[Alto]])</f>
        <v>3x20</v>
      </c>
    </row>
    <row r="9" spans="1:19" hidden="1" x14ac:dyDescent="0.2">
      <c r="A9" s="35" t="s">
        <v>38</v>
      </c>
      <c r="B9" s="35" t="s">
        <v>265</v>
      </c>
      <c r="C9" s="35" t="s">
        <v>266</v>
      </c>
      <c r="E9" s="35" t="s">
        <v>267</v>
      </c>
      <c r="F9" s="35" t="str">
        <f>LEFT(InputData[[#This Row],[Referencia]],32)</f>
        <v>Ref. Expte. Nº B-248190/2011 car</v>
      </c>
      <c r="G9" s="35" t="s">
        <v>245</v>
      </c>
      <c r="H9" s="35" t="s">
        <v>20</v>
      </c>
      <c r="I9" s="37">
        <v>553.27333333333331</v>
      </c>
      <c r="J9" s="35" t="s">
        <v>39</v>
      </c>
      <c r="K9" s="35" t="s">
        <v>246</v>
      </c>
      <c r="M9" s="38">
        <v>0</v>
      </c>
      <c r="N9" s="35" t="s">
        <v>19</v>
      </c>
      <c r="O9" s="36">
        <v>2</v>
      </c>
      <c r="P9" s="39">
        <v>15.000000000222226</v>
      </c>
      <c r="Q9" s="35" t="str">
        <f>EVALUATE_LOCATION(InputData[[#This Row],[Section]],InputData[[#This Row],[Forma de Pago]],InputData[[#This Row],[Ubic.Pretendida]],InputData[[#This Row],[Nro pag]])</f>
        <v xml:space="preserve"> </v>
      </c>
      <c r="R9" s="35">
        <f>ROUND(InputData[[#This Row],[AltoCm]],0)</f>
        <v>15</v>
      </c>
      <c r="S9" s="35" t="str">
        <f>InputData[[#This Row],[Col]]&amp;"x"&amp;IF(LEN(InputData[[#This Row],[Alto]])=2,InputData[[#This Row],[Alto]],"0"&amp;InputData[[#This Row],[Alto]])</f>
        <v>2x15</v>
      </c>
    </row>
    <row r="10" spans="1:19" hidden="1" x14ac:dyDescent="0.2">
      <c r="A10" s="35" t="s">
        <v>38</v>
      </c>
      <c r="B10" s="35" t="s">
        <v>268</v>
      </c>
      <c r="C10" s="35" t="s">
        <v>269</v>
      </c>
      <c r="E10" s="35" t="s">
        <v>270</v>
      </c>
      <c r="F10" s="35" t="str">
        <f>LEFT(InputData[[#This Row],[Referencia]],32)</f>
        <v>EDICTO INSCRIPCION DE MARTILLERO</v>
      </c>
      <c r="G10" s="35" t="s">
        <v>245</v>
      </c>
      <c r="H10" s="35" t="s">
        <v>20</v>
      </c>
      <c r="I10" s="37">
        <v>221.31000000000003</v>
      </c>
      <c r="J10" s="35" t="s">
        <v>39</v>
      </c>
      <c r="K10" s="35" t="s">
        <v>246</v>
      </c>
      <c r="M10" s="38">
        <v>0</v>
      </c>
      <c r="N10" s="35" t="s">
        <v>19</v>
      </c>
      <c r="O10" s="36">
        <v>2</v>
      </c>
      <c r="P10" s="39">
        <v>6.0000000015000001</v>
      </c>
      <c r="Q10" s="35" t="str">
        <f>EVALUATE_LOCATION(InputData[[#This Row],[Section]],InputData[[#This Row],[Forma de Pago]],InputData[[#This Row],[Ubic.Pretendida]],InputData[[#This Row],[Nro pag]])</f>
        <v xml:space="preserve"> </v>
      </c>
      <c r="R10" s="35">
        <f>ROUND(InputData[[#This Row],[AltoCm]],0)</f>
        <v>6</v>
      </c>
      <c r="S10" s="35" t="str">
        <f>InputData[[#This Row],[Col]]&amp;"x"&amp;IF(LEN(InputData[[#This Row],[Alto]])=2,InputData[[#This Row],[Alto]],"0"&amp;InputData[[#This Row],[Alto]])</f>
        <v>2x06</v>
      </c>
    </row>
    <row r="11" spans="1:19" hidden="1" x14ac:dyDescent="0.2">
      <c r="A11" s="35" t="s">
        <v>38</v>
      </c>
      <c r="B11" s="35" t="s">
        <v>175</v>
      </c>
      <c r="C11" s="35" t="s">
        <v>176</v>
      </c>
      <c r="E11" s="35" t="s">
        <v>177</v>
      </c>
      <c r="F11" s="35" t="str">
        <f>LEFT(InputData[[#This Row],[Referencia]],32)</f>
        <v xml:space="preserve">  CON LOGO  Colegio de Profesion</v>
      </c>
      <c r="G11" s="35" t="s">
        <v>123</v>
      </c>
      <c r="H11" s="35" t="s">
        <v>20</v>
      </c>
      <c r="I11" s="37">
        <v>1033.22</v>
      </c>
      <c r="J11" s="35" t="s">
        <v>39</v>
      </c>
      <c r="K11" s="35" t="s">
        <v>124</v>
      </c>
      <c r="M11" s="38">
        <v>0</v>
      </c>
      <c r="N11" s="35" t="s">
        <v>19</v>
      </c>
      <c r="O11" s="36">
        <v>2</v>
      </c>
      <c r="P11" s="39">
        <v>11.999999999472221</v>
      </c>
      <c r="Q11" s="35" t="str">
        <f>EVALUATE_LOCATION(InputData[[#This Row],[Section]],InputData[[#This Row],[Forma de Pago]],InputData[[#This Row],[Ubic.Pretendida]],InputData[[#This Row],[Nro pag]])</f>
        <v xml:space="preserve"> </v>
      </c>
      <c r="R11" s="35">
        <f>ROUND(InputData[[#This Row],[AltoCm]],0)</f>
        <v>12</v>
      </c>
      <c r="S11" s="35" t="str">
        <f>InputData[[#This Row],[Col]]&amp;"x"&amp;IF(LEN(InputData[[#This Row],[Alto]])=2,InputData[[#This Row],[Alto]],"0"&amp;InputData[[#This Row],[Alto]])</f>
        <v>2x12</v>
      </c>
    </row>
    <row r="12" spans="1:19" hidden="1" x14ac:dyDescent="0.2">
      <c r="A12" s="35" t="s">
        <v>38</v>
      </c>
      <c r="B12" s="35" t="s">
        <v>178</v>
      </c>
      <c r="C12" s="35" t="s">
        <v>179</v>
      </c>
      <c r="E12" s="35" t="s">
        <v>180</v>
      </c>
      <c r="F12" s="35" t="str">
        <f>LEFT(InputData[[#This Row],[Referencia]],32)</f>
        <v>ASAMBLEA ORDINARIA             E</v>
      </c>
      <c r="G12" s="35" t="s">
        <v>123</v>
      </c>
      <c r="H12" s="35" t="s">
        <v>20</v>
      </c>
      <c r="I12" s="37">
        <v>861.01666666666654</v>
      </c>
      <c r="J12" s="35" t="s">
        <v>39</v>
      </c>
      <c r="K12" s="35" t="s">
        <v>124</v>
      </c>
      <c r="M12" s="38">
        <v>0</v>
      </c>
      <c r="N12" s="35" t="s">
        <v>19</v>
      </c>
      <c r="O12" s="36">
        <v>2</v>
      </c>
      <c r="P12" s="39">
        <v>9.999999998972223</v>
      </c>
      <c r="Q12" s="35" t="str">
        <f>EVALUATE_LOCATION(InputData[[#This Row],[Section]],InputData[[#This Row],[Forma de Pago]],InputData[[#This Row],[Ubic.Pretendida]],InputData[[#This Row],[Nro pag]])</f>
        <v xml:space="preserve"> </v>
      </c>
      <c r="R12" s="35">
        <f>ROUND(InputData[[#This Row],[AltoCm]],0)</f>
        <v>10</v>
      </c>
      <c r="S12" s="35" t="str">
        <f>InputData[[#This Row],[Col]]&amp;"x"&amp;IF(LEN(InputData[[#This Row],[Alto]])=2,InputData[[#This Row],[Alto]],"0"&amp;InputData[[#This Row],[Alto]])</f>
        <v>2x10</v>
      </c>
    </row>
    <row r="13" spans="1:19" hidden="1" x14ac:dyDescent="0.2">
      <c r="A13" s="35" t="s">
        <v>38</v>
      </c>
      <c r="B13" s="35" t="s">
        <v>221</v>
      </c>
      <c r="C13" s="35" t="s">
        <v>181</v>
      </c>
      <c r="E13" s="35" t="s">
        <v>182</v>
      </c>
      <c r="F13" s="35" t="str">
        <f>LEFT(InputData[[#This Row],[Referencia]],32)</f>
        <v xml:space="preserve">CENTRO VECINAL B° SANTA BÁRBARA </v>
      </c>
      <c r="G13" s="35" t="s">
        <v>123</v>
      </c>
      <c r="H13" s="35" t="s">
        <v>20</v>
      </c>
      <c r="I13" s="37">
        <v>774.91499999999996</v>
      </c>
      <c r="J13" s="35" t="s">
        <v>39</v>
      </c>
      <c r="K13" s="35" t="s">
        <v>124</v>
      </c>
      <c r="M13" s="38">
        <v>0</v>
      </c>
      <c r="N13" s="35" t="s">
        <v>19</v>
      </c>
      <c r="O13" s="36">
        <v>2</v>
      </c>
      <c r="P13" s="39">
        <v>11.999999999472221</v>
      </c>
      <c r="Q13" s="35" t="str">
        <f>EVALUATE_LOCATION(InputData[[#This Row],[Section]],InputData[[#This Row],[Forma de Pago]],InputData[[#This Row],[Ubic.Pretendida]],InputData[[#This Row],[Nro pag]])</f>
        <v xml:space="preserve"> </v>
      </c>
      <c r="R13" s="35">
        <f>ROUND(InputData[[#This Row],[AltoCm]],0)</f>
        <v>12</v>
      </c>
      <c r="S13" s="35" t="str">
        <f>InputData[[#This Row],[Col]]&amp;"x"&amp;IF(LEN(InputData[[#This Row],[Alto]])=2,InputData[[#This Row],[Alto]],"0"&amp;InputData[[#This Row],[Alto]])</f>
        <v>2x12</v>
      </c>
    </row>
    <row r="14" spans="1:19" hidden="1" x14ac:dyDescent="0.2">
      <c r="A14" s="35" t="s">
        <v>38</v>
      </c>
      <c r="B14" s="35" t="s">
        <v>92</v>
      </c>
      <c r="C14" s="35" t="s">
        <v>93</v>
      </c>
      <c r="D14" s="35" t="s">
        <v>94</v>
      </c>
      <c r="E14" s="35" t="s">
        <v>95</v>
      </c>
      <c r="F14" s="35" t="str">
        <f>LEFT(InputData[[#This Row],[Referencia]],32)</f>
        <v>BUSQUEDA LABORAL  ARQUITECTO</v>
      </c>
      <c r="G14" s="35" t="s">
        <v>41</v>
      </c>
      <c r="H14" s="35" t="s">
        <v>40</v>
      </c>
      <c r="I14" s="37">
        <v>1564.6070000000002</v>
      </c>
      <c r="J14" s="35" t="s">
        <v>9</v>
      </c>
      <c r="K14" s="35" t="s">
        <v>42</v>
      </c>
      <c r="M14" s="38">
        <v>0</v>
      </c>
      <c r="N14" s="35" t="s">
        <v>19</v>
      </c>
      <c r="O14" s="36">
        <v>2</v>
      </c>
      <c r="P14" s="39">
        <v>12.999999999722222</v>
      </c>
      <c r="Q14" s="35" t="str">
        <f>EVALUATE_LOCATION(InputData[[#This Row],[Section]],InputData[[#This Row],[Forma de Pago]],InputData[[#This Row],[Ubic.Pretendida]],InputData[[#This Row],[Nro pag]])</f>
        <v xml:space="preserve"> </v>
      </c>
      <c r="R14" s="35">
        <f>ROUND(InputData[[#This Row],[AltoCm]],0)</f>
        <v>13</v>
      </c>
      <c r="S14" s="35" t="str">
        <f>InputData[[#This Row],[Col]]&amp;"x"&amp;IF(LEN(InputData[[#This Row],[Alto]])=2,InputData[[#This Row],[Alto]],"0"&amp;InputData[[#This Row],[Alto]])</f>
        <v>2x13</v>
      </c>
    </row>
    <row r="15" spans="1:19" hidden="1" x14ac:dyDescent="0.2">
      <c r="A15" s="35" t="s">
        <v>38</v>
      </c>
      <c r="B15" s="35" t="s">
        <v>125</v>
      </c>
      <c r="C15" s="35" t="s">
        <v>126</v>
      </c>
      <c r="E15" s="35" t="s">
        <v>127</v>
      </c>
      <c r="F15" s="35" t="str">
        <f>LEFT(InputData[[#This Row],[Referencia]],32)</f>
        <v>COSEJERO y HECHICERO DEL AMOR JA</v>
      </c>
      <c r="G15" s="35" t="s">
        <v>41</v>
      </c>
      <c r="H15" s="35" t="s">
        <v>20</v>
      </c>
      <c r="I15" s="37">
        <v>588.0146666666667</v>
      </c>
      <c r="J15" s="35" t="s">
        <v>39</v>
      </c>
      <c r="K15" s="35" t="s">
        <v>42</v>
      </c>
      <c r="M15" s="38">
        <v>0</v>
      </c>
      <c r="N15" s="35" t="s">
        <v>19</v>
      </c>
      <c r="O15" s="36">
        <v>3</v>
      </c>
      <c r="P15" s="39">
        <v>5.0000000012500001</v>
      </c>
      <c r="Q15" s="35" t="str">
        <f>EVALUATE_LOCATION(InputData[[#This Row],[Section]],InputData[[#This Row],[Forma de Pago]],InputData[[#This Row],[Ubic.Pretendida]],InputData[[#This Row],[Nro pag]])</f>
        <v xml:space="preserve"> </v>
      </c>
      <c r="R15" s="35">
        <f>ROUND(InputData[[#This Row],[AltoCm]],0)</f>
        <v>5</v>
      </c>
      <c r="S15" s="35" t="str">
        <f>InputData[[#This Row],[Col]]&amp;"x"&amp;IF(LEN(InputData[[#This Row],[Alto]])=2,InputData[[#This Row],[Alto]],"0"&amp;InputData[[#This Row],[Alto]])</f>
        <v>3x05</v>
      </c>
    </row>
    <row r="16" spans="1:19" hidden="1" x14ac:dyDescent="0.2">
      <c r="A16" s="35" t="s">
        <v>38</v>
      </c>
      <c r="B16" s="35" t="s">
        <v>128</v>
      </c>
      <c r="C16" s="35" t="s">
        <v>129</v>
      </c>
      <c r="E16" s="35" t="s">
        <v>130</v>
      </c>
      <c r="F16" s="35" t="str">
        <f>LEFT(InputData[[#This Row],[Referencia]],32)</f>
        <v>PRESTAMOS POR EMPEÑO (AVISO ARMA</v>
      </c>
      <c r="G16" s="35" t="s">
        <v>41</v>
      </c>
      <c r="H16" s="35" t="s">
        <v>20</v>
      </c>
      <c r="I16" s="37">
        <v>1444.2526666666668</v>
      </c>
      <c r="J16" s="35" t="s">
        <v>9</v>
      </c>
      <c r="K16" s="35" t="s">
        <v>42</v>
      </c>
      <c r="M16" s="38">
        <v>0</v>
      </c>
      <c r="N16" s="35" t="s">
        <v>19</v>
      </c>
      <c r="O16" s="36">
        <v>2</v>
      </c>
      <c r="P16" s="39">
        <v>11.999999999472221</v>
      </c>
      <c r="Q16" s="35" t="str">
        <f>EVALUATE_LOCATION(InputData[[#This Row],[Section]],InputData[[#This Row],[Forma de Pago]],InputData[[#This Row],[Ubic.Pretendida]],InputData[[#This Row],[Nro pag]])</f>
        <v xml:space="preserve"> </v>
      </c>
      <c r="R16" s="35">
        <f>ROUND(InputData[[#This Row],[AltoCm]],0)</f>
        <v>12</v>
      </c>
      <c r="S16" s="35" t="str">
        <f>InputData[[#This Row],[Col]]&amp;"x"&amp;IF(LEN(InputData[[#This Row],[Alto]])=2,InputData[[#This Row],[Alto]],"0"&amp;InputData[[#This Row],[Alto]])</f>
        <v>2x12</v>
      </c>
    </row>
    <row r="17" spans="1:19" hidden="1" x14ac:dyDescent="0.2">
      <c r="A17" s="35" t="s">
        <v>38</v>
      </c>
      <c r="B17" s="35" t="s">
        <v>131</v>
      </c>
      <c r="C17" s="35" t="s">
        <v>132</v>
      </c>
      <c r="E17" s="35" t="s">
        <v>133</v>
      </c>
      <c r="F17" s="35" t="str">
        <f>LEFT(InputData[[#This Row],[Referencia]],32)</f>
        <v>ELENA - ESPIRITISTA</v>
      </c>
      <c r="G17" s="35" t="s">
        <v>41</v>
      </c>
      <c r="H17" s="35" t="s">
        <v>20</v>
      </c>
      <c r="I17" s="37">
        <v>560.01428571428573</v>
      </c>
      <c r="J17" s="35" t="s">
        <v>39</v>
      </c>
      <c r="K17" s="35" t="s">
        <v>42</v>
      </c>
      <c r="M17" s="38">
        <v>0</v>
      </c>
      <c r="N17" s="35" t="s">
        <v>19</v>
      </c>
      <c r="O17" s="36">
        <v>2</v>
      </c>
      <c r="P17" s="39">
        <v>7.0000000017499984</v>
      </c>
      <c r="Q17" s="35" t="str">
        <f>EVALUATE_LOCATION(InputData[[#This Row],[Section]],InputData[[#This Row],[Forma de Pago]],InputData[[#This Row],[Ubic.Pretendida]],InputData[[#This Row],[Nro pag]])</f>
        <v xml:space="preserve"> </v>
      </c>
      <c r="R17" s="35">
        <f>ROUND(InputData[[#This Row],[AltoCm]],0)</f>
        <v>7</v>
      </c>
      <c r="S17" s="35" t="str">
        <f>InputData[[#This Row],[Col]]&amp;"x"&amp;IF(LEN(InputData[[#This Row],[Alto]])=2,InputData[[#This Row],[Alto]],"0"&amp;InputData[[#This Row],[Alto]])</f>
        <v>2x07</v>
      </c>
    </row>
    <row r="18" spans="1:19" hidden="1" x14ac:dyDescent="0.2">
      <c r="A18" s="35" t="s">
        <v>38</v>
      </c>
      <c r="B18" s="35" t="s">
        <v>183</v>
      </c>
      <c r="C18" s="35" t="s">
        <v>184</v>
      </c>
      <c r="E18" s="35" t="s">
        <v>185</v>
      </c>
      <c r="F18" s="35" t="str">
        <f>LEFT(InputData[[#This Row],[Referencia]],32)</f>
        <v>ESTUDIE ITALIANO ASOC. DANTE ALI</v>
      </c>
      <c r="G18" s="35" t="s">
        <v>41</v>
      </c>
      <c r="H18" s="35" t="s">
        <v>20</v>
      </c>
      <c r="I18" s="37">
        <v>630.01499999999999</v>
      </c>
      <c r="J18" s="35" t="s">
        <v>39</v>
      </c>
      <c r="K18" s="35" t="s">
        <v>42</v>
      </c>
      <c r="M18" s="38">
        <v>0</v>
      </c>
      <c r="N18" s="35" t="s">
        <v>19</v>
      </c>
      <c r="O18" s="36">
        <v>3</v>
      </c>
      <c r="P18" s="39">
        <v>5.0000000012500001</v>
      </c>
      <c r="Q18" s="35" t="str">
        <f>EVALUATE_LOCATION(InputData[[#This Row],[Section]],InputData[[#This Row],[Forma de Pago]],InputData[[#This Row],[Ubic.Pretendida]],InputData[[#This Row],[Nro pag]])</f>
        <v xml:space="preserve"> </v>
      </c>
      <c r="R18" s="35">
        <f>ROUND(InputData[[#This Row],[AltoCm]],0)</f>
        <v>5</v>
      </c>
      <c r="S18" s="35" t="str">
        <f>InputData[[#This Row],[Col]]&amp;"x"&amp;IF(LEN(InputData[[#This Row],[Alto]])=2,InputData[[#This Row],[Alto]],"0"&amp;InputData[[#This Row],[Alto]])</f>
        <v>3x05</v>
      </c>
    </row>
    <row r="19" spans="1:19" hidden="1" x14ac:dyDescent="0.2">
      <c r="A19" s="35" t="s">
        <v>38</v>
      </c>
      <c r="B19" s="35" t="s">
        <v>147</v>
      </c>
      <c r="C19" s="35" t="s">
        <v>148</v>
      </c>
      <c r="E19" s="35" t="s">
        <v>149</v>
      </c>
      <c r="F19" s="35" t="str">
        <f>LEFT(InputData[[#This Row],[Referencia]],32)</f>
        <v>SAE VENDE MASTER RENAULT 2008, t</v>
      </c>
      <c r="G19" s="35" t="s">
        <v>41</v>
      </c>
      <c r="H19" s="35" t="s">
        <v>20</v>
      </c>
      <c r="I19" s="37">
        <v>560.01428571428573</v>
      </c>
      <c r="J19" s="35" t="s">
        <v>39</v>
      </c>
      <c r="K19" s="35" t="s">
        <v>42</v>
      </c>
      <c r="M19" s="38">
        <v>0</v>
      </c>
      <c r="N19" s="35" t="s">
        <v>19</v>
      </c>
      <c r="O19" s="36">
        <v>2</v>
      </c>
      <c r="P19" s="39">
        <v>7.0000000017499984</v>
      </c>
      <c r="Q19" s="35" t="str">
        <f>EVALUATE_LOCATION(InputData[[#This Row],[Section]],InputData[[#This Row],[Forma de Pago]],InputData[[#This Row],[Ubic.Pretendida]],InputData[[#This Row],[Nro pag]])</f>
        <v xml:space="preserve"> </v>
      </c>
      <c r="R19" s="35">
        <f>ROUND(InputData[[#This Row],[AltoCm]],0)</f>
        <v>7</v>
      </c>
      <c r="S19" s="35" t="str">
        <f>InputData[[#This Row],[Col]]&amp;"x"&amp;IF(LEN(InputData[[#This Row],[Alto]])=2,InputData[[#This Row],[Alto]],"0"&amp;InputData[[#This Row],[Alto]])</f>
        <v>2x07</v>
      </c>
    </row>
    <row r="20" spans="1:19" hidden="1" x14ac:dyDescent="0.2">
      <c r="A20" s="35" t="s">
        <v>38</v>
      </c>
      <c r="B20" s="35" t="s">
        <v>186</v>
      </c>
      <c r="C20" s="35" t="s">
        <v>154</v>
      </c>
      <c r="D20" s="35" t="s">
        <v>155</v>
      </c>
      <c r="E20" s="35" t="s">
        <v>154</v>
      </c>
      <c r="F20" s="35" t="str">
        <f>LEFT(InputData[[#This Row],[Referencia]],32)</f>
        <v>EMILIO AUTOMOTORES</v>
      </c>
      <c r="G20" s="35" t="s">
        <v>41</v>
      </c>
      <c r="H20" s="35" t="s">
        <v>40</v>
      </c>
      <c r="I20" s="37">
        <v>1310.5256666666667</v>
      </c>
      <c r="J20" s="35" t="s">
        <v>39</v>
      </c>
      <c r="K20" s="35" t="s">
        <v>42</v>
      </c>
      <c r="M20" s="38">
        <v>0</v>
      </c>
      <c r="N20" s="35" t="s">
        <v>19</v>
      </c>
      <c r="O20" s="36">
        <v>7</v>
      </c>
      <c r="P20" s="39">
        <v>4.0000000010000001</v>
      </c>
      <c r="Q20" s="35" t="str">
        <f>EVALUATE_LOCATION(InputData[[#This Row],[Section]],InputData[[#This Row],[Forma de Pago]],InputData[[#This Row],[Ubic.Pretendida]],InputData[[#This Row],[Nro pag]])</f>
        <v xml:space="preserve"> </v>
      </c>
      <c r="R20" s="35">
        <f>ROUND(InputData[[#This Row],[AltoCm]],0)</f>
        <v>4</v>
      </c>
      <c r="S20" s="35" t="str">
        <f>InputData[[#This Row],[Col]]&amp;"x"&amp;IF(LEN(InputData[[#This Row],[Alto]])=2,InputData[[#This Row],[Alto]],"0"&amp;InputData[[#This Row],[Alto]])</f>
        <v>7x04</v>
      </c>
    </row>
    <row r="21" spans="1:19" hidden="1" x14ac:dyDescent="0.2">
      <c r="A21" s="35" t="s">
        <v>38</v>
      </c>
      <c r="B21" s="35" t="s">
        <v>187</v>
      </c>
      <c r="C21" s="35" t="s">
        <v>90</v>
      </c>
      <c r="D21" s="35" t="s">
        <v>188</v>
      </c>
      <c r="E21" s="35" t="s">
        <v>91</v>
      </c>
      <c r="F21" s="35" t="str">
        <f>LEFT(InputData[[#This Row],[Referencia]],32)</f>
        <v>CARMEN UNA VIDENTE</v>
      </c>
      <c r="G21" s="35" t="s">
        <v>41</v>
      </c>
      <c r="H21" s="35" t="s">
        <v>40</v>
      </c>
      <c r="I21" s="37">
        <v>313.608</v>
      </c>
      <c r="J21" s="35" t="s">
        <v>39</v>
      </c>
      <c r="K21" s="35" t="s">
        <v>42</v>
      </c>
      <c r="M21" s="38">
        <v>0</v>
      </c>
      <c r="N21" s="35" t="s">
        <v>19</v>
      </c>
      <c r="O21" s="36">
        <v>2</v>
      </c>
      <c r="P21" s="39">
        <v>4.0000000010000001</v>
      </c>
      <c r="Q21" s="35" t="str">
        <f>EVALUATE_LOCATION(InputData[[#This Row],[Section]],InputData[[#This Row],[Forma de Pago]],InputData[[#This Row],[Ubic.Pretendida]],InputData[[#This Row],[Nro pag]])</f>
        <v xml:space="preserve"> </v>
      </c>
      <c r="R21" s="35">
        <f>ROUND(InputData[[#This Row],[AltoCm]],0)</f>
        <v>4</v>
      </c>
      <c r="S21" s="35" t="str">
        <f>InputData[[#This Row],[Col]]&amp;"x"&amp;IF(LEN(InputData[[#This Row],[Alto]])=2,InputData[[#This Row],[Alto]],"0"&amp;InputData[[#This Row],[Alto]])</f>
        <v>2x04</v>
      </c>
    </row>
    <row r="22" spans="1:19" hidden="1" x14ac:dyDescent="0.2">
      <c r="A22" s="35" t="s">
        <v>38</v>
      </c>
      <c r="B22" s="35" t="s">
        <v>271</v>
      </c>
      <c r="C22" s="35" t="s">
        <v>222</v>
      </c>
      <c r="E22" s="35" t="s">
        <v>223</v>
      </c>
      <c r="F22" s="35" t="str">
        <f>LEFT(InputData[[#This Row],[Referencia]],32)</f>
        <v>/////////////////JESUS TAROT////</v>
      </c>
      <c r="G22" s="35" t="s">
        <v>41</v>
      </c>
      <c r="H22" s="35" t="s">
        <v>20</v>
      </c>
      <c r="I22" s="37">
        <v>588.0145</v>
      </c>
      <c r="J22" s="35" t="s">
        <v>39</v>
      </c>
      <c r="K22" s="35" t="s">
        <v>42</v>
      </c>
      <c r="M22" s="38">
        <v>0</v>
      </c>
      <c r="N22" s="35" t="s">
        <v>19</v>
      </c>
      <c r="O22" s="36">
        <v>3</v>
      </c>
      <c r="P22" s="39">
        <v>5.0000000012500001</v>
      </c>
      <c r="Q22" s="35" t="str">
        <f>EVALUATE_LOCATION(InputData[[#This Row],[Section]],InputData[[#This Row],[Forma de Pago]],InputData[[#This Row],[Ubic.Pretendida]],InputData[[#This Row],[Nro pag]])</f>
        <v xml:space="preserve"> </v>
      </c>
      <c r="R22" s="35">
        <f>ROUND(InputData[[#This Row],[AltoCm]],0)</f>
        <v>5</v>
      </c>
      <c r="S22" s="35" t="str">
        <f>InputData[[#This Row],[Col]]&amp;"x"&amp;IF(LEN(InputData[[#This Row],[Alto]])=2,InputData[[#This Row],[Alto]],"0"&amp;InputData[[#This Row],[Alto]])</f>
        <v>3x05</v>
      </c>
    </row>
    <row r="23" spans="1:19" hidden="1" x14ac:dyDescent="0.2">
      <c r="A23" s="35" t="s">
        <v>38</v>
      </c>
      <c r="B23" s="35" t="s">
        <v>224</v>
      </c>
      <c r="C23" s="35" t="s">
        <v>225</v>
      </c>
      <c r="E23" s="35" t="s">
        <v>226</v>
      </c>
      <c r="F23" s="35" t="str">
        <f>LEFT(InputData[[#This Row],[Referencia]],32)</f>
        <v>DANIEL VIDENTE DE LO MÁS SORPREN</v>
      </c>
      <c r="G23" s="35" t="s">
        <v>41</v>
      </c>
      <c r="H23" s="35" t="s">
        <v>20</v>
      </c>
      <c r="I23" s="37">
        <v>560.01428571428573</v>
      </c>
      <c r="J23" s="35" t="s">
        <v>39</v>
      </c>
      <c r="K23" s="35" t="s">
        <v>42</v>
      </c>
      <c r="M23" s="38">
        <v>0</v>
      </c>
      <c r="N23" s="35" t="s">
        <v>19</v>
      </c>
      <c r="O23" s="36">
        <v>2</v>
      </c>
      <c r="P23" s="39">
        <v>5.0000000012500001</v>
      </c>
      <c r="Q23" s="35" t="str">
        <f>EVALUATE_LOCATION(InputData[[#This Row],[Section]],InputData[[#This Row],[Forma de Pago]],InputData[[#This Row],[Ubic.Pretendida]],InputData[[#This Row],[Nro pag]])</f>
        <v xml:space="preserve"> </v>
      </c>
      <c r="R23" s="35">
        <f>ROUND(InputData[[#This Row],[AltoCm]],0)</f>
        <v>5</v>
      </c>
      <c r="S23" s="35" t="str">
        <f>InputData[[#This Row],[Col]]&amp;"x"&amp;IF(LEN(InputData[[#This Row],[Alto]])=2,InputData[[#This Row],[Alto]],"0"&amp;InputData[[#This Row],[Alto]])</f>
        <v>2x05</v>
      </c>
    </row>
    <row r="24" spans="1:19" hidden="1" x14ac:dyDescent="0.2">
      <c r="A24" s="35" t="s">
        <v>21</v>
      </c>
      <c r="B24" s="35" t="s">
        <v>272</v>
      </c>
      <c r="C24" s="35" t="s">
        <v>77</v>
      </c>
      <c r="D24" s="35" t="s">
        <v>273</v>
      </c>
      <c r="E24" s="35" t="s">
        <v>274</v>
      </c>
      <c r="F24" s="35" t="str">
        <f>LEFT(InputData[[#This Row],[Referencia]],32)</f>
        <v>FM JUJUY UN DIA PERFECTO</v>
      </c>
      <c r="G24" s="35" t="s">
        <v>22</v>
      </c>
      <c r="H24" s="35" t="s">
        <v>56</v>
      </c>
      <c r="I24" s="37">
        <v>3279.5</v>
      </c>
      <c r="J24" s="35" t="s">
        <v>9</v>
      </c>
      <c r="K24" s="35" t="s">
        <v>30</v>
      </c>
      <c r="L24" s="35" t="s">
        <v>30</v>
      </c>
      <c r="M24" s="38">
        <v>25</v>
      </c>
      <c r="N24" s="35" t="s">
        <v>19</v>
      </c>
      <c r="O24" s="36">
        <v>3</v>
      </c>
      <c r="P24" s="39">
        <v>9.8777777777777782</v>
      </c>
      <c r="Q24" s="35" t="str">
        <f>EVALUATE_LOCATION(InputData[[#This Row],[Section]],InputData[[#This Row],[Forma de Pago]],InputData[[#This Row],[Ubic.Pretendida]],InputData[[#This Row],[Nro pag]])</f>
        <v xml:space="preserve"> </v>
      </c>
      <c r="R24" s="35">
        <f>ROUND(InputData[[#This Row],[AltoCm]],0)</f>
        <v>10</v>
      </c>
      <c r="S24" s="35" t="str">
        <f>InputData[[#This Row],[Col]]&amp;"x"&amp;IF(LEN(InputData[[#This Row],[Alto]])=2,InputData[[#This Row],[Alto]],"0"&amp;InputData[[#This Row],[Alto]])</f>
        <v>3x10</v>
      </c>
    </row>
    <row r="25" spans="1:19" hidden="1" x14ac:dyDescent="0.2">
      <c r="A25" s="35" t="s">
        <v>21</v>
      </c>
      <c r="B25" s="35" t="s">
        <v>275</v>
      </c>
      <c r="C25" s="35" t="s">
        <v>276</v>
      </c>
      <c r="E25" s="35" t="s">
        <v>277</v>
      </c>
      <c r="F25" s="35" t="str">
        <f>LEFT(InputData[[#This Row],[Referencia]],32)</f>
        <v>VALERZA PUBLICIDAD</v>
      </c>
      <c r="G25" s="35" t="s">
        <v>22</v>
      </c>
      <c r="H25" s="35" t="s">
        <v>20</v>
      </c>
      <c r="I25" s="37">
        <v>2186.33</v>
      </c>
      <c r="J25" s="35" t="s">
        <v>9</v>
      </c>
      <c r="K25" s="35" t="s">
        <v>30</v>
      </c>
      <c r="L25" s="35" t="s">
        <v>30</v>
      </c>
      <c r="M25" s="38">
        <v>25</v>
      </c>
      <c r="N25" s="35" t="s">
        <v>19</v>
      </c>
      <c r="O25" s="36">
        <v>2</v>
      </c>
      <c r="P25" s="39">
        <v>9.8777777777777782</v>
      </c>
      <c r="Q25" s="35" t="str">
        <f>EVALUATE_LOCATION(InputData[[#This Row],[Section]],InputData[[#This Row],[Forma de Pago]],InputData[[#This Row],[Ubic.Pretendida]],InputData[[#This Row],[Nro pag]])</f>
        <v xml:space="preserve"> </v>
      </c>
      <c r="R25" s="35">
        <f>ROUND(InputData[[#This Row],[AltoCm]],0)</f>
        <v>10</v>
      </c>
      <c r="S25" s="35" t="str">
        <f>InputData[[#This Row],[Col]]&amp;"x"&amp;IF(LEN(InputData[[#This Row],[Alto]])=2,InputData[[#This Row],[Alto]],"0"&amp;InputData[[#This Row],[Alto]])</f>
        <v>2x10</v>
      </c>
    </row>
    <row r="26" spans="1:19" hidden="1" x14ac:dyDescent="0.2">
      <c r="A26" s="35" t="s">
        <v>21</v>
      </c>
      <c r="B26" s="35" t="s">
        <v>278</v>
      </c>
      <c r="C26" s="35" t="s">
        <v>276</v>
      </c>
      <c r="D26" s="35" t="s">
        <v>279</v>
      </c>
      <c r="E26" s="35" t="s">
        <v>277</v>
      </c>
      <c r="F26" s="35" t="str">
        <f>LEFT(InputData[[#This Row],[Referencia]],32)</f>
        <v>VALERZA PUBLICIDAD</v>
      </c>
      <c r="G26" s="35" t="s">
        <v>22</v>
      </c>
      <c r="H26" s="35" t="s">
        <v>40</v>
      </c>
      <c r="I26" s="37">
        <v>2186.33</v>
      </c>
      <c r="J26" s="35" t="s">
        <v>9</v>
      </c>
      <c r="K26" s="35" t="s">
        <v>30</v>
      </c>
      <c r="M26" s="38">
        <v>0</v>
      </c>
      <c r="N26" s="35" t="s">
        <v>19</v>
      </c>
      <c r="O26" s="36">
        <v>2</v>
      </c>
      <c r="P26" s="39">
        <v>9.8777777777777782</v>
      </c>
      <c r="Q26" s="35" t="str">
        <f>EVALUATE_LOCATION(InputData[[#This Row],[Section]],InputData[[#This Row],[Forma de Pago]],InputData[[#This Row],[Ubic.Pretendida]],InputData[[#This Row],[Nro pag]])</f>
        <v>&gt;DIFIERE&lt;</v>
      </c>
      <c r="R26" s="35">
        <f>ROUND(InputData[[#This Row],[AltoCm]],0)</f>
        <v>10</v>
      </c>
      <c r="S26" s="35" t="str">
        <f>InputData[[#This Row],[Col]]&amp;"x"&amp;IF(LEN(InputData[[#This Row],[Alto]])=2,InputData[[#This Row],[Alto]],"0"&amp;InputData[[#This Row],[Alto]])</f>
        <v>2x10</v>
      </c>
    </row>
    <row r="27" spans="1:19" hidden="1" x14ac:dyDescent="0.2">
      <c r="A27" s="35" t="s">
        <v>21</v>
      </c>
      <c r="B27" s="35" t="s">
        <v>227</v>
      </c>
      <c r="C27" s="35" t="s">
        <v>156</v>
      </c>
      <c r="E27" s="35" t="s">
        <v>157</v>
      </c>
      <c r="F27" s="35" t="str">
        <f>LEFT(InputData[[#This Row],[Referencia]],32)</f>
        <v>EDICTO DE COMPROMISO PREVIO DE F</v>
      </c>
      <c r="G27" s="35" t="s">
        <v>22</v>
      </c>
      <c r="H27" s="35" t="s">
        <v>20</v>
      </c>
      <c r="I27" s="37">
        <v>15843</v>
      </c>
      <c r="J27" s="35" t="s">
        <v>39</v>
      </c>
      <c r="K27" s="35" t="s">
        <v>30</v>
      </c>
      <c r="L27" s="35" t="s">
        <v>30</v>
      </c>
      <c r="M27" s="38">
        <v>20</v>
      </c>
      <c r="N27" s="35" t="s">
        <v>19</v>
      </c>
      <c r="O27" s="36">
        <v>5</v>
      </c>
      <c r="P27" s="39">
        <v>34.769777777777783</v>
      </c>
      <c r="Q27" s="35" t="str">
        <f>EVALUATE_LOCATION(InputData[[#This Row],[Section]],InputData[[#This Row],[Forma de Pago]],InputData[[#This Row],[Ubic.Pretendida]],InputData[[#This Row],[Nro pag]])</f>
        <v xml:space="preserve"> </v>
      </c>
      <c r="R27" s="35">
        <f>ROUND(InputData[[#This Row],[AltoCm]],0)</f>
        <v>35</v>
      </c>
      <c r="S27" s="35" t="str">
        <f>InputData[[#This Row],[Col]]&amp;"x"&amp;IF(LEN(InputData[[#This Row],[Alto]])=2,InputData[[#This Row],[Alto]],"0"&amp;InputData[[#This Row],[Alto]])</f>
        <v>5x35</v>
      </c>
    </row>
    <row r="28" spans="1:19" hidden="1" x14ac:dyDescent="0.2">
      <c r="A28" s="35" t="s">
        <v>21</v>
      </c>
      <c r="B28" s="35" t="s">
        <v>189</v>
      </c>
      <c r="C28" s="35" t="s">
        <v>53</v>
      </c>
      <c r="D28" s="35" t="s">
        <v>54</v>
      </c>
      <c r="E28" s="35" t="s">
        <v>190</v>
      </c>
      <c r="F28" s="35" t="str">
        <f>LEFT(InputData[[#This Row],[Referencia]],32)</f>
        <v>TOMBOLA... ABRIL 2023</v>
      </c>
      <c r="G28" s="35" t="s">
        <v>55</v>
      </c>
      <c r="H28" s="35" t="s">
        <v>40</v>
      </c>
      <c r="I28" s="37">
        <v>108538.46</v>
      </c>
      <c r="J28" s="35" t="s">
        <v>9</v>
      </c>
      <c r="K28" s="35" t="s">
        <v>30</v>
      </c>
      <c r="L28" s="35" t="s">
        <v>30</v>
      </c>
      <c r="M28" s="38">
        <v>19</v>
      </c>
      <c r="N28" s="35" t="s">
        <v>49</v>
      </c>
      <c r="O28" s="36">
        <v>5</v>
      </c>
      <c r="P28" s="39">
        <v>17.000000000722224</v>
      </c>
      <c r="Q28" s="35" t="str">
        <f>EVALUATE_LOCATION(InputData[[#This Row],[Section]],InputData[[#This Row],[Forma de Pago]],InputData[[#This Row],[Ubic.Pretendida]],InputData[[#This Row],[Nro pag]])</f>
        <v xml:space="preserve"> </v>
      </c>
      <c r="R28" s="35">
        <f>ROUND(InputData[[#This Row],[AltoCm]],0)</f>
        <v>17</v>
      </c>
      <c r="S28" s="35" t="str">
        <f>InputData[[#This Row],[Col]]&amp;"x"&amp;IF(LEN(InputData[[#This Row],[Alto]])=2,InputData[[#This Row],[Alto]],"0"&amp;InputData[[#This Row],[Alto]])</f>
        <v>5x17</v>
      </c>
    </row>
    <row r="29" spans="1:19" hidden="1" x14ac:dyDescent="0.2">
      <c r="A29" s="35" t="s">
        <v>21</v>
      </c>
      <c r="B29" s="35" t="s">
        <v>191</v>
      </c>
      <c r="C29" s="35" t="s">
        <v>44</v>
      </c>
      <c r="D29" s="35" t="s">
        <v>192</v>
      </c>
      <c r="E29" s="35" t="s">
        <v>45</v>
      </c>
      <c r="F29" s="35" t="str">
        <f>LEFT(InputData[[#This Row],[Referencia]],32)</f>
        <v>LA COCHERIA SRL</v>
      </c>
      <c r="G29" s="35" t="s">
        <v>22</v>
      </c>
      <c r="H29" s="35" t="s">
        <v>40</v>
      </c>
      <c r="I29" s="37">
        <v>824.31000000000006</v>
      </c>
      <c r="J29" s="35" t="s">
        <v>9</v>
      </c>
      <c r="K29" s="35" t="s">
        <v>23</v>
      </c>
      <c r="L29" s="35" t="s">
        <v>23</v>
      </c>
      <c r="M29" s="38">
        <v>31</v>
      </c>
      <c r="N29" s="35" t="s">
        <v>19</v>
      </c>
      <c r="O29" s="36">
        <v>3</v>
      </c>
      <c r="P29" s="39">
        <v>2.7657777777777777</v>
      </c>
      <c r="Q29" s="35" t="str">
        <f>EVALUATE_LOCATION(InputData[[#This Row],[Section]],InputData[[#This Row],[Forma de Pago]],InputData[[#This Row],[Ubic.Pretendida]],InputData[[#This Row],[Nro pag]])</f>
        <v xml:space="preserve"> </v>
      </c>
      <c r="R29" s="35">
        <f>ROUND(InputData[[#This Row],[AltoCm]],0)</f>
        <v>3</v>
      </c>
      <c r="S29" s="35" t="str">
        <f>InputData[[#This Row],[Col]]&amp;"x"&amp;IF(LEN(InputData[[#This Row],[Alto]])=2,InputData[[#This Row],[Alto]],"0"&amp;InputData[[#This Row],[Alto]])</f>
        <v>3x03</v>
      </c>
    </row>
    <row r="30" spans="1:19" hidden="1" x14ac:dyDescent="0.2">
      <c r="A30" s="35" t="s">
        <v>21</v>
      </c>
      <c r="B30" s="35" t="s">
        <v>193</v>
      </c>
      <c r="C30" s="35" t="s">
        <v>43</v>
      </c>
      <c r="D30" s="35" t="s">
        <v>194</v>
      </c>
      <c r="E30" s="35" t="s">
        <v>52</v>
      </c>
      <c r="F30" s="35" t="str">
        <f>LEFT(InputData[[#This Row],[Referencia]],32)</f>
        <v>WERCHOW OBITUARIO</v>
      </c>
      <c r="G30" s="35" t="s">
        <v>22</v>
      </c>
      <c r="H30" s="35" t="s">
        <v>40</v>
      </c>
      <c r="I30" s="37">
        <v>904.98</v>
      </c>
      <c r="J30" s="35" t="s">
        <v>9</v>
      </c>
      <c r="K30" s="35" t="s">
        <v>48</v>
      </c>
      <c r="L30" s="35" t="s">
        <v>48</v>
      </c>
      <c r="M30" s="38">
        <v>31</v>
      </c>
      <c r="N30" s="35" t="s">
        <v>19</v>
      </c>
      <c r="O30" s="36">
        <v>5</v>
      </c>
      <c r="P30" s="39">
        <v>2.7657777777777777</v>
      </c>
      <c r="Q30" s="35" t="str">
        <f>EVALUATE_LOCATION(InputData[[#This Row],[Section]],InputData[[#This Row],[Forma de Pago]],InputData[[#This Row],[Ubic.Pretendida]],InputData[[#This Row],[Nro pag]])</f>
        <v xml:space="preserve"> </v>
      </c>
      <c r="R30" s="35">
        <f>ROUND(InputData[[#This Row],[AltoCm]],0)</f>
        <v>3</v>
      </c>
      <c r="S30" s="35" t="str">
        <f>InputData[[#This Row],[Col]]&amp;"x"&amp;IF(LEN(InputData[[#This Row],[Alto]])=2,InputData[[#This Row],[Alto]],"0"&amp;InputData[[#This Row],[Alto]])</f>
        <v>5x03</v>
      </c>
    </row>
    <row r="31" spans="1:19" hidden="1" x14ac:dyDescent="0.2">
      <c r="A31" s="35" t="s">
        <v>21</v>
      </c>
      <c r="B31" s="35" t="s">
        <v>195</v>
      </c>
      <c r="C31" s="35" t="s">
        <v>50</v>
      </c>
      <c r="D31" s="35" t="s">
        <v>196</v>
      </c>
      <c r="E31" s="35" t="s">
        <v>51</v>
      </c>
      <c r="F31" s="35" t="str">
        <f>LEFT(InputData[[#This Row],[Referencia]],32)</f>
        <v>FARMACIA YRIGOYEN</v>
      </c>
      <c r="G31" s="35" t="s">
        <v>22</v>
      </c>
      <c r="H31" s="35" t="s">
        <v>40</v>
      </c>
      <c r="I31" s="37">
        <v>304.13</v>
      </c>
      <c r="J31" s="35" t="s">
        <v>9</v>
      </c>
      <c r="K31" s="35" t="s">
        <v>48</v>
      </c>
      <c r="M31" s="38">
        <v>0</v>
      </c>
      <c r="N31" s="35" t="s">
        <v>19</v>
      </c>
      <c r="O31" s="36">
        <v>2</v>
      </c>
      <c r="P31" s="39">
        <v>2.7657777777777777</v>
      </c>
      <c r="Q31" s="35" t="str">
        <f>EVALUATE_LOCATION(InputData[[#This Row],[Section]],InputData[[#This Row],[Forma de Pago]],InputData[[#This Row],[Ubic.Pretendida]],InputData[[#This Row],[Nro pag]])</f>
        <v xml:space="preserve"> </v>
      </c>
      <c r="R31" s="35">
        <f>ROUND(InputData[[#This Row],[AltoCm]],0)</f>
        <v>3</v>
      </c>
      <c r="S31" s="35" t="str">
        <f>InputData[[#This Row],[Col]]&amp;"x"&amp;IF(LEN(InputData[[#This Row],[Alto]])=2,InputData[[#This Row],[Alto]],"0"&amp;InputData[[#This Row],[Alto]])</f>
        <v>2x03</v>
      </c>
    </row>
    <row r="32" spans="1:19" hidden="1" x14ac:dyDescent="0.2">
      <c r="A32" s="35" t="s">
        <v>21</v>
      </c>
      <c r="B32" s="35" t="s">
        <v>197</v>
      </c>
      <c r="C32" s="35" t="s">
        <v>46</v>
      </c>
      <c r="D32" s="35" t="s">
        <v>198</v>
      </c>
      <c r="E32" s="35" t="s">
        <v>47</v>
      </c>
      <c r="F32" s="35" t="str">
        <f>LEFT(InputData[[#This Row],[Referencia]],32)</f>
        <v>SERIVICIO SOCIALES FUTURO...</v>
      </c>
      <c r="G32" s="35" t="s">
        <v>22</v>
      </c>
      <c r="H32" s="35" t="s">
        <v>40</v>
      </c>
      <c r="I32" s="37">
        <v>723.98</v>
      </c>
      <c r="J32" s="35" t="s">
        <v>9</v>
      </c>
      <c r="K32" s="35" t="s">
        <v>48</v>
      </c>
      <c r="L32" s="35" t="s">
        <v>48</v>
      </c>
      <c r="M32" s="38">
        <v>31</v>
      </c>
      <c r="N32" s="35" t="s">
        <v>19</v>
      </c>
      <c r="O32" s="36">
        <v>5</v>
      </c>
      <c r="P32" s="39">
        <v>2.7657777777777777</v>
      </c>
      <c r="Q32" s="35" t="str">
        <f>EVALUATE_LOCATION(InputData[[#This Row],[Section]],InputData[[#This Row],[Forma de Pago]],InputData[[#This Row],[Ubic.Pretendida]],InputData[[#This Row],[Nro pag]])</f>
        <v xml:space="preserve"> </v>
      </c>
      <c r="R32" s="35">
        <f>ROUND(InputData[[#This Row],[AltoCm]],0)</f>
        <v>3</v>
      </c>
      <c r="S32" s="35" t="str">
        <f>InputData[[#This Row],[Col]]&amp;"x"&amp;IF(LEN(InputData[[#This Row],[Alto]])=2,InputData[[#This Row],[Alto]],"0"&amp;InputData[[#This Row],[Alto]])</f>
        <v>5x03</v>
      </c>
    </row>
    <row r="33" spans="1:19" hidden="1" x14ac:dyDescent="0.2">
      <c r="A33" s="35" t="s">
        <v>21</v>
      </c>
      <c r="B33" s="35" t="s">
        <v>199</v>
      </c>
      <c r="C33" s="35" t="s">
        <v>53</v>
      </c>
      <c r="D33" s="35" t="s">
        <v>54</v>
      </c>
      <c r="E33" s="35" t="s">
        <v>200</v>
      </c>
      <c r="F33" s="35" t="str">
        <f>LEFT(InputData[[#This Row],[Referencia]],32)</f>
        <v>GOBIERNO DE JUJUY CONSULTA MEDID</v>
      </c>
      <c r="G33" s="35" t="s">
        <v>55</v>
      </c>
      <c r="H33" s="35" t="s">
        <v>40</v>
      </c>
      <c r="I33" s="37">
        <v>361794.86</v>
      </c>
      <c r="J33" s="35" t="s">
        <v>9</v>
      </c>
      <c r="K33" s="35" t="s">
        <v>201</v>
      </c>
      <c r="L33" s="35" t="s">
        <v>201</v>
      </c>
      <c r="M33" s="38">
        <v>7</v>
      </c>
      <c r="N33" s="35" t="s">
        <v>19</v>
      </c>
      <c r="O33" s="36">
        <v>5</v>
      </c>
      <c r="P33" s="39">
        <v>17.000000000722224</v>
      </c>
      <c r="Q33" s="35" t="str">
        <f>EVALUATE_LOCATION(InputData[[#This Row],[Section]],InputData[[#This Row],[Forma de Pago]],InputData[[#This Row],[Ubic.Pretendida]],InputData[[#This Row],[Nro pag]])</f>
        <v xml:space="preserve"> </v>
      </c>
      <c r="R33" s="35">
        <f>ROUND(InputData[[#This Row],[AltoCm]],0)</f>
        <v>17</v>
      </c>
      <c r="S33" s="35" t="str">
        <f>InputData[[#This Row],[Col]]&amp;"x"&amp;IF(LEN(InputData[[#This Row],[Alto]])=2,InputData[[#This Row],[Alto]],"0"&amp;InputData[[#This Row],[Alto]])</f>
        <v>5x17</v>
      </c>
    </row>
    <row r="34" spans="1:19" hidden="1" x14ac:dyDescent="0.2">
      <c r="A34" s="35" t="s">
        <v>21</v>
      </c>
      <c r="B34" s="35" t="s">
        <v>202</v>
      </c>
      <c r="C34" s="35" t="s">
        <v>158</v>
      </c>
      <c r="D34" s="35" t="s">
        <v>203</v>
      </c>
      <c r="E34" s="35" t="s">
        <v>159</v>
      </c>
      <c r="F34" s="35" t="str">
        <f>LEFT(InputData[[#This Row],[Referencia]],32)</f>
        <v>NORTE SERVICIO SOCIALES ....</v>
      </c>
      <c r="G34" s="35" t="s">
        <v>22</v>
      </c>
      <c r="H34" s="35" t="s">
        <v>40</v>
      </c>
      <c r="I34" s="37">
        <v>887.96</v>
      </c>
      <c r="J34" s="35" t="s">
        <v>9</v>
      </c>
      <c r="K34" s="35" t="s">
        <v>160</v>
      </c>
      <c r="L34" s="35" t="s">
        <v>160</v>
      </c>
      <c r="M34" s="38">
        <v>31</v>
      </c>
      <c r="N34" s="35" t="s">
        <v>19</v>
      </c>
      <c r="O34" s="36">
        <v>3</v>
      </c>
      <c r="P34" s="39">
        <v>2.7657777777777777</v>
      </c>
      <c r="Q34" s="35" t="str">
        <f>EVALUATE_LOCATION(InputData[[#This Row],[Section]],InputData[[#This Row],[Forma de Pago]],InputData[[#This Row],[Ubic.Pretendida]],InputData[[#This Row],[Nro pag]])</f>
        <v xml:space="preserve"> </v>
      </c>
      <c r="R34" s="35">
        <f>ROUND(InputData[[#This Row],[AltoCm]],0)</f>
        <v>3</v>
      </c>
      <c r="S34" s="35" t="str">
        <f>InputData[[#This Row],[Col]]&amp;"x"&amp;IF(LEN(InputData[[#This Row],[Alto]])=2,InputData[[#This Row],[Alto]],"0"&amp;InputData[[#This Row],[Alto]])</f>
        <v>3x03</v>
      </c>
    </row>
    <row r="35" spans="1:19" hidden="1" x14ac:dyDescent="0.2">
      <c r="A35" s="35" t="s">
        <v>21</v>
      </c>
      <c r="B35" s="35" t="s">
        <v>228</v>
      </c>
      <c r="C35" s="35" t="s">
        <v>218</v>
      </c>
      <c r="D35" s="35" t="s">
        <v>229</v>
      </c>
      <c r="E35" s="35" t="s">
        <v>230</v>
      </c>
      <c r="F35" s="35" t="str">
        <f>LEFT(InputData[[#This Row],[Referencia]],32)</f>
        <v>CARPAS 3H</v>
      </c>
      <c r="G35" s="35" t="s">
        <v>22</v>
      </c>
      <c r="H35" s="35" t="s">
        <v>40</v>
      </c>
      <c r="I35" s="37">
        <v>0</v>
      </c>
      <c r="J35" s="35" t="s">
        <v>39</v>
      </c>
      <c r="K35" s="35" t="s">
        <v>231</v>
      </c>
      <c r="L35" s="35" t="s">
        <v>231</v>
      </c>
      <c r="M35" s="38">
        <v>21</v>
      </c>
      <c r="N35" s="35" t="s">
        <v>19</v>
      </c>
      <c r="O35" s="36">
        <v>2</v>
      </c>
      <c r="P35" s="39">
        <v>9.8777777777777782</v>
      </c>
      <c r="Q35" s="35" t="str">
        <f>EVALUATE_LOCATION(InputData[[#This Row],[Section]],InputData[[#This Row],[Forma de Pago]],InputData[[#This Row],[Ubic.Pretendida]],InputData[[#This Row],[Nro pag]])</f>
        <v xml:space="preserve"> </v>
      </c>
      <c r="R35" s="35">
        <f>ROUND(InputData[[#This Row],[AltoCm]],0)</f>
        <v>10</v>
      </c>
      <c r="S35" s="35" t="str">
        <f>InputData[[#This Row],[Col]]&amp;"x"&amp;IF(LEN(InputData[[#This Row],[Alto]])=2,InputData[[#This Row],[Alto]],"0"&amp;InputData[[#This Row],[Alto]])</f>
        <v>2x10</v>
      </c>
    </row>
    <row r="36" spans="1:19" hidden="1" x14ac:dyDescent="0.2">
      <c r="A36" s="35" t="s">
        <v>21</v>
      </c>
      <c r="B36" s="35" t="s">
        <v>232</v>
      </c>
      <c r="C36" s="35" t="s">
        <v>77</v>
      </c>
      <c r="D36" s="35" t="s">
        <v>233</v>
      </c>
      <c r="E36" s="35" t="s">
        <v>234</v>
      </c>
      <c r="F36" s="35" t="str">
        <f>LEFT(InputData[[#This Row],[Referencia]],32)</f>
        <v>RUBEN RIVAROLA GOBERNADOR</v>
      </c>
      <c r="G36" s="35" t="s">
        <v>22</v>
      </c>
      <c r="H36" s="35" t="s">
        <v>56</v>
      </c>
      <c r="I36" s="37">
        <v>13719.5</v>
      </c>
      <c r="J36" s="35" t="s">
        <v>9</v>
      </c>
      <c r="K36" s="35" t="s">
        <v>87</v>
      </c>
      <c r="L36" s="35" t="s">
        <v>87</v>
      </c>
      <c r="M36" s="38">
        <v>3</v>
      </c>
      <c r="N36" s="35" t="s">
        <v>19</v>
      </c>
      <c r="O36" s="36">
        <v>5</v>
      </c>
      <c r="P36" s="39">
        <v>16.989777777777778</v>
      </c>
      <c r="Q36" s="35" t="str">
        <f>EVALUATE_LOCATION(InputData[[#This Row],[Section]],InputData[[#This Row],[Forma de Pago]],InputData[[#This Row],[Ubic.Pretendida]],InputData[[#This Row],[Nro pag]])</f>
        <v xml:space="preserve"> </v>
      </c>
      <c r="R36" s="35">
        <f>ROUND(InputData[[#This Row],[AltoCm]],0)</f>
        <v>17</v>
      </c>
      <c r="S36" s="35" t="str">
        <f>InputData[[#This Row],[Col]]&amp;"x"&amp;IF(LEN(InputData[[#This Row],[Alto]])=2,InputData[[#This Row],[Alto]],"0"&amp;InputData[[#This Row],[Alto]])</f>
        <v>5x17</v>
      </c>
    </row>
    <row r="37" spans="1:19" hidden="1" x14ac:dyDescent="0.2">
      <c r="A37" s="35" t="s">
        <v>21</v>
      </c>
      <c r="B37" s="35" t="s">
        <v>280</v>
      </c>
      <c r="C37" s="35" t="s">
        <v>281</v>
      </c>
      <c r="E37" s="35" t="s">
        <v>282</v>
      </c>
      <c r="F37" s="35" t="str">
        <f>LEFT(InputData[[#This Row],[Referencia]],32)</f>
        <v xml:space="preserve">La UNIDAD EJECUTORA EN CIENCIAS </v>
      </c>
      <c r="G37" s="35" t="s">
        <v>22</v>
      </c>
      <c r="H37" s="35" t="s">
        <v>20</v>
      </c>
      <c r="I37" s="37">
        <v>3387.04</v>
      </c>
      <c r="J37" s="35" t="s">
        <v>39</v>
      </c>
      <c r="K37" s="35" t="s">
        <v>87</v>
      </c>
      <c r="L37" s="35" t="s">
        <v>87</v>
      </c>
      <c r="M37" s="38">
        <v>13</v>
      </c>
      <c r="N37" s="35" t="s">
        <v>49</v>
      </c>
      <c r="O37" s="36">
        <v>2</v>
      </c>
      <c r="P37" s="39">
        <v>13.433777777777777</v>
      </c>
      <c r="Q37" s="35" t="str">
        <f>EVALUATE_LOCATION(InputData[[#This Row],[Section]],InputData[[#This Row],[Forma de Pago]],InputData[[#This Row],[Ubic.Pretendida]],InputData[[#This Row],[Nro pag]])</f>
        <v xml:space="preserve"> </v>
      </c>
      <c r="R37" s="35">
        <f>ROUND(InputData[[#This Row],[AltoCm]],0)</f>
        <v>13</v>
      </c>
      <c r="S37" s="35" t="str">
        <f>InputData[[#This Row],[Col]]&amp;"x"&amp;IF(LEN(InputData[[#This Row],[Alto]])=2,InputData[[#This Row],[Alto]],"0"&amp;InputData[[#This Row],[Alto]])</f>
        <v>2x13</v>
      </c>
    </row>
    <row r="38" spans="1:19" hidden="1" x14ac:dyDescent="0.2">
      <c r="A38" s="35" t="s">
        <v>21</v>
      </c>
      <c r="B38" s="35" t="s">
        <v>204</v>
      </c>
      <c r="C38" s="35" t="s">
        <v>205</v>
      </c>
      <c r="D38" s="35" t="s">
        <v>54</v>
      </c>
      <c r="E38" s="35" t="s">
        <v>206</v>
      </c>
      <c r="F38" s="35" t="str">
        <f>LEFT(InputData[[#This Row],[Referencia]],32)</f>
        <v xml:space="preserve">CARLOS SADIR EL CAMBIO A SEGUIR </v>
      </c>
      <c r="G38" s="35" t="s">
        <v>22</v>
      </c>
      <c r="H38" s="35" t="s">
        <v>40</v>
      </c>
      <c r="I38" s="37">
        <v>145386.6</v>
      </c>
      <c r="J38" s="35" t="s">
        <v>9</v>
      </c>
      <c r="K38" s="35" t="s">
        <v>150</v>
      </c>
      <c r="L38" s="35" t="s">
        <v>150</v>
      </c>
      <c r="M38" s="38">
        <v>32</v>
      </c>
      <c r="N38" s="35" t="s">
        <v>19</v>
      </c>
      <c r="O38" s="36">
        <v>5</v>
      </c>
      <c r="P38" s="39">
        <v>34.769777777777783</v>
      </c>
      <c r="Q38" s="35" t="str">
        <f>EVALUATE_LOCATION(InputData[[#This Row],[Section]],InputData[[#This Row],[Forma de Pago]],InputData[[#This Row],[Ubic.Pretendida]],InputData[[#This Row],[Nro pag]])</f>
        <v xml:space="preserve"> </v>
      </c>
      <c r="R38" s="35">
        <f>ROUND(InputData[[#This Row],[AltoCm]],0)</f>
        <v>35</v>
      </c>
      <c r="S38" s="35" t="str">
        <f>InputData[[#This Row],[Col]]&amp;"x"&amp;IF(LEN(InputData[[#This Row],[Alto]])=2,InputData[[#This Row],[Alto]],"0"&amp;InputData[[#This Row],[Alto]])</f>
        <v>5x35</v>
      </c>
    </row>
    <row r="39" spans="1:19" hidden="1" x14ac:dyDescent="0.2">
      <c r="A39" s="35" t="s">
        <v>21</v>
      </c>
      <c r="B39" s="35" t="s">
        <v>283</v>
      </c>
      <c r="C39" s="35" t="s">
        <v>284</v>
      </c>
      <c r="D39" s="35" t="s">
        <v>285</v>
      </c>
      <c r="E39" s="35" t="s">
        <v>286</v>
      </c>
      <c r="F39" s="35" t="str">
        <f>LEFT(InputData[[#This Row],[Referencia]],32)</f>
        <v>COMODIN</v>
      </c>
      <c r="G39" s="35" t="s">
        <v>22</v>
      </c>
      <c r="H39" s="35" t="s">
        <v>40</v>
      </c>
      <c r="I39" s="37">
        <v>27149.32</v>
      </c>
      <c r="J39" s="35" t="s">
        <v>9</v>
      </c>
      <c r="K39" s="35" t="s">
        <v>150</v>
      </c>
      <c r="L39" s="35" t="s">
        <v>150</v>
      </c>
      <c r="M39" s="38">
        <v>9</v>
      </c>
      <c r="N39" s="35" t="s">
        <v>19</v>
      </c>
      <c r="O39" s="36">
        <v>5</v>
      </c>
      <c r="P39" s="39">
        <v>34.769777777777783</v>
      </c>
      <c r="Q39" s="35" t="str">
        <f>EVALUATE_LOCATION(InputData[[#This Row],[Section]],InputData[[#This Row],[Forma de Pago]],InputData[[#This Row],[Ubic.Pretendida]],InputData[[#This Row],[Nro pag]])</f>
        <v>&gt;DIFIERE&lt;</v>
      </c>
      <c r="R39" s="35">
        <f>ROUND(InputData[[#This Row],[AltoCm]],0)</f>
        <v>35</v>
      </c>
      <c r="S39" s="35" t="str">
        <f>InputData[[#This Row],[Col]]&amp;"x"&amp;IF(LEN(InputData[[#This Row],[Alto]])=2,InputData[[#This Row],[Alto]],"0"&amp;InputData[[#This Row],[Alto]])</f>
        <v>5x35</v>
      </c>
    </row>
    <row r="40" spans="1:19" hidden="1" x14ac:dyDescent="0.2">
      <c r="A40" s="35" t="s">
        <v>57</v>
      </c>
      <c r="B40" s="35" t="s">
        <v>98</v>
      </c>
      <c r="C40" s="35" t="s">
        <v>99</v>
      </c>
      <c r="E40" s="35" t="s">
        <v>100</v>
      </c>
      <c r="F40" s="35" t="str">
        <f>LEFT(InputData[[#This Row],[Referencia]],32)</f>
        <v xml:space="preserve">LIC. ADRIANA PATRICIA ORELLANA  </v>
      </c>
      <c r="G40" s="35" t="s">
        <v>58</v>
      </c>
      <c r="H40" s="35" t="s">
        <v>20</v>
      </c>
      <c r="I40" s="37">
        <v>59.62133333333334</v>
      </c>
      <c r="J40" s="35" t="s">
        <v>39</v>
      </c>
      <c r="K40" s="35" t="s">
        <v>101</v>
      </c>
      <c r="M40" s="38">
        <v>0</v>
      </c>
      <c r="N40" s="35" t="s">
        <v>19</v>
      </c>
      <c r="O40" s="36">
        <v>2</v>
      </c>
      <c r="P40" s="39">
        <v>2.0000000005</v>
      </c>
      <c r="Q40" s="35" t="str">
        <f>EVALUATE_LOCATION(InputData[[#This Row],[Section]],InputData[[#This Row],[Forma de Pago]],InputData[[#This Row],[Ubic.Pretendida]],InputData[[#This Row],[Nro pag]])</f>
        <v xml:space="preserve"> </v>
      </c>
      <c r="R40" s="35">
        <f>ROUND(InputData[[#This Row],[AltoCm]],0)</f>
        <v>2</v>
      </c>
      <c r="S40" s="35" t="str">
        <f>InputData[[#This Row],[Col]]&amp;"x"&amp;IF(LEN(InputData[[#This Row],[Alto]])=2,InputData[[#This Row],[Alto]],"0"&amp;InputData[[#This Row],[Alto]])</f>
        <v>2x02</v>
      </c>
    </row>
    <row r="41" spans="1:19" hidden="1" x14ac:dyDescent="0.2">
      <c r="A41" s="35" t="s">
        <v>57</v>
      </c>
      <c r="B41" s="35" t="s">
        <v>161</v>
      </c>
      <c r="C41" s="35" t="s">
        <v>162</v>
      </c>
      <c r="E41" s="35" t="s">
        <v>163</v>
      </c>
      <c r="F41" s="35" t="str">
        <f>LEFT(InputData[[#This Row],[Referencia]],32)</f>
        <v>PODOLOGIA  Uñas encarnadas - Mic</v>
      </c>
      <c r="G41" s="35" t="s">
        <v>58</v>
      </c>
      <c r="H41" s="35" t="s">
        <v>20</v>
      </c>
      <c r="I41" s="37">
        <v>149.05333333333331</v>
      </c>
      <c r="J41" s="35" t="s">
        <v>9</v>
      </c>
      <c r="K41" s="35" t="s">
        <v>164</v>
      </c>
      <c r="M41" s="38">
        <v>0</v>
      </c>
      <c r="N41" s="35" t="s">
        <v>19</v>
      </c>
      <c r="O41" s="36">
        <v>2</v>
      </c>
      <c r="P41" s="39">
        <v>5.0000000012500001</v>
      </c>
      <c r="Q41" s="35" t="str">
        <f>EVALUATE_LOCATION(InputData[[#This Row],[Section]],InputData[[#This Row],[Forma de Pago]],InputData[[#This Row],[Ubic.Pretendida]],InputData[[#This Row],[Nro pag]])</f>
        <v xml:space="preserve"> </v>
      </c>
      <c r="R41" s="35">
        <f>ROUND(InputData[[#This Row],[AltoCm]],0)</f>
        <v>5</v>
      </c>
      <c r="S41" s="35" t="str">
        <f>InputData[[#This Row],[Col]]&amp;"x"&amp;IF(LEN(InputData[[#This Row],[Alto]])=2,InputData[[#This Row],[Alto]],"0"&amp;InputData[[#This Row],[Alto]])</f>
        <v>2x05</v>
      </c>
    </row>
    <row r="42" spans="1:19" hidden="1" x14ac:dyDescent="0.2">
      <c r="A42" s="35" t="s">
        <v>57</v>
      </c>
      <c r="B42" s="35" t="s">
        <v>78</v>
      </c>
      <c r="C42" s="35" t="s">
        <v>79</v>
      </c>
      <c r="E42" s="35" t="s">
        <v>80</v>
      </c>
      <c r="F42" s="35" t="str">
        <f>LEFT(InputData[[#This Row],[Referencia]],32)</f>
        <v>MARTILLERO PÚBLICO JUDICIAL Pocl</v>
      </c>
      <c r="G42" s="35" t="s">
        <v>58</v>
      </c>
      <c r="H42" s="35" t="s">
        <v>20</v>
      </c>
      <c r="I42" s="37">
        <v>59.62133333333334</v>
      </c>
      <c r="J42" s="35" t="s">
        <v>39</v>
      </c>
      <c r="K42" s="35" t="s">
        <v>76</v>
      </c>
      <c r="M42" s="38">
        <v>0</v>
      </c>
      <c r="N42" s="35" t="s">
        <v>19</v>
      </c>
      <c r="O42" s="36">
        <v>2</v>
      </c>
      <c r="P42" s="39">
        <v>2.0000000005</v>
      </c>
      <c r="Q42" s="35" t="str">
        <f>EVALUATE_LOCATION(InputData[[#This Row],[Section]],InputData[[#This Row],[Forma de Pago]],InputData[[#This Row],[Ubic.Pretendida]],InputData[[#This Row],[Nro pag]])</f>
        <v xml:space="preserve"> </v>
      </c>
      <c r="R42" s="35">
        <f>ROUND(InputData[[#This Row],[AltoCm]],0)</f>
        <v>2</v>
      </c>
      <c r="S42" s="35" t="str">
        <f>InputData[[#This Row],[Col]]&amp;"x"&amp;IF(LEN(InputData[[#This Row],[Alto]])=2,InputData[[#This Row],[Alto]],"0"&amp;InputData[[#This Row],[Alto]])</f>
        <v>2x02</v>
      </c>
    </row>
    <row r="43" spans="1:19" hidden="1" x14ac:dyDescent="0.2">
      <c r="A43" s="35" t="s">
        <v>57</v>
      </c>
      <c r="B43" s="35" t="s">
        <v>119</v>
      </c>
      <c r="C43" s="35" t="s">
        <v>120</v>
      </c>
      <c r="E43" s="35" t="s">
        <v>121</v>
      </c>
      <c r="F43" s="35" t="str">
        <f>LEFT(InputData[[#This Row],[Referencia]],32)</f>
        <v>///LOGO//// CENTRO AUDIFONOS  PA</v>
      </c>
      <c r="G43" s="35" t="s">
        <v>58</v>
      </c>
      <c r="H43" s="35" t="s">
        <v>20</v>
      </c>
      <c r="I43" s="37">
        <v>119.24283333333334</v>
      </c>
      <c r="J43" s="35" t="s">
        <v>39</v>
      </c>
      <c r="K43" s="35" t="s">
        <v>76</v>
      </c>
      <c r="M43" s="38">
        <v>0</v>
      </c>
      <c r="N43" s="35" t="s">
        <v>19</v>
      </c>
      <c r="O43" s="36">
        <v>2</v>
      </c>
      <c r="P43" s="39">
        <v>4.0000000010000001</v>
      </c>
      <c r="Q43" s="35" t="str">
        <f>EVALUATE_LOCATION(InputData[[#This Row],[Section]],InputData[[#This Row],[Forma de Pago]],InputData[[#This Row],[Ubic.Pretendida]],InputData[[#This Row],[Nro pag]])</f>
        <v xml:space="preserve"> </v>
      </c>
      <c r="R43" s="35">
        <f>ROUND(InputData[[#This Row],[AltoCm]],0)</f>
        <v>4</v>
      </c>
      <c r="S43" s="35" t="str">
        <f>InputData[[#This Row],[Col]]&amp;"x"&amp;IF(LEN(InputData[[#This Row],[Alto]])=2,InputData[[#This Row],[Alto]],"0"&amp;InputData[[#This Row],[Alto]])</f>
        <v>2x04</v>
      </c>
    </row>
    <row r="44" spans="1:19" hidden="1" x14ac:dyDescent="0.2">
      <c r="A44" s="35" t="s">
        <v>57</v>
      </c>
      <c r="B44" s="35" t="s">
        <v>82</v>
      </c>
      <c r="C44" s="35" t="s">
        <v>83</v>
      </c>
      <c r="E44" s="35" t="s">
        <v>84</v>
      </c>
      <c r="F44" s="35" t="str">
        <f>LEFT(InputData[[#This Row],[Referencia]],32)</f>
        <v>LIC. DIEGO CRUZ QUIROPRAXIA  ///</v>
      </c>
      <c r="G44" s="35" t="s">
        <v>58</v>
      </c>
      <c r="H44" s="35" t="s">
        <v>20</v>
      </c>
      <c r="I44" s="37">
        <v>59.62133333333334</v>
      </c>
      <c r="J44" s="35" t="s">
        <v>39</v>
      </c>
      <c r="K44" s="35" t="s">
        <v>73</v>
      </c>
      <c r="M44" s="38">
        <v>0</v>
      </c>
      <c r="N44" s="35" t="s">
        <v>19</v>
      </c>
      <c r="O44" s="36">
        <v>2</v>
      </c>
      <c r="P44" s="39">
        <v>2.0000000005</v>
      </c>
      <c r="Q44" s="35" t="str">
        <f>EVALUATE_LOCATION(InputData[[#This Row],[Section]],InputData[[#This Row],[Forma de Pago]],InputData[[#This Row],[Ubic.Pretendida]],InputData[[#This Row],[Nro pag]])</f>
        <v xml:space="preserve"> </v>
      </c>
      <c r="R44" s="35">
        <f>ROUND(InputData[[#This Row],[AltoCm]],0)</f>
        <v>2</v>
      </c>
      <c r="S44" s="35" t="str">
        <f>InputData[[#This Row],[Col]]&amp;"x"&amp;IF(LEN(InputData[[#This Row],[Alto]])=2,InputData[[#This Row],[Alto]],"0"&amp;InputData[[#This Row],[Alto]])</f>
        <v>2x02</v>
      </c>
    </row>
    <row r="45" spans="1:19" hidden="1" x14ac:dyDescent="0.2">
      <c r="A45" s="35" t="s">
        <v>57</v>
      </c>
      <c r="B45" s="35" t="s">
        <v>107</v>
      </c>
      <c r="C45" s="35" t="s">
        <v>108</v>
      </c>
      <c r="E45" s="35" t="s">
        <v>109</v>
      </c>
      <c r="F45" s="35" t="str">
        <f>LEFT(InputData[[#This Row],[Referencia]],32)</f>
        <v>PROBLEMAS DE COLUMNA Y EXTREMIDA</v>
      </c>
      <c r="G45" s="35" t="s">
        <v>58</v>
      </c>
      <c r="H45" s="35" t="s">
        <v>20</v>
      </c>
      <c r="I45" s="37">
        <v>89.432000000000002</v>
      </c>
      <c r="J45" s="35" t="s">
        <v>39</v>
      </c>
      <c r="K45" s="35" t="s">
        <v>73</v>
      </c>
      <c r="M45" s="38">
        <v>0</v>
      </c>
      <c r="N45" s="35" t="s">
        <v>19</v>
      </c>
      <c r="O45" s="36">
        <v>2</v>
      </c>
      <c r="P45" s="39">
        <v>3.0000000007500001</v>
      </c>
      <c r="Q45" s="35" t="str">
        <f>EVALUATE_LOCATION(InputData[[#This Row],[Section]],InputData[[#This Row],[Forma de Pago]],InputData[[#This Row],[Ubic.Pretendida]],InputData[[#This Row],[Nro pag]])</f>
        <v xml:space="preserve"> </v>
      </c>
      <c r="R45" s="35">
        <f>ROUND(InputData[[#This Row],[AltoCm]],0)</f>
        <v>3</v>
      </c>
      <c r="S45" s="35" t="str">
        <f>InputData[[#This Row],[Col]]&amp;"x"&amp;IF(LEN(InputData[[#This Row],[Alto]])=2,InputData[[#This Row],[Alto]],"0"&amp;InputData[[#This Row],[Alto]])</f>
        <v>2x03</v>
      </c>
    </row>
    <row r="46" spans="1:19" hidden="1" x14ac:dyDescent="0.2">
      <c r="A46" s="35" t="s">
        <v>57</v>
      </c>
      <c r="B46" s="35" t="s">
        <v>207</v>
      </c>
      <c r="C46" s="35" t="s">
        <v>59</v>
      </c>
      <c r="D46" s="35" t="s">
        <v>208</v>
      </c>
      <c r="E46" s="35" t="s">
        <v>60</v>
      </c>
      <c r="F46" s="35" t="str">
        <f>LEFT(InputData[[#This Row],[Referencia]],32)</f>
        <v>CEMER...</v>
      </c>
      <c r="G46" s="35" t="s">
        <v>58</v>
      </c>
      <c r="H46" s="35" t="s">
        <v>40</v>
      </c>
      <c r="I46" s="37">
        <v>154.67466666666667</v>
      </c>
      <c r="J46" s="35" t="s">
        <v>39</v>
      </c>
      <c r="K46" s="35" t="s">
        <v>61</v>
      </c>
      <c r="M46" s="38">
        <v>0</v>
      </c>
      <c r="N46" s="35" t="s">
        <v>19</v>
      </c>
      <c r="O46" s="36">
        <v>2</v>
      </c>
      <c r="P46" s="39">
        <v>4.0000000010000001</v>
      </c>
      <c r="Q46" s="35" t="str">
        <f>EVALUATE_LOCATION(InputData[[#This Row],[Section]],InputData[[#This Row],[Forma de Pago]],InputData[[#This Row],[Ubic.Pretendida]],InputData[[#This Row],[Nro pag]])</f>
        <v xml:space="preserve"> </v>
      </c>
      <c r="R46" s="35">
        <f>ROUND(InputData[[#This Row],[AltoCm]],0)</f>
        <v>4</v>
      </c>
      <c r="S46" s="35" t="str">
        <f>InputData[[#This Row],[Col]]&amp;"x"&amp;IF(LEN(InputData[[#This Row],[Alto]])=2,InputData[[#This Row],[Alto]],"0"&amp;InputData[[#This Row],[Alto]])</f>
        <v>2x04</v>
      </c>
    </row>
    <row r="47" spans="1:19" hidden="1" x14ac:dyDescent="0.2">
      <c r="A47" s="35" t="s">
        <v>57</v>
      </c>
      <c r="B47" s="35" t="s">
        <v>142</v>
      </c>
      <c r="C47" s="35" t="s">
        <v>134</v>
      </c>
      <c r="E47" s="35" t="s">
        <v>135</v>
      </c>
      <c r="F47" s="35" t="str">
        <f>LEFT(InputData[[#This Row],[Referencia]],32)</f>
        <v xml:space="preserve">    LIC.MARIA CRISTINA OLMOS    </v>
      </c>
      <c r="G47" s="35" t="s">
        <v>58</v>
      </c>
      <c r="H47" s="35" t="s">
        <v>20</v>
      </c>
      <c r="I47" s="37">
        <v>59.62133333333334</v>
      </c>
      <c r="J47" s="35" t="s">
        <v>39</v>
      </c>
      <c r="K47" s="35" t="s">
        <v>136</v>
      </c>
      <c r="M47" s="38">
        <v>0</v>
      </c>
      <c r="N47" s="35" t="s">
        <v>19</v>
      </c>
      <c r="O47" s="36">
        <v>2</v>
      </c>
      <c r="P47" s="39">
        <v>2.0000000005</v>
      </c>
      <c r="Q47" s="35" t="str">
        <f>EVALUATE_LOCATION(InputData[[#This Row],[Section]],InputData[[#This Row],[Forma de Pago]],InputData[[#This Row],[Ubic.Pretendida]],InputData[[#This Row],[Nro pag]])</f>
        <v xml:space="preserve"> </v>
      </c>
      <c r="R47" s="35">
        <f>ROUND(InputData[[#This Row],[AltoCm]],0)</f>
        <v>2</v>
      </c>
      <c r="S47" s="35" t="str">
        <f>InputData[[#This Row],[Col]]&amp;"x"&amp;IF(LEN(InputData[[#This Row],[Alto]])=2,InputData[[#This Row],[Alto]],"0"&amp;InputData[[#This Row],[Alto]])</f>
        <v>2x02</v>
      </c>
    </row>
    <row r="48" spans="1:19" hidden="1" x14ac:dyDescent="0.2">
      <c r="A48" s="35" t="s">
        <v>57</v>
      </c>
      <c r="B48" s="35" t="s">
        <v>103</v>
      </c>
      <c r="C48" s="35" t="s">
        <v>104</v>
      </c>
      <c r="E48" s="35" t="s">
        <v>105</v>
      </c>
      <c r="F48" s="35" t="str">
        <f>LEFT(InputData[[#This Row],[Referencia]],32)</f>
        <v>MICHEL ESTUDIO JURIDICO AVISO AR</v>
      </c>
      <c r="G48" s="35" t="s">
        <v>58</v>
      </c>
      <c r="H48" s="35" t="s">
        <v>20</v>
      </c>
      <c r="I48" s="37">
        <v>208.67466666666667</v>
      </c>
      <c r="J48" s="35" t="s">
        <v>39</v>
      </c>
      <c r="K48" s="35" t="s">
        <v>62</v>
      </c>
      <c r="M48" s="38">
        <v>0</v>
      </c>
      <c r="N48" s="35" t="s">
        <v>19</v>
      </c>
      <c r="O48" s="36">
        <v>2</v>
      </c>
      <c r="P48" s="39">
        <v>7.0000000017499984</v>
      </c>
      <c r="Q48" s="35" t="str">
        <f>EVALUATE_LOCATION(InputData[[#This Row],[Section]],InputData[[#This Row],[Forma de Pago]],InputData[[#This Row],[Ubic.Pretendida]],InputData[[#This Row],[Nro pag]])</f>
        <v xml:space="preserve"> </v>
      </c>
      <c r="R48" s="35">
        <f>ROUND(InputData[[#This Row],[AltoCm]],0)</f>
        <v>7</v>
      </c>
      <c r="S48" s="35" t="str">
        <f>InputData[[#This Row],[Col]]&amp;"x"&amp;IF(LEN(InputData[[#This Row],[Alto]])=2,InputData[[#This Row],[Alto]],"0"&amp;InputData[[#This Row],[Alto]])</f>
        <v>2x07</v>
      </c>
    </row>
    <row r="49" spans="1:19" hidden="1" x14ac:dyDescent="0.2">
      <c r="A49" s="35" t="s">
        <v>57</v>
      </c>
      <c r="B49" s="35" t="s">
        <v>110</v>
      </c>
      <c r="C49" s="35" t="s">
        <v>111</v>
      </c>
      <c r="E49" s="35" t="s">
        <v>112</v>
      </c>
      <c r="F49" s="35" t="str">
        <f>LEFT(InputData[[#This Row],[Referencia]],32)</f>
        <v>PONE EN ORDEN LA DOCUMENTACION D</v>
      </c>
      <c r="G49" s="35" t="s">
        <v>58</v>
      </c>
      <c r="H49" s="35" t="s">
        <v>20</v>
      </c>
      <c r="I49" s="37">
        <v>89.432000000000002</v>
      </c>
      <c r="J49" s="35" t="s">
        <v>39</v>
      </c>
      <c r="K49" s="35" t="s">
        <v>62</v>
      </c>
      <c r="M49" s="38">
        <v>0</v>
      </c>
      <c r="N49" s="35" t="s">
        <v>19</v>
      </c>
      <c r="O49" s="36">
        <v>2</v>
      </c>
      <c r="P49" s="39">
        <v>3.0000000007500001</v>
      </c>
      <c r="Q49" s="35" t="str">
        <f>EVALUATE_LOCATION(InputData[[#This Row],[Section]],InputData[[#This Row],[Forma de Pago]],InputData[[#This Row],[Ubic.Pretendida]],InputData[[#This Row],[Nro pag]])</f>
        <v xml:space="preserve"> </v>
      </c>
      <c r="R49" s="35">
        <f>ROUND(InputData[[#This Row],[AltoCm]],0)</f>
        <v>3</v>
      </c>
      <c r="S49" s="35" t="str">
        <f>InputData[[#This Row],[Col]]&amp;"x"&amp;IF(LEN(InputData[[#This Row],[Alto]])=2,InputData[[#This Row],[Alto]],"0"&amp;InputData[[#This Row],[Alto]])</f>
        <v>2x03</v>
      </c>
    </row>
    <row r="50" spans="1:19" hidden="1" x14ac:dyDescent="0.2">
      <c r="A50" s="35" t="s">
        <v>57</v>
      </c>
      <c r="B50" s="35" t="s">
        <v>113</v>
      </c>
      <c r="C50" s="35" t="s">
        <v>111</v>
      </c>
      <c r="E50" s="35" t="s">
        <v>114</v>
      </c>
      <c r="F50" s="35" t="str">
        <f>LEFT(InputData[[#This Row],[Referencia]],32)</f>
        <v>JUBILACIONES, PENSIONES, REAJUST</v>
      </c>
      <c r="G50" s="35" t="s">
        <v>58</v>
      </c>
      <c r="H50" s="35" t="s">
        <v>20</v>
      </c>
      <c r="I50" s="37">
        <v>89.432000000000002</v>
      </c>
      <c r="J50" s="35" t="s">
        <v>39</v>
      </c>
      <c r="K50" s="35" t="s">
        <v>62</v>
      </c>
      <c r="M50" s="38">
        <v>0</v>
      </c>
      <c r="N50" s="35" t="s">
        <v>19</v>
      </c>
      <c r="O50" s="36">
        <v>2</v>
      </c>
      <c r="P50" s="39">
        <v>3.0000000007500001</v>
      </c>
      <c r="Q50" s="35" t="str">
        <f>EVALUATE_LOCATION(InputData[[#This Row],[Section]],InputData[[#This Row],[Forma de Pago]],InputData[[#This Row],[Ubic.Pretendida]],InputData[[#This Row],[Nro pag]])</f>
        <v xml:space="preserve"> </v>
      </c>
      <c r="R50" s="35">
        <f>ROUND(InputData[[#This Row],[AltoCm]],0)</f>
        <v>3</v>
      </c>
      <c r="S50" s="35" t="str">
        <f>InputData[[#This Row],[Col]]&amp;"x"&amp;IF(LEN(InputData[[#This Row],[Alto]])=2,InputData[[#This Row],[Alto]],"0"&amp;InputData[[#This Row],[Alto]])</f>
        <v>2x03</v>
      </c>
    </row>
    <row r="51" spans="1:19" hidden="1" x14ac:dyDescent="0.2">
      <c r="A51" s="35" t="s">
        <v>57</v>
      </c>
      <c r="B51" s="35" t="s">
        <v>165</v>
      </c>
      <c r="C51" s="35" t="s">
        <v>88</v>
      </c>
      <c r="E51" s="35" t="s">
        <v>166</v>
      </c>
      <c r="F51" s="35" t="str">
        <f>LEFT(InputData[[#This Row],[Referencia]],32)</f>
        <v>-ALIMENTOS- SUCESIONES- -DIVORCI</v>
      </c>
      <c r="G51" s="35" t="s">
        <v>58</v>
      </c>
      <c r="H51" s="35" t="s">
        <v>20</v>
      </c>
      <c r="I51" s="37">
        <v>119.24266666666668</v>
      </c>
      <c r="J51" s="35" t="s">
        <v>39</v>
      </c>
      <c r="K51" s="35" t="s">
        <v>62</v>
      </c>
      <c r="M51" s="38">
        <v>0</v>
      </c>
      <c r="N51" s="35" t="s">
        <v>19</v>
      </c>
      <c r="O51" s="36">
        <v>2</v>
      </c>
      <c r="P51" s="39">
        <v>4.0000000010000001</v>
      </c>
      <c r="Q51" s="35" t="str">
        <f>EVALUATE_LOCATION(InputData[[#This Row],[Section]],InputData[[#This Row],[Forma de Pago]],InputData[[#This Row],[Ubic.Pretendida]],InputData[[#This Row],[Nro pag]])</f>
        <v xml:space="preserve"> </v>
      </c>
      <c r="R51" s="35">
        <f>ROUND(InputData[[#This Row],[AltoCm]],0)</f>
        <v>4</v>
      </c>
      <c r="S51" s="35" t="str">
        <f>InputData[[#This Row],[Col]]&amp;"x"&amp;IF(LEN(InputData[[#This Row],[Alto]])=2,InputData[[#This Row],[Alto]],"0"&amp;InputData[[#This Row],[Alto]])</f>
        <v>2x04</v>
      </c>
    </row>
    <row r="52" spans="1:19" hidden="1" x14ac:dyDescent="0.2">
      <c r="A52" s="35" t="s">
        <v>143</v>
      </c>
      <c r="B52" s="35" t="s">
        <v>287</v>
      </c>
      <c r="C52" s="35" t="s">
        <v>288</v>
      </c>
      <c r="E52" s="35" t="s">
        <v>289</v>
      </c>
      <c r="F52" s="35" t="str">
        <f>LEFT(InputData[[#This Row],[Referencia]],32)</f>
        <v>+ ARGOTE, Juan Pastor (q.e.p.d.)</v>
      </c>
      <c r="G52" s="35" t="s">
        <v>144</v>
      </c>
      <c r="H52" s="35" t="s">
        <v>20</v>
      </c>
      <c r="I52" s="37">
        <v>2543.8399999999997</v>
      </c>
      <c r="J52" s="35" t="s">
        <v>9</v>
      </c>
      <c r="K52" s="35" t="s">
        <v>145</v>
      </c>
      <c r="M52" s="38">
        <v>0</v>
      </c>
      <c r="N52" s="35" t="s">
        <v>19</v>
      </c>
      <c r="O52" s="36">
        <v>2</v>
      </c>
      <c r="P52" s="39">
        <v>9.8777777777777782</v>
      </c>
      <c r="Q52" s="35" t="str">
        <f>EVALUATE_LOCATION(InputData[[#This Row],[Section]],InputData[[#This Row],[Forma de Pago]],InputData[[#This Row],[Ubic.Pretendida]],InputData[[#This Row],[Nro pag]])</f>
        <v xml:space="preserve"> </v>
      </c>
      <c r="R52" s="35">
        <f>ROUND(InputData[[#This Row],[AltoCm]],0)</f>
        <v>10</v>
      </c>
      <c r="S52" s="35" t="str">
        <f>InputData[[#This Row],[Col]]&amp;"x"&amp;IF(LEN(InputData[[#This Row],[Alto]])=2,InputData[[#This Row],[Alto]],"0"&amp;InputData[[#This Row],[Alto]])</f>
        <v>2x10</v>
      </c>
    </row>
    <row r="53" spans="1:19" hidden="1" x14ac:dyDescent="0.2">
      <c r="A53" s="35" t="s">
        <v>290</v>
      </c>
      <c r="B53" s="35" t="s">
        <v>291</v>
      </c>
      <c r="C53" s="35" t="s">
        <v>219</v>
      </c>
      <c r="D53" s="35" t="s">
        <v>292</v>
      </c>
      <c r="E53" s="35" t="s">
        <v>220</v>
      </c>
      <c r="F53" s="35" t="str">
        <f>LEFT(InputData[[#This Row],[Referencia]],32)</f>
        <v>DERGAM</v>
      </c>
      <c r="G53" s="35" t="s">
        <v>22</v>
      </c>
      <c r="H53" s="35" t="s">
        <v>40</v>
      </c>
      <c r="I53" s="37">
        <v>0</v>
      </c>
      <c r="J53" s="35" t="s">
        <v>9</v>
      </c>
      <c r="K53" s="35" t="s">
        <v>23</v>
      </c>
      <c r="L53" s="35" t="s">
        <v>23</v>
      </c>
      <c r="M53" s="38">
        <v>7</v>
      </c>
      <c r="N53" s="35" t="s">
        <v>19</v>
      </c>
      <c r="O53" s="36">
        <v>3</v>
      </c>
      <c r="P53" s="39">
        <v>9.8777777777777782</v>
      </c>
      <c r="Q53" s="35" t="str">
        <f>EVALUATE_LOCATION(InputData[[#This Row],[Section]],InputData[[#This Row],[Forma de Pago]],InputData[[#This Row],[Ubic.Pretendida]],InputData[[#This Row],[Nro pag]])</f>
        <v xml:space="preserve"> </v>
      </c>
      <c r="R53" s="35">
        <f>ROUND(InputData[[#This Row],[AltoCm]],0)</f>
        <v>10</v>
      </c>
      <c r="S53" s="35" t="str">
        <f>InputData[[#This Row],[Col]]&amp;"x"&amp;IF(LEN(InputData[[#This Row],[Alto]])=2,InputData[[#This Row],[Alto]],"0"&amp;InputData[[#This Row],[Alto]])</f>
        <v>3x10</v>
      </c>
    </row>
    <row r="54" spans="1:19" hidden="1" x14ac:dyDescent="0.2">
      <c r="A54" s="35" t="s">
        <v>290</v>
      </c>
      <c r="B54" s="35" t="s">
        <v>293</v>
      </c>
      <c r="C54" s="35" t="s">
        <v>294</v>
      </c>
      <c r="D54" s="35" t="s">
        <v>295</v>
      </c>
      <c r="E54" s="35" t="s">
        <v>296</v>
      </c>
      <c r="F54" s="35" t="str">
        <f>LEFT(InputData[[#This Row],[Referencia]],32)</f>
        <v>BINGO LOBO</v>
      </c>
      <c r="G54" s="35" t="s">
        <v>22</v>
      </c>
      <c r="H54" s="35" t="s">
        <v>40</v>
      </c>
      <c r="I54" s="37">
        <v>41161.5</v>
      </c>
      <c r="J54" s="35" t="s">
        <v>9</v>
      </c>
      <c r="K54" s="35" t="s">
        <v>150</v>
      </c>
      <c r="L54" s="35" t="s">
        <v>150</v>
      </c>
      <c r="M54" s="38">
        <v>8</v>
      </c>
      <c r="N54" s="35" t="s">
        <v>19</v>
      </c>
      <c r="O54" s="36">
        <v>5</v>
      </c>
      <c r="P54" s="39">
        <v>34.769777777777783</v>
      </c>
      <c r="Q54" s="35" t="str">
        <f>EVALUATE_LOCATION(InputData[[#This Row],[Section]],InputData[[#This Row],[Forma de Pago]],InputData[[#This Row],[Ubic.Pretendida]],InputData[[#This Row],[Nro pag]])</f>
        <v xml:space="preserve"> </v>
      </c>
      <c r="R54" s="35">
        <f>ROUND(InputData[[#This Row],[AltoCm]],0)</f>
        <v>35</v>
      </c>
      <c r="S54" s="35" t="str">
        <f>InputData[[#This Row],[Col]]&amp;"x"&amp;IF(LEN(InputData[[#This Row],[Alto]])=2,InputData[[#This Row],[Alto]],"0"&amp;InputData[[#This Row],[Alto]])</f>
        <v>5x35</v>
      </c>
    </row>
    <row r="55" spans="1:19" hidden="1" x14ac:dyDescent="0.2">
      <c r="A55" s="35" t="s">
        <v>36</v>
      </c>
      <c r="B55" s="35" t="s">
        <v>209</v>
      </c>
      <c r="C55" s="35" t="s">
        <v>63</v>
      </c>
      <c r="D55" s="35" t="s">
        <v>64</v>
      </c>
      <c r="E55" s="35" t="s">
        <v>65</v>
      </c>
      <c r="F55" s="35" t="str">
        <f>LEFT(InputData[[#This Row],[Referencia]],32)</f>
        <v>CINE ALFA...</v>
      </c>
      <c r="G55" s="35" t="s">
        <v>22</v>
      </c>
      <c r="H55" s="35" t="s">
        <v>56</v>
      </c>
      <c r="I55" s="37">
        <v>5497.6</v>
      </c>
      <c r="J55" s="35" t="s">
        <v>9</v>
      </c>
      <c r="K55" s="35" t="s">
        <v>30</v>
      </c>
      <c r="L55" s="35" t="s">
        <v>30</v>
      </c>
      <c r="M55" s="38">
        <v>4</v>
      </c>
      <c r="N55" s="35" t="s">
        <v>19</v>
      </c>
      <c r="O55" s="36">
        <v>5</v>
      </c>
      <c r="P55" s="39">
        <v>13.433777777777777</v>
      </c>
      <c r="Q55" s="35" t="str">
        <f>EVALUATE_LOCATION(InputData[[#This Row],[Section]],InputData[[#This Row],[Forma de Pago]],InputData[[#This Row],[Ubic.Pretendida]],InputData[[#This Row],[Nro pag]])</f>
        <v xml:space="preserve"> </v>
      </c>
      <c r="R55" s="35">
        <f>ROUND(InputData[[#This Row],[AltoCm]],0)</f>
        <v>13</v>
      </c>
      <c r="S55" s="35" t="str">
        <f>InputData[[#This Row],[Col]]&amp;"x"&amp;IF(LEN(InputData[[#This Row],[Alto]])=2,InputData[[#This Row],[Alto]],"0"&amp;InputData[[#This Row],[Alto]])</f>
        <v>5x13</v>
      </c>
    </row>
    <row r="56" spans="1:19" hidden="1" x14ac:dyDescent="0.2">
      <c r="A56" s="35" t="s">
        <v>36</v>
      </c>
      <c r="B56" s="35" t="s">
        <v>297</v>
      </c>
      <c r="C56" s="35" t="s">
        <v>235</v>
      </c>
      <c r="D56" s="35" t="s">
        <v>298</v>
      </c>
      <c r="E56" s="35" t="s">
        <v>299</v>
      </c>
      <c r="F56" s="35" t="str">
        <f>LEFT(InputData[[#This Row],[Referencia]],32)</f>
        <v>4 PÁGINAS ESPECIALES DE  SUPLEME</v>
      </c>
      <c r="G56" s="35" t="s">
        <v>236</v>
      </c>
      <c r="H56" s="35" t="s">
        <v>40</v>
      </c>
      <c r="I56" s="37">
        <v>1216289.5900000001</v>
      </c>
      <c r="J56" s="35" t="s">
        <v>9</v>
      </c>
      <c r="K56" s="35" t="s">
        <v>23</v>
      </c>
      <c r="M56" s="38">
        <v>0</v>
      </c>
      <c r="N56" s="35" t="s">
        <v>49</v>
      </c>
      <c r="O56" s="36">
        <v>5</v>
      </c>
      <c r="P56" s="39">
        <v>34.769777777777783</v>
      </c>
      <c r="Q56" s="35" t="str">
        <f>EVALUATE_LOCATION(InputData[[#This Row],[Section]],InputData[[#This Row],[Forma de Pago]],InputData[[#This Row],[Ubic.Pretendida]],InputData[[#This Row],[Nro pag]])</f>
        <v xml:space="preserve"> </v>
      </c>
      <c r="R56" s="35">
        <f>ROUND(InputData[[#This Row],[AltoCm]],0)</f>
        <v>35</v>
      </c>
      <c r="S56" s="35" t="str">
        <f>InputData[[#This Row],[Col]]&amp;"x"&amp;IF(LEN(InputData[[#This Row],[Alto]])=2,InputData[[#This Row],[Alto]],"0"&amp;InputData[[#This Row],[Alto]])</f>
        <v>5x35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N363"/>
  <sheetViews>
    <sheetView showGridLines="0" showZeros="0" tabSelected="1" zoomScaleNormal="100" workbookViewId="0">
      <selection activeCell="M1" sqref="M1"/>
    </sheetView>
  </sheetViews>
  <sheetFormatPr baseColWidth="10" defaultColWidth="9.85546875" defaultRowHeight="21.95" customHeight="1" x14ac:dyDescent="0.2"/>
  <cols>
    <col min="1" max="1" width="10.140625" style="8" customWidth="1"/>
    <col min="2" max="2" width="15.85546875" style="8" customWidth="1"/>
    <col min="3" max="3" width="3.28515625" style="18" customWidth="1"/>
    <col min="4" max="4" width="11" style="18" bestFit="1" customWidth="1"/>
    <col min="5" max="5" width="11.28515625" style="18" customWidth="1"/>
    <col min="6" max="6" width="5.5703125" style="18" customWidth="1"/>
    <col min="7" max="7" width="40.5703125" style="18" bestFit="1" customWidth="1"/>
    <col min="8" max="8" width="6.7109375" style="18" customWidth="1"/>
    <col min="9" max="9" width="13.5703125" style="18" customWidth="1"/>
    <col min="10" max="10" width="15.85546875" style="18" customWidth="1"/>
    <col min="11" max="11" width="12.140625" style="18" bestFit="1" customWidth="1"/>
    <col min="12" max="12" width="6.5703125" style="4" customWidth="1"/>
    <col min="13" max="13" width="3.7109375" style="2" customWidth="1"/>
    <col min="14" max="14" width="12.28515625" style="2" bestFit="1" customWidth="1"/>
    <col min="15" max="16384" width="9.85546875" style="2"/>
  </cols>
  <sheetData>
    <row r="1" spans="1:14" s="1" customFormat="1" ht="15" x14ac:dyDescent="0.2">
      <c r="A1" s="9" t="s">
        <v>25</v>
      </c>
      <c r="B1" s="9" t="s">
        <v>0</v>
      </c>
      <c r="C1" s="15" t="s">
        <v>31</v>
      </c>
      <c r="D1" s="15" t="s">
        <v>24</v>
      </c>
      <c r="E1" s="15" t="s">
        <v>32</v>
      </c>
      <c r="F1" s="15" t="s">
        <v>26</v>
      </c>
      <c r="G1" s="15" t="s">
        <v>5</v>
      </c>
      <c r="H1" s="15" t="s">
        <v>33</v>
      </c>
      <c r="I1" s="15" t="s">
        <v>27</v>
      </c>
      <c r="J1" s="15" t="s">
        <v>34</v>
      </c>
      <c r="K1" s="15" t="s">
        <v>1</v>
      </c>
      <c r="L1" s="10" t="s">
        <v>35</v>
      </c>
      <c r="N1" s="13" t="s">
        <v>74</v>
      </c>
    </row>
    <row r="2" spans="1:14" ht="21.95" customHeight="1" x14ac:dyDescent="0.2">
      <c r="A2" s="24" t="s">
        <v>49</v>
      </c>
      <c r="B2" s="24" t="s">
        <v>36</v>
      </c>
      <c r="C2" s="23">
        <v>0</v>
      </c>
      <c r="D2" s="23" t="s">
        <v>23</v>
      </c>
      <c r="E2" s="23" t="s">
        <v>28</v>
      </c>
      <c r="F2" s="23" t="s">
        <v>96</v>
      </c>
      <c r="G2" s="23" t="s">
        <v>306</v>
      </c>
      <c r="H2" s="23" t="s">
        <v>9</v>
      </c>
      <c r="I2" s="23" t="s">
        <v>298</v>
      </c>
      <c r="J2" s="23" t="s">
        <v>40</v>
      </c>
      <c r="K2" s="23" t="s">
        <v>297</v>
      </c>
      <c r="L2" s="22">
        <v>1</v>
      </c>
      <c r="M2" s="11"/>
      <c r="N2" s="14" t="str">
        <f>IF(FontColor(L2)&lt;&gt;0,"","Warning")</f>
        <v/>
      </c>
    </row>
    <row r="3" spans="1:14" ht="15" x14ac:dyDescent="0.2">
      <c r="A3" s="27" t="s">
        <v>49</v>
      </c>
      <c r="B3" s="27"/>
      <c r="C3" s="29" t="s">
        <v>66</v>
      </c>
      <c r="D3" s="30"/>
      <c r="E3" s="30"/>
      <c r="F3" s="30"/>
      <c r="G3" s="30"/>
      <c r="H3" s="30"/>
      <c r="I3" s="30"/>
      <c r="J3" s="30"/>
      <c r="K3" s="30"/>
      <c r="L3" s="20">
        <v>1</v>
      </c>
      <c r="M3" s="12"/>
    </row>
    <row r="4" spans="1:14" ht="21.95" customHeight="1" x14ac:dyDescent="0.2">
      <c r="A4" s="27" t="s">
        <v>49</v>
      </c>
      <c r="B4" s="24" t="s">
        <v>21</v>
      </c>
      <c r="C4" s="23">
        <v>13</v>
      </c>
      <c r="D4" s="23" t="s">
        <v>87</v>
      </c>
      <c r="E4" s="23" t="s">
        <v>28</v>
      </c>
      <c r="F4" s="23" t="s">
        <v>97</v>
      </c>
      <c r="G4" s="23" t="s">
        <v>307</v>
      </c>
      <c r="H4" s="23" t="s">
        <v>39</v>
      </c>
      <c r="I4" s="23" t="s">
        <v>28</v>
      </c>
      <c r="J4" s="23" t="s">
        <v>20</v>
      </c>
      <c r="K4" s="23" t="s">
        <v>280</v>
      </c>
      <c r="L4" s="22">
        <v>1</v>
      </c>
    </row>
    <row r="5" spans="1:14" ht="15" x14ac:dyDescent="0.2">
      <c r="A5" s="27" t="s">
        <v>49</v>
      </c>
      <c r="B5" s="27"/>
      <c r="C5" s="29" t="s">
        <v>238</v>
      </c>
      <c r="D5" s="30"/>
      <c r="E5" s="30"/>
      <c r="F5" s="30"/>
      <c r="G5" s="30"/>
      <c r="H5" s="30"/>
      <c r="I5" s="30"/>
      <c r="J5" s="30"/>
      <c r="K5" s="30"/>
      <c r="L5" s="20">
        <v>1</v>
      </c>
    </row>
    <row r="6" spans="1:14" ht="21.95" customHeight="1" x14ac:dyDescent="0.2">
      <c r="A6" s="27" t="s">
        <v>49</v>
      </c>
      <c r="B6" s="27"/>
      <c r="C6" s="23">
        <v>19</v>
      </c>
      <c r="D6" s="23" t="s">
        <v>30</v>
      </c>
      <c r="E6" s="23" t="s">
        <v>28</v>
      </c>
      <c r="F6" s="23" t="s">
        <v>29</v>
      </c>
      <c r="G6" s="23" t="s">
        <v>190</v>
      </c>
      <c r="H6" s="23" t="s">
        <v>9</v>
      </c>
      <c r="I6" s="23" t="s">
        <v>54</v>
      </c>
      <c r="J6" s="23" t="s">
        <v>40</v>
      </c>
      <c r="K6" s="23" t="s">
        <v>189</v>
      </c>
      <c r="L6" s="22">
        <v>1</v>
      </c>
    </row>
    <row r="7" spans="1:14" ht="15" x14ac:dyDescent="0.2">
      <c r="A7" s="27" t="s">
        <v>49</v>
      </c>
      <c r="B7" s="27"/>
      <c r="C7" s="29" t="s">
        <v>239</v>
      </c>
      <c r="D7" s="30"/>
      <c r="E7" s="30"/>
      <c r="F7" s="30"/>
      <c r="G7" s="30"/>
      <c r="H7" s="30"/>
      <c r="I7" s="30"/>
      <c r="J7" s="30"/>
      <c r="K7" s="30"/>
      <c r="L7" s="20">
        <v>1</v>
      </c>
    </row>
    <row r="8" spans="1:14" ht="21.95" customHeight="1" x14ac:dyDescent="0.2">
      <c r="A8" s="24" t="s">
        <v>28</v>
      </c>
      <c r="B8" s="24" t="s">
        <v>36</v>
      </c>
      <c r="C8" s="23">
        <v>4</v>
      </c>
      <c r="D8" s="23" t="s">
        <v>30</v>
      </c>
      <c r="E8" s="23" t="s">
        <v>28</v>
      </c>
      <c r="F8" s="23" t="s">
        <v>37</v>
      </c>
      <c r="G8" s="23" t="s">
        <v>65</v>
      </c>
      <c r="H8" s="23" t="s">
        <v>9</v>
      </c>
      <c r="I8" s="23" t="s">
        <v>64</v>
      </c>
      <c r="J8" s="23" t="s">
        <v>56</v>
      </c>
      <c r="K8" s="23" t="s">
        <v>209</v>
      </c>
      <c r="L8" s="22">
        <v>1</v>
      </c>
    </row>
    <row r="9" spans="1:14" ht="15" x14ac:dyDescent="0.2">
      <c r="A9" s="27" t="s">
        <v>28</v>
      </c>
      <c r="B9" s="27"/>
      <c r="C9" s="29" t="s">
        <v>146</v>
      </c>
      <c r="D9" s="30"/>
      <c r="E9" s="30"/>
      <c r="F9" s="30"/>
      <c r="G9" s="30"/>
      <c r="H9" s="30"/>
      <c r="I9" s="30"/>
      <c r="J9" s="30"/>
      <c r="K9" s="30"/>
      <c r="L9" s="20">
        <v>1</v>
      </c>
    </row>
    <row r="10" spans="1:14" ht="21.95" customHeight="1" x14ac:dyDescent="0.2">
      <c r="A10" s="27" t="s">
        <v>28</v>
      </c>
      <c r="B10" s="24" t="s">
        <v>290</v>
      </c>
      <c r="C10" s="23">
        <v>7</v>
      </c>
      <c r="D10" s="23" t="s">
        <v>23</v>
      </c>
      <c r="E10" s="23" t="s">
        <v>28</v>
      </c>
      <c r="F10" s="23" t="s">
        <v>86</v>
      </c>
      <c r="G10" s="23" t="s">
        <v>220</v>
      </c>
      <c r="H10" s="23" t="s">
        <v>9</v>
      </c>
      <c r="I10" s="23" t="s">
        <v>292</v>
      </c>
      <c r="J10" s="23" t="s">
        <v>40</v>
      </c>
      <c r="K10" s="23" t="s">
        <v>291</v>
      </c>
      <c r="L10" s="22">
        <v>1</v>
      </c>
      <c r="N10" s="14" t="str">
        <f>IF(FontColor(L10)&lt;&gt;0,"","Warning")</f>
        <v/>
      </c>
    </row>
    <row r="11" spans="1:14" ht="15" x14ac:dyDescent="0.2">
      <c r="A11" s="27" t="s">
        <v>28</v>
      </c>
      <c r="B11" s="27"/>
      <c r="C11" s="29" t="s">
        <v>115</v>
      </c>
      <c r="D11" s="30"/>
      <c r="E11" s="30"/>
      <c r="F11" s="30"/>
      <c r="G11" s="30"/>
      <c r="H11" s="30"/>
      <c r="I11" s="30"/>
      <c r="J11" s="30"/>
      <c r="K11" s="30"/>
      <c r="L11" s="20">
        <v>1</v>
      </c>
    </row>
    <row r="12" spans="1:14" ht="21.95" customHeight="1" x14ac:dyDescent="0.2">
      <c r="A12" s="27" t="s">
        <v>28</v>
      </c>
      <c r="B12" s="27"/>
      <c r="C12" s="23">
        <v>8</v>
      </c>
      <c r="D12" s="23" t="s">
        <v>150</v>
      </c>
      <c r="E12" s="23" t="s">
        <v>28</v>
      </c>
      <c r="F12" s="23" t="s">
        <v>96</v>
      </c>
      <c r="G12" s="23" t="s">
        <v>296</v>
      </c>
      <c r="H12" s="23" t="s">
        <v>9</v>
      </c>
      <c r="I12" s="23" t="s">
        <v>295</v>
      </c>
      <c r="J12" s="23" t="s">
        <v>40</v>
      </c>
      <c r="K12" s="23" t="s">
        <v>293</v>
      </c>
      <c r="L12" s="22">
        <v>1</v>
      </c>
    </row>
    <row r="13" spans="1:14" ht="15" x14ac:dyDescent="0.2">
      <c r="A13" s="27" t="s">
        <v>28</v>
      </c>
      <c r="B13" s="27"/>
      <c r="C13" s="29" t="s">
        <v>237</v>
      </c>
      <c r="D13" s="30"/>
      <c r="E13" s="30"/>
      <c r="F13" s="30"/>
      <c r="G13" s="30"/>
      <c r="H13" s="30"/>
      <c r="I13" s="30"/>
      <c r="J13" s="30"/>
      <c r="K13" s="30"/>
      <c r="L13" s="20">
        <v>1</v>
      </c>
    </row>
    <row r="14" spans="1:14" ht="21.95" customHeight="1" x14ac:dyDescent="0.2">
      <c r="A14" s="27" t="s">
        <v>28</v>
      </c>
      <c r="B14" s="24" t="s">
        <v>143</v>
      </c>
      <c r="C14" s="23">
        <v>0</v>
      </c>
      <c r="D14" s="23" t="s">
        <v>145</v>
      </c>
      <c r="E14" s="23" t="s">
        <v>28</v>
      </c>
      <c r="F14" s="23" t="s">
        <v>75</v>
      </c>
      <c r="G14" s="23" t="s">
        <v>308</v>
      </c>
      <c r="H14" s="23" t="s">
        <v>9</v>
      </c>
      <c r="I14" s="23" t="s">
        <v>28</v>
      </c>
      <c r="J14" s="23" t="s">
        <v>20</v>
      </c>
      <c r="K14" s="23" t="s">
        <v>287</v>
      </c>
      <c r="L14" s="22">
        <v>1</v>
      </c>
    </row>
    <row r="15" spans="1:14" ht="15" x14ac:dyDescent="0.2">
      <c r="A15" s="27" t="s">
        <v>28</v>
      </c>
      <c r="B15" s="27"/>
      <c r="C15" s="29" t="s">
        <v>66</v>
      </c>
      <c r="D15" s="30"/>
      <c r="E15" s="30"/>
      <c r="F15" s="30"/>
      <c r="G15" s="30"/>
      <c r="H15" s="30"/>
      <c r="I15" s="30"/>
      <c r="J15" s="30"/>
      <c r="K15" s="30"/>
      <c r="L15" s="20">
        <v>1</v>
      </c>
    </row>
    <row r="16" spans="1:14" ht="21.95" customHeight="1" x14ac:dyDescent="0.2">
      <c r="A16" s="27" t="s">
        <v>28</v>
      </c>
      <c r="B16" s="24" t="s">
        <v>57</v>
      </c>
      <c r="C16" s="24">
        <v>0</v>
      </c>
      <c r="D16" s="24" t="s">
        <v>62</v>
      </c>
      <c r="E16" s="24" t="s">
        <v>28</v>
      </c>
      <c r="F16" s="24" t="s">
        <v>68</v>
      </c>
      <c r="G16" s="23" t="s">
        <v>116</v>
      </c>
      <c r="H16" s="24" t="s">
        <v>39</v>
      </c>
      <c r="I16" s="24" t="s">
        <v>28</v>
      </c>
      <c r="J16" s="24" t="s">
        <v>20</v>
      </c>
      <c r="K16" s="23" t="s">
        <v>113</v>
      </c>
      <c r="L16" s="22">
        <v>1</v>
      </c>
    </row>
    <row r="17" spans="1:12" ht="21.95" customHeight="1" x14ac:dyDescent="0.2">
      <c r="A17" s="27" t="s">
        <v>28</v>
      </c>
      <c r="B17" s="27"/>
      <c r="C17" s="26"/>
      <c r="D17" s="26"/>
      <c r="E17" s="26" t="s">
        <v>28</v>
      </c>
      <c r="F17" s="26"/>
      <c r="G17" s="23" t="s">
        <v>117</v>
      </c>
      <c r="H17" s="25" t="s">
        <v>39</v>
      </c>
      <c r="I17" s="25" t="s">
        <v>28</v>
      </c>
      <c r="J17" s="25" t="s">
        <v>20</v>
      </c>
      <c r="K17" s="23" t="s">
        <v>110</v>
      </c>
      <c r="L17" s="22">
        <v>1</v>
      </c>
    </row>
    <row r="18" spans="1:12" ht="21.95" customHeight="1" x14ac:dyDescent="0.2">
      <c r="A18" s="27" t="s">
        <v>28</v>
      </c>
      <c r="B18" s="27"/>
      <c r="C18" s="26"/>
      <c r="D18" s="26"/>
      <c r="E18" s="26" t="s">
        <v>28</v>
      </c>
      <c r="F18" s="23" t="s">
        <v>69</v>
      </c>
      <c r="G18" s="23" t="s">
        <v>172</v>
      </c>
      <c r="H18" s="25" t="s">
        <v>39</v>
      </c>
      <c r="I18" s="25" t="s">
        <v>28</v>
      </c>
      <c r="J18" s="25" t="s">
        <v>20</v>
      </c>
      <c r="K18" s="23" t="s">
        <v>165</v>
      </c>
      <c r="L18" s="22">
        <v>1</v>
      </c>
    </row>
    <row r="19" spans="1:12" ht="21.95" customHeight="1" x14ac:dyDescent="0.2">
      <c r="A19" s="27" t="s">
        <v>28</v>
      </c>
      <c r="B19" s="27"/>
      <c r="C19" s="26"/>
      <c r="D19" s="26"/>
      <c r="E19" s="26" t="s">
        <v>28</v>
      </c>
      <c r="F19" s="23" t="s">
        <v>89</v>
      </c>
      <c r="G19" s="23" t="s">
        <v>106</v>
      </c>
      <c r="H19" s="25" t="s">
        <v>39</v>
      </c>
      <c r="I19" s="25" t="s">
        <v>28</v>
      </c>
      <c r="J19" s="25" t="s">
        <v>20</v>
      </c>
      <c r="K19" s="23" t="s">
        <v>103</v>
      </c>
      <c r="L19" s="22">
        <v>1</v>
      </c>
    </row>
    <row r="20" spans="1:12" ht="21.95" customHeight="1" x14ac:dyDescent="0.2">
      <c r="A20" s="27" t="s">
        <v>28</v>
      </c>
      <c r="B20" s="27"/>
      <c r="C20" s="26"/>
      <c r="D20" s="23" t="s">
        <v>61</v>
      </c>
      <c r="E20" s="25" t="s">
        <v>28</v>
      </c>
      <c r="F20" s="23" t="s">
        <v>69</v>
      </c>
      <c r="G20" s="23" t="s">
        <v>60</v>
      </c>
      <c r="H20" s="25" t="s">
        <v>39</v>
      </c>
      <c r="I20" s="23" t="s">
        <v>208</v>
      </c>
      <c r="J20" s="23" t="s">
        <v>40</v>
      </c>
      <c r="K20" s="23" t="s">
        <v>207</v>
      </c>
      <c r="L20" s="22">
        <v>1</v>
      </c>
    </row>
    <row r="21" spans="1:12" ht="21.95" customHeight="1" x14ac:dyDescent="0.2">
      <c r="A21" s="27" t="s">
        <v>28</v>
      </c>
      <c r="B21" s="27"/>
      <c r="C21" s="26"/>
      <c r="D21" s="24" t="s">
        <v>73</v>
      </c>
      <c r="E21" s="25" t="s">
        <v>28</v>
      </c>
      <c r="F21" s="23" t="s">
        <v>67</v>
      </c>
      <c r="G21" s="23" t="s">
        <v>85</v>
      </c>
      <c r="H21" s="25" t="s">
        <v>39</v>
      </c>
      <c r="I21" s="24" t="s">
        <v>28</v>
      </c>
      <c r="J21" s="24" t="s">
        <v>20</v>
      </c>
      <c r="K21" s="23" t="s">
        <v>82</v>
      </c>
      <c r="L21" s="22">
        <v>1</v>
      </c>
    </row>
    <row r="22" spans="1:12" ht="21.95" customHeight="1" x14ac:dyDescent="0.2">
      <c r="A22" s="27" t="s">
        <v>28</v>
      </c>
      <c r="B22" s="27"/>
      <c r="C22" s="26"/>
      <c r="D22" s="26"/>
      <c r="E22" s="26" t="s">
        <v>28</v>
      </c>
      <c r="F22" s="23" t="s">
        <v>68</v>
      </c>
      <c r="G22" s="23" t="s">
        <v>118</v>
      </c>
      <c r="H22" s="25" t="s">
        <v>39</v>
      </c>
      <c r="I22" s="25" t="s">
        <v>28</v>
      </c>
      <c r="J22" s="25" t="s">
        <v>20</v>
      </c>
      <c r="K22" s="23" t="s">
        <v>107</v>
      </c>
      <c r="L22" s="22">
        <v>1</v>
      </c>
    </row>
    <row r="23" spans="1:12" ht="21.95" customHeight="1" x14ac:dyDescent="0.2">
      <c r="A23" s="27" t="s">
        <v>28</v>
      </c>
      <c r="B23" s="27"/>
      <c r="C23" s="26"/>
      <c r="D23" s="23" t="s">
        <v>164</v>
      </c>
      <c r="E23" s="25" t="s">
        <v>28</v>
      </c>
      <c r="F23" s="23" t="s">
        <v>168</v>
      </c>
      <c r="G23" s="23" t="s">
        <v>173</v>
      </c>
      <c r="H23" s="23" t="s">
        <v>9</v>
      </c>
      <c r="I23" s="25" t="s">
        <v>28</v>
      </c>
      <c r="J23" s="25" t="s">
        <v>20</v>
      </c>
      <c r="K23" s="23" t="s">
        <v>161</v>
      </c>
      <c r="L23" s="22">
        <v>1</v>
      </c>
    </row>
    <row r="24" spans="1:12" ht="21.95" customHeight="1" x14ac:dyDescent="0.2">
      <c r="A24" s="27" t="s">
        <v>28</v>
      </c>
      <c r="B24" s="27"/>
      <c r="C24" s="26"/>
      <c r="D24" s="24" t="s">
        <v>76</v>
      </c>
      <c r="E24" s="25" t="s">
        <v>28</v>
      </c>
      <c r="F24" s="23" t="s">
        <v>67</v>
      </c>
      <c r="G24" s="23" t="s">
        <v>81</v>
      </c>
      <c r="H24" s="24" t="s">
        <v>39</v>
      </c>
      <c r="I24" s="25" t="s">
        <v>28</v>
      </c>
      <c r="J24" s="25" t="s">
        <v>20</v>
      </c>
      <c r="K24" s="23" t="s">
        <v>78</v>
      </c>
      <c r="L24" s="22">
        <v>1</v>
      </c>
    </row>
    <row r="25" spans="1:12" ht="21.95" customHeight="1" x14ac:dyDescent="0.2">
      <c r="A25" s="27" t="s">
        <v>28</v>
      </c>
      <c r="B25" s="27"/>
      <c r="C25" s="26"/>
      <c r="D25" s="26"/>
      <c r="E25" s="26" t="s">
        <v>28</v>
      </c>
      <c r="F25" s="23" t="s">
        <v>69</v>
      </c>
      <c r="G25" s="23" t="s">
        <v>122</v>
      </c>
      <c r="H25" s="25" t="s">
        <v>39</v>
      </c>
      <c r="I25" s="25" t="s">
        <v>28</v>
      </c>
      <c r="J25" s="25" t="s">
        <v>20</v>
      </c>
      <c r="K25" s="23" t="s">
        <v>119</v>
      </c>
      <c r="L25" s="22">
        <v>1</v>
      </c>
    </row>
    <row r="26" spans="1:12" ht="21.95" customHeight="1" x14ac:dyDescent="0.2">
      <c r="A26" s="27" t="s">
        <v>28</v>
      </c>
      <c r="B26" s="27"/>
      <c r="C26" s="26"/>
      <c r="D26" s="23" t="s">
        <v>101</v>
      </c>
      <c r="E26" s="25" t="s">
        <v>28</v>
      </c>
      <c r="F26" s="24" t="s">
        <v>67</v>
      </c>
      <c r="G26" s="23" t="s">
        <v>102</v>
      </c>
      <c r="H26" s="25" t="s">
        <v>39</v>
      </c>
      <c r="I26" s="25" t="s">
        <v>28</v>
      </c>
      <c r="J26" s="25" t="s">
        <v>20</v>
      </c>
      <c r="K26" s="23" t="s">
        <v>98</v>
      </c>
      <c r="L26" s="22">
        <v>1</v>
      </c>
    </row>
    <row r="27" spans="1:12" ht="21.95" customHeight="1" x14ac:dyDescent="0.2">
      <c r="A27" s="27" t="s">
        <v>28</v>
      </c>
      <c r="B27" s="27"/>
      <c r="C27" s="26"/>
      <c r="D27" s="23" t="s">
        <v>136</v>
      </c>
      <c r="E27" s="25" t="s">
        <v>28</v>
      </c>
      <c r="F27" s="25" t="s">
        <v>67</v>
      </c>
      <c r="G27" s="23" t="s">
        <v>139</v>
      </c>
      <c r="H27" s="25" t="s">
        <v>39</v>
      </c>
      <c r="I27" s="25" t="s">
        <v>28</v>
      </c>
      <c r="J27" s="25" t="s">
        <v>20</v>
      </c>
      <c r="K27" s="23" t="s">
        <v>142</v>
      </c>
      <c r="L27" s="22">
        <v>1</v>
      </c>
    </row>
    <row r="28" spans="1:12" ht="15" x14ac:dyDescent="0.2">
      <c r="A28" s="27" t="s">
        <v>28</v>
      </c>
      <c r="B28" s="27"/>
      <c r="C28" s="29" t="s">
        <v>66</v>
      </c>
      <c r="D28" s="30"/>
      <c r="E28" s="30"/>
      <c r="F28" s="30"/>
      <c r="G28" s="30"/>
      <c r="H28" s="30"/>
      <c r="I28" s="30"/>
      <c r="J28" s="30"/>
      <c r="K28" s="30"/>
      <c r="L28" s="20">
        <v>12</v>
      </c>
    </row>
    <row r="29" spans="1:12" ht="21.95" customHeight="1" x14ac:dyDescent="0.2">
      <c r="A29" s="27" t="s">
        <v>28</v>
      </c>
      <c r="B29" s="24" t="s">
        <v>21</v>
      </c>
      <c r="C29" s="24">
        <v>0</v>
      </c>
      <c r="D29" s="23" t="s">
        <v>48</v>
      </c>
      <c r="E29" s="23" t="s">
        <v>28</v>
      </c>
      <c r="F29" s="23" t="s">
        <v>68</v>
      </c>
      <c r="G29" s="23" t="s">
        <v>51</v>
      </c>
      <c r="H29" s="24" t="s">
        <v>9</v>
      </c>
      <c r="I29" s="23" t="s">
        <v>196</v>
      </c>
      <c r="J29" s="24" t="s">
        <v>40</v>
      </c>
      <c r="K29" s="23" t="s">
        <v>195</v>
      </c>
      <c r="L29" s="22">
        <v>1</v>
      </c>
    </row>
    <row r="30" spans="1:12" ht="21.95" customHeight="1" x14ac:dyDescent="0.2">
      <c r="A30" s="27" t="s">
        <v>28</v>
      </c>
      <c r="B30" s="27"/>
      <c r="C30" s="26"/>
      <c r="D30" s="23" t="s">
        <v>30</v>
      </c>
      <c r="E30" s="23" t="s">
        <v>167</v>
      </c>
      <c r="F30" s="23" t="s">
        <v>75</v>
      </c>
      <c r="G30" s="23" t="s">
        <v>277</v>
      </c>
      <c r="H30" s="25" t="s">
        <v>9</v>
      </c>
      <c r="I30" s="23" t="s">
        <v>279</v>
      </c>
      <c r="J30" s="25" t="s">
        <v>40</v>
      </c>
      <c r="K30" s="23" t="s">
        <v>278</v>
      </c>
      <c r="L30" s="22">
        <v>1</v>
      </c>
    </row>
    <row r="31" spans="1:12" ht="15" x14ac:dyDescent="0.2">
      <c r="A31" s="27" t="s">
        <v>28</v>
      </c>
      <c r="B31" s="27"/>
      <c r="C31" s="29" t="s">
        <v>66</v>
      </c>
      <c r="D31" s="30"/>
      <c r="E31" s="30"/>
      <c r="F31" s="30"/>
      <c r="G31" s="30"/>
      <c r="H31" s="30"/>
      <c r="I31" s="30"/>
      <c r="J31" s="30"/>
      <c r="K31" s="30"/>
      <c r="L31" s="20">
        <v>2</v>
      </c>
    </row>
    <row r="32" spans="1:12" ht="21.95" customHeight="1" x14ac:dyDescent="0.2">
      <c r="A32" s="27" t="s">
        <v>28</v>
      </c>
      <c r="B32" s="27"/>
      <c r="C32" s="23">
        <v>3</v>
      </c>
      <c r="D32" s="23" t="s">
        <v>87</v>
      </c>
      <c r="E32" s="23" t="s">
        <v>28</v>
      </c>
      <c r="F32" s="23" t="s">
        <v>29</v>
      </c>
      <c r="G32" s="23" t="s">
        <v>234</v>
      </c>
      <c r="H32" s="23" t="s">
        <v>9</v>
      </c>
      <c r="I32" s="23" t="s">
        <v>233</v>
      </c>
      <c r="J32" s="23" t="s">
        <v>56</v>
      </c>
      <c r="K32" s="23" t="s">
        <v>232</v>
      </c>
      <c r="L32" s="22">
        <v>1</v>
      </c>
    </row>
    <row r="33" spans="1:12" ht="15" x14ac:dyDescent="0.2">
      <c r="A33" s="27" t="s">
        <v>28</v>
      </c>
      <c r="B33" s="27"/>
      <c r="C33" s="29" t="s">
        <v>71</v>
      </c>
      <c r="D33" s="30"/>
      <c r="E33" s="30"/>
      <c r="F33" s="30"/>
      <c r="G33" s="30"/>
      <c r="H33" s="30"/>
      <c r="I33" s="30"/>
      <c r="J33" s="30"/>
      <c r="K33" s="30"/>
      <c r="L33" s="20">
        <v>1</v>
      </c>
    </row>
    <row r="34" spans="1:12" ht="21.95" customHeight="1" x14ac:dyDescent="0.2">
      <c r="A34" s="27" t="s">
        <v>28</v>
      </c>
      <c r="B34" s="27"/>
      <c r="C34" s="23">
        <v>7</v>
      </c>
      <c r="D34" s="23" t="s">
        <v>201</v>
      </c>
      <c r="E34" s="23" t="s">
        <v>28</v>
      </c>
      <c r="F34" s="23" t="s">
        <v>29</v>
      </c>
      <c r="G34" s="23" t="s">
        <v>213</v>
      </c>
      <c r="H34" s="23" t="s">
        <v>9</v>
      </c>
      <c r="I34" s="23" t="s">
        <v>54</v>
      </c>
      <c r="J34" s="23" t="s">
        <v>40</v>
      </c>
      <c r="K34" s="23" t="s">
        <v>199</v>
      </c>
      <c r="L34" s="22">
        <v>1</v>
      </c>
    </row>
    <row r="35" spans="1:12" ht="15" x14ac:dyDescent="0.2">
      <c r="A35" s="27" t="s">
        <v>28</v>
      </c>
      <c r="B35" s="27"/>
      <c r="C35" s="29" t="s">
        <v>115</v>
      </c>
      <c r="D35" s="30"/>
      <c r="E35" s="30"/>
      <c r="F35" s="30"/>
      <c r="G35" s="30"/>
      <c r="H35" s="30"/>
      <c r="I35" s="30"/>
      <c r="J35" s="30"/>
      <c r="K35" s="30"/>
      <c r="L35" s="20">
        <v>1</v>
      </c>
    </row>
    <row r="36" spans="1:12" ht="21.95" customHeight="1" x14ac:dyDescent="0.2">
      <c r="A36" s="27" t="s">
        <v>28</v>
      </c>
      <c r="B36" s="27"/>
      <c r="C36" s="23">
        <v>9</v>
      </c>
      <c r="D36" s="23" t="s">
        <v>150</v>
      </c>
      <c r="E36" s="23" t="s">
        <v>167</v>
      </c>
      <c r="F36" s="23" t="s">
        <v>96</v>
      </c>
      <c r="G36" s="23" t="s">
        <v>286</v>
      </c>
      <c r="H36" s="23" t="s">
        <v>9</v>
      </c>
      <c r="I36" s="23" t="s">
        <v>285</v>
      </c>
      <c r="J36" s="23" t="s">
        <v>40</v>
      </c>
      <c r="K36" s="23" t="s">
        <v>283</v>
      </c>
      <c r="L36" s="22">
        <v>1</v>
      </c>
    </row>
    <row r="37" spans="1:12" ht="15" x14ac:dyDescent="0.2">
      <c r="A37" s="27" t="s">
        <v>28</v>
      </c>
      <c r="B37" s="27"/>
      <c r="C37" s="29" t="s">
        <v>152</v>
      </c>
      <c r="D37" s="30"/>
      <c r="E37" s="30"/>
      <c r="F37" s="30"/>
      <c r="G37" s="30"/>
      <c r="H37" s="30"/>
      <c r="I37" s="30"/>
      <c r="J37" s="30"/>
      <c r="K37" s="30"/>
      <c r="L37" s="20">
        <v>1</v>
      </c>
    </row>
    <row r="38" spans="1:12" ht="21.95" customHeight="1" x14ac:dyDescent="0.2">
      <c r="A38" s="27" t="s">
        <v>28</v>
      </c>
      <c r="B38" s="27"/>
      <c r="C38" s="23">
        <v>20</v>
      </c>
      <c r="D38" s="23" t="s">
        <v>30</v>
      </c>
      <c r="E38" s="23" t="s">
        <v>28</v>
      </c>
      <c r="F38" s="23" t="s">
        <v>96</v>
      </c>
      <c r="G38" s="23" t="s">
        <v>174</v>
      </c>
      <c r="H38" s="23" t="s">
        <v>39</v>
      </c>
      <c r="I38" s="23" t="s">
        <v>28</v>
      </c>
      <c r="J38" s="23" t="s">
        <v>20</v>
      </c>
      <c r="K38" s="23" t="s">
        <v>227</v>
      </c>
      <c r="L38" s="22">
        <v>1</v>
      </c>
    </row>
    <row r="39" spans="1:12" ht="15" x14ac:dyDescent="0.2">
      <c r="A39" s="27" t="s">
        <v>28</v>
      </c>
      <c r="B39" s="27"/>
      <c r="C39" s="29" t="s">
        <v>210</v>
      </c>
      <c r="D39" s="30"/>
      <c r="E39" s="30"/>
      <c r="F39" s="30"/>
      <c r="G39" s="30"/>
      <c r="H39" s="30"/>
      <c r="I39" s="30"/>
      <c r="J39" s="30"/>
      <c r="K39" s="30"/>
      <c r="L39" s="20">
        <v>1</v>
      </c>
    </row>
    <row r="40" spans="1:12" ht="21.95" customHeight="1" x14ac:dyDescent="0.2">
      <c r="A40" s="27" t="s">
        <v>28</v>
      </c>
      <c r="B40" s="27"/>
      <c r="C40" s="23">
        <v>21</v>
      </c>
      <c r="D40" s="23" t="s">
        <v>231</v>
      </c>
      <c r="E40" s="23" t="s">
        <v>28</v>
      </c>
      <c r="F40" s="23" t="s">
        <v>75</v>
      </c>
      <c r="G40" s="23" t="s">
        <v>230</v>
      </c>
      <c r="H40" s="23" t="s">
        <v>39</v>
      </c>
      <c r="I40" s="23" t="s">
        <v>229</v>
      </c>
      <c r="J40" s="23" t="s">
        <v>40</v>
      </c>
      <c r="K40" s="23" t="s">
        <v>228</v>
      </c>
      <c r="L40" s="22">
        <v>1</v>
      </c>
    </row>
    <row r="41" spans="1:12" ht="15" x14ac:dyDescent="0.2">
      <c r="A41" s="27" t="s">
        <v>28</v>
      </c>
      <c r="B41" s="27"/>
      <c r="C41" s="29" t="s">
        <v>300</v>
      </c>
      <c r="D41" s="30"/>
      <c r="E41" s="30"/>
      <c r="F41" s="30"/>
      <c r="G41" s="30"/>
      <c r="H41" s="30"/>
      <c r="I41" s="30"/>
      <c r="J41" s="30"/>
      <c r="K41" s="30"/>
      <c r="L41" s="20">
        <v>1</v>
      </c>
    </row>
    <row r="42" spans="1:12" ht="21.95" customHeight="1" x14ac:dyDescent="0.2">
      <c r="A42" s="27" t="s">
        <v>28</v>
      </c>
      <c r="B42" s="27"/>
      <c r="C42" s="24">
        <v>25</v>
      </c>
      <c r="D42" s="24" t="s">
        <v>30</v>
      </c>
      <c r="E42" s="24" t="s">
        <v>28</v>
      </c>
      <c r="F42" s="23" t="s">
        <v>75</v>
      </c>
      <c r="G42" s="23" t="s">
        <v>277</v>
      </c>
      <c r="H42" s="24" t="s">
        <v>9</v>
      </c>
      <c r="I42" s="23" t="s">
        <v>28</v>
      </c>
      <c r="J42" s="23" t="s">
        <v>20</v>
      </c>
      <c r="K42" s="23" t="s">
        <v>275</v>
      </c>
      <c r="L42" s="22">
        <v>1</v>
      </c>
    </row>
    <row r="43" spans="1:12" ht="21.95" customHeight="1" x14ac:dyDescent="0.2">
      <c r="A43" s="27" t="s">
        <v>28</v>
      </c>
      <c r="B43" s="27"/>
      <c r="C43" s="26"/>
      <c r="D43" s="26"/>
      <c r="E43" s="26" t="s">
        <v>28</v>
      </c>
      <c r="F43" s="23" t="s">
        <v>86</v>
      </c>
      <c r="G43" s="23" t="s">
        <v>274</v>
      </c>
      <c r="H43" s="25" t="s">
        <v>9</v>
      </c>
      <c r="I43" s="23" t="s">
        <v>273</v>
      </c>
      <c r="J43" s="23" t="s">
        <v>56</v>
      </c>
      <c r="K43" s="23" t="s">
        <v>272</v>
      </c>
      <c r="L43" s="22">
        <v>1</v>
      </c>
    </row>
    <row r="44" spans="1:12" ht="15" x14ac:dyDescent="0.2">
      <c r="A44" s="27" t="s">
        <v>28</v>
      </c>
      <c r="B44" s="27"/>
      <c r="C44" s="29" t="s">
        <v>169</v>
      </c>
      <c r="D44" s="30"/>
      <c r="E44" s="30"/>
      <c r="F44" s="30"/>
      <c r="G44" s="30"/>
      <c r="H44" s="30"/>
      <c r="I44" s="30"/>
      <c r="J44" s="30"/>
      <c r="K44" s="30"/>
      <c r="L44" s="20">
        <v>2</v>
      </c>
    </row>
    <row r="45" spans="1:12" ht="21.95" customHeight="1" x14ac:dyDescent="0.2">
      <c r="A45" s="27" t="s">
        <v>28</v>
      </c>
      <c r="B45" s="27"/>
      <c r="C45" s="24">
        <v>31</v>
      </c>
      <c r="D45" s="24" t="s">
        <v>48</v>
      </c>
      <c r="E45" s="24" t="s">
        <v>28</v>
      </c>
      <c r="F45" s="24" t="s">
        <v>70</v>
      </c>
      <c r="G45" s="23" t="s">
        <v>47</v>
      </c>
      <c r="H45" s="24" t="s">
        <v>9</v>
      </c>
      <c r="I45" s="23" t="s">
        <v>198</v>
      </c>
      <c r="J45" s="24" t="s">
        <v>40</v>
      </c>
      <c r="K45" s="23" t="s">
        <v>197</v>
      </c>
      <c r="L45" s="22">
        <v>1</v>
      </c>
    </row>
    <row r="46" spans="1:12" ht="21.95" customHeight="1" x14ac:dyDescent="0.2">
      <c r="A46" s="27" t="s">
        <v>28</v>
      </c>
      <c r="B46" s="27"/>
      <c r="C46" s="26"/>
      <c r="D46" s="26"/>
      <c r="E46" s="26" t="s">
        <v>28</v>
      </c>
      <c r="F46" s="26"/>
      <c r="G46" s="23" t="s">
        <v>52</v>
      </c>
      <c r="H46" s="25" t="s">
        <v>9</v>
      </c>
      <c r="I46" s="23" t="s">
        <v>194</v>
      </c>
      <c r="J46" s="25" t="s">
        <v>40</v>
      </c>
      <c r="K46" s="23" t="s">
        <v>193</v>
      </c>
      <c r="L46" s="22">
        <v>1</v>
      </c>
    </row>
    <row r="47" spans="1:12" ht="21.95" customHeight="1" x14ac:dyDescent="0.2">
      <c r="A47" s="27" t="s">
        <v>28</v>
      </c>
      <c r="B47" s="27"/>
      <c r="C47" s="26"/>
      <c r="D47" s="23" t="s">
        <v>23</v>
      </c>
      <c r="E47" s="25" t="s">
        <v>28</v>
      </c>
      <c r="F47" s="24" t="s">
        <v>72</v>
      </c>
      <c r="G47" s="23" t="s">
        <v>45</v>
      </c>
      <c r="H47" s="25" t="s">
        <v>9</v>
      </c>
      <c r="I47" s="23" t="s">
        <v>192</v>
      </c>
      <c r="J47" s="25" t="s">
        <v>40</v>
      </c>
      <c r="K47" s="23" t="s">
        <v>191</v>
      </c>
      <c r="L47" s="22">
        <v>1</v>
      </c>
    </row>
    <row r="48" spans="1:12" ht="21.95" customHeight="1" x14ac:dyDescent="0.2">
      <c r="A48" s="27" t="s">
        <v>28</v>
      </c>
      <c r="B48" s="27"/>
      <c r="C48" s="26"/>
      <c r="D48" s="23" t="s">
        <v>160</v>
      </c>
      <c r="E48" s="25" t="s">
        <v>28</v>
      </c>
      <c r="F48" s="25" t="s">
        <v>72</v>
      </c>
      <c r="G48" s="23" t="s">
        <v>159</v>
      </c>
      <c r="H48" s="25" t="s">
        <v>9</v>
      </c>
      <c r="I48" s="23" t="s">
        <v>203</v>
      </c>
      <c r="J48" s="25" t="s">
        <v>40</v>
      </c>
      <c r="K48" s="23" t="s">
        <v>202</v>
      </c>
      <c r="L48" s="22">
        <v>1</v>
      </c>
    </row>
    <row r="49" spans="1:12" ht="15" x14ac:dyDescent="0.2">
      <c r="A49" s="27" t="s">
        <v>28</v>
      </c>
      <c r="B49" s="27"/>
      <c r="C49" s="29" t="s">
        <v>170</v>
      </c>
      <c r="D49" s="30"/>
      <c r="E49" s="30"/>
      <c r="F49" s="30"/>
      <c r="G49" s="30"/>
      <c r="H49" s="30"/>
      <c r="I49" s="30"/>
      <c r="J49" s="30"/>
      <c r="K49" s="30"/>
      <c r="L49" s="20">
        <v>4</v>
      </c>
    </row>
    <row r="50" spans="1:12" ht="21.95" customHeight="1" x14ac:dyDescent="0.2">
      <c r="A50" s="27" t="s">
        <v>28</v>
      </c>
      <c r="B50" s="27"/>
      <c r="C50" s="23">
        <v>32</v>
      </c>
      <c r="D50" s="23" t="s">
        <v>150</v>
      </c>
      <c r="E50" s="23" t="s">
        <v>28</v>
      </c>
      <c r="F50" s="23" t="s">
        <v>96</v>
      </c>
      <c r="G50" s="23" t="s">
        <v>214</v>
      </c>
      <c r="H50" s="23" t="s">
        <v>9</v>
      </c>
      <c r="I50" s="23" t="s">
        <v>54</v>
      </c>
      <c r="J50" s="23" t="s">
        <v>40</v>
      </c>
      <c r="K50" s="23" t="s">
        <v>204</v>
      </c>
      <c r="L50" s="22">
        <v>1</v>
      </c>
    </row>
    <row r="51" spans="1:12" ht="15" x14ac:dyDescent="0.2">
      <c r="A51" s="27" t="s">
        <v>28</v>
      </c>
      <c r="B51" s="27"/>
      <c r="C51" s="29" t="s">
        <v>211</v>
      </c>
      <c r="D51" s="30"/>
      <c r="E51" s="30"/>
      <c r="F51" s="30"/>
      <c r="G51" s="30"/>
      <c r="H51" s="30"/>
      <c r="I51" s="30"/>
      <c r="J51" s="30"/>
      <c r="K51" s="30"/>
      <c r="L51" s="20">
        <v>1</v>
      </c>
    </row>
    <row r="52" spans="1:12" ht="21.95" customHeight="1" x14ac:dyDescent="0.2">
      <c r="A52" s="27" t="s">
        <v>28</v>
      </c>
      <c r="B52" s="24" t="s">
        <v>38</v>
      </c>
      <c r="C52" s="24">
        <v>0</v>
      </c>
      <c r="D52" s="24" t="s">
        <v>42</v>
      </c>
      <c r="E52" s="24" t="s">
        <v>28</v>
      </c>
      <c r="F52" s="23" t="s">
        <v>69</v>
      </c>
      <c r="G52" s="23" t="s">
        <v>91</v>
      </c>
      <c r="H52" s="24" t="s">
        <v>39</v>
      </c>
      <c r="I52" s="23" t="s">
        <v>188</v>
      </c>
      <c r="J52" s="23" t="s">
        <v>40</v>
      </c>
      <c r="K52" s="23" t="s">
        <v>187</v>
      </c>
      <c r="L52" s="22">
        <v>1</v>
      </c>
    </row>
    <row r="53" spans="1:12" ht="21.95" customHeight="1" x14ac:dyDescent="0.2">
      <c r="A53" s="27" t="s">
        <v>28</v>
      </c>
      <c r="B53" s="27"/>
      <c r="C53" s="26"/>
      <c r="D53" s="26"/>
      <c r="E53" s="26" t="s">
        <v>28</v>
      </c>
      <c r="F53" s="23" t="s">
        <v>168</v>
      </c>
      <c r="G53" s="23" t="s">
        <v>240</v>
      </c>
      <c r="H53" s="25" t="s">
        <v>39</v>
      </c>
      <c r="I53" s="24" t="s">
        <v>28</v>
      </c>
      <c r="J53" s="24" t="s">
        <v>20</v>
      </c>
      <c r="K53" s="23" t="s">
        <v>224</v>
      </c>
      <c r="L53" s="22">
        <v>1</v>
      </c>
    </row>
    <row r="54" spans="1:12" ht="21.95" customHeight="1" x14ac:dyDescent="0.2">
      <c r="A54" s="27" t="s">
        <v>28</v>
      </c>
      <c r="B54" s="27"/>
      <c r="C54" s="26"/>
      <c r="D54" s="26"/>
      <c r="E54" s="26" t="s">
        <v>28</v>
      </c>
      <c r="F54" s="24" t="s">
        <v>89</v>
      </c>
      <c r="G54" s="23" t="s">
        <v>153</v>
      </c>
      <c r="H54" s="25" t="s">
        <v>39</v>
      </c>
      <c r="I54" s="25" t="s">
        <v>28</v>
      </c>
      <c r="J54" s="25" t="s">
        <v>20</v>
      </c>
      <c r="K54" s="23" t="s">
        <v>147</v>
      </c>
      <c r="L54" s="22">
        <v>1</v>
      </c>
    </row>
    <row r="55" spans="1:12" ht="21.95" customHeight="1" x14ac:dyDescent="0.2">
      <c r="A55" s="27" t="s">
        <v>28</v>
      </c>
      <c r="B55" s="27"/>
      <c r="C55" s="26"/>
      <c r="D55" s="26"/>
      <c r="E55" s="26" t="s">
        <v>28</v>
      </c>
      <c r="F55" s="26"/>
      <c r="G55" s="23" t="s">
        <v>133</v>
      </c>
      <c r="H55" s="25" t="s">
        <v>39</v>
      </c>
      <c r="I55" s="25" t="s">
        <v>28</v>
      </c>
      <c r="J55" s="25" t="s">
        <v>20</v>
      </c>
      <c r="K55" s="23" t="s">
        <v>131</v>
      </c>
      <c r="L55" s="22">
        <v>1</v>
      </c>
    </row>
    <row r="56" spans="1:12" ht="21.95" customHeight="1" x14ac:dyDescent="0.2">
      <c r="A56" s="27" t="s">
        <v>28</v>
      </c>
      <c r="B56" s="27"/>
      <c r="C56" s="26"/>
      <c r="D56" s="26"/>
      <c r="E56" s="26" t="s">
        <v>28</v>
      </c>
      <c r="F56" s="23" t="s">
        <v>137</v>
      </c>
      <c r="G56" s="23" t="s">
        <v>140</v>
      </c>
      <c r="H56" s="24" t="s">
        <v>9</v>
      </c>
      <c r="I56" s="25" t="s">
        <v>28</v>
      </c>
      <c r="J56" s="25" t="s">
        <v>20</v>
      </c>
      <c r="K56" s="23" t="s">
        <v>128</v>
      </c>
      <c r="L56" s="22">
        <v>1</v>
      </c>
    </row>
    <row r="57" spans="1:12" ht="21.95" customHeight="1" x14ac:dyDescent="0.2">
      <c r="A57" s="27" t="s">
        <v>28</v>
      </c>
      <c r="B57" s="27"/>
      <c r="C57" s="26"/>
      <c r="D57" s="26"/>
      <c r="E57" s="26" t="s">
        <v>28</v>
      </c>
      <c r="F57" s="23" t="s">
        <v>97</v>
      </c>
      <c r="G57" s="23" t="s">
        <v>95</v>
      </c>
      <c r="H57" s="25" t="s">
        <v>9</v>
      </c>
      <c r="I57" s="23" t="s">
        <v>94</v>
      </c>
      <c r="J57" s="23" t="s">
        <v>40</v>
      </c>
      <c r="K57" s="23" t="s">
        <v>92</v>
      </c>
      <c r="L57" s="22">
        <v>1</v>
      </c>
    </row>
    <row r="58" spans="1:12" ht="21.95" customHeight="1" x14ac:dyDescent="0.2">
      <c r="A58" s="27" t="s">
        <v>28</v>
      </c>
      <c r="B58" s="27"/>
      <c r="C58" s="26"/>
      <c r="D58" s="26"/>
      <c r="E58" s="26" t="s">
        <v>28</v>
      </c>
      <c r="F58" s="24" t="s">
        <v>138</v>
      </c>
      <c r="G58" s="23" t="s">
        <v>241</v>
      </c>
      <c r="H58" s="24" t="s">
        <v>39</v>
      </c>
      <c r="I58" s="24" t="s">
        <v>28</v>
      </c>
      <c r="J58" s="24" t="s">
        <v>20</v>
      </c>
      <c r="K58" s="23" t="s">
        <v>271</v>
      </c>
      <c r="L58" s="22">
        <v>1</v>
      </c>
    </row>
    <row r="59" spans="1:12" ht="21.95" customHeight="1" x14ac:dyDescent="0.2">
      <c r="A59" s="27" t="s">
        <v>28</v>
      </c>
      <c r="B59" s="27"/>
      <c r="C59" s="26"/>
      <c r="D59" s="26"/>
      <c r="E59" s="26" t="s">
        <v>28</v>
      </c>
      <c r="F59" s="26"/>
      <c r="G59" s="23" t="s">
        <v>141</v>
      </c>
      <c r="H59" s="25" t="s">
        <v>39</v>
      </c>
      <c r="I59" s="25" t="s">
        <v>28</v>
      </c>
      <c r="J59" s="25" t="s">
        <v>20</v>
      </c>
      <c r="K59" s="23" t="s">
        <v>125</v>
      </c>
      <c r="L59" s="22">
        <v>1</v>
      </c>
    </row>
    <row r="60" spans="1:12" ht="21.95" customHeight="1" x14ac:dyDescent="0.2">
      <c r="A60" s="27" t="s">
        <v>28</v>
      </c>
      <c r="B60" s="27"/>
      <c r="C60" s="26"/>
      <c r="D60" s="26"/>
      <c r="E60" s="26" t="s">
        <v>28</v>
      </c>
      <c r="F60" s="26"/>
      <c r="G60" s="23" t="s">
        <v>215</v>
      </c>
      <c r="H60" s="25" t="s">
        <v>39</v>
      </c>
      <c r="I60" s="25" t="s">
        <v>28</v>
      </c>
      <c r="J60" s="25" t="s">
        <v>20</v>
      </c>
      <c r="K60" s="23" t="s">
        <v>183</v>
      </c>
      <c r="L60" s="22">
        <v>1</v>
      </c>
    </row>
    <row r="61" spans="1:12" ht="21.95" customHeight="1" x14ac:dyDescent="0.2">
      <c r="A61" s="27" t="s">
        <v>28</v>
      </c>
      <c r="B61" s="27"/>
      <c r="C61" s="26"/>
      <c r="D61" s="26"/>
      <c r="E61" s="26" t="s">
        <v>28</v>
      </c>
      <c r="F61" s="23" t="s">
        <v>171</v>
      </c>
      <c r="G61" s="23" t="s">
        <v>154</v>
      </c>
      <c r="H61" s="25" t="s">
        <v>39</v>
      </c>
      <c r="I61" s="23" t="s">
        <v>155</v>
      </c>
      <c r="J61" s="23" t="s">
        <v>40</v>
      </c>
      <c r="K61" s="23" t="s">
        <v>186</v>
      </c>
      <c r="L61" s="22">
        <v>1</v>
      </c>
    </row>
    <row r="62" spans="1:12" ht="21.95" customHeight="1" x14ac:dyDescent="0.2">
      <c r="A62" s="27" t="s">
        <v>28</v>
      </c>
      <c r="B62" s="27"/>
      <c r="C62" s="26"/>
      <c r="D62" s="24" t="s">
        <v>246</v>
      </c>
      <c r="E62" s="25" t="s">
        <v>28</v>
      </c>
      <c r="F62" s="24" t="s">
        <v>151</v>
      </c>
      <c r="G62" s="24" t="s">
        <v>309</v>
      </c>
      <c r="H62" s="25" t="s">
        <v>39</v>
      </c>
      <c r="I62" s="24" t="s">
        <v>28</v>
      </c>
      <c r="J62" s="24" t="s">
        <v>20</v>
      </c>
      <c r="K62" s="23" t="s">
        <v>250</v>
      </c>
      <c r="L62" s="22">
        <v>1</v>
      </c>
    </row>
    <row r="63" spans="1:12" ht="21.95" customHeight="1" x14ac:dyDescent="0.2">
      <c r="A63" s="27" t="s">
        <v>28</v>
      </c>
      <c r="B63" s="27"/>
      <c r="C63" s="26"/>
      <c r="D63" s="26"/>
      <c r="E63" s="26" t="s">
        <v>28</v>
      </c>
      <c r="F63" s="26"/>
      <c r="G63" s="26"/>
      <c r="H63" s="26" t="s">
        <v>39</v>
      </c>
      <c r="I63" s="26" t="s">
        <v>28</v>
      </c>
      <c r="J63" s="26" t="s">
        <v>20</v>
      </c>
      <c r="K63" s="34" t="s">
        <v>268</v>
      </c>
      <c r="L63" s="33">
        <v>1</v>
      </c>
    </row>
    <row r="64" spans="1:12" ht="21.95" customHeight="1" x14ac:dyDescent="0.2">
      <c r="A64" s="27" t="s">
        <v>28</v>
      </c>
      <c r="B64" s="27"/>
      <c r="C64" s="26"/>
      <c r="D64" s="26"/>
      <c r="E64" s="26" t="s">
        <v>28</v>
      </c>
      <c r="F64" s="23" t="s">
        <v>137</v>
      </c>
      <c r="G64" s="23" t="s">
        <v>310</v>
      </c>
      <c r="H64" s="25" t="s">
        <v>39</v>
      </c>
      <c r="I64" s="25" t="s">
        <v>28</v>
      </c>
      <c r="J64" s="25" t="s">
        <v>20</v>
      </c>
      <c r="K64" s="23" t="s">
        <v>242</v>
      </c>
      <c r="L64" s="22">
        <v>1</v>
      </c>
    </row>
    <row r="65" spans="1:12" ht="21.95" customHeight="1" x14ac:dyDescent="0.2">
      <c r="A65" s="27" t="s">
        <v>28</v>
      </c>
      <c r="B65" s="27"/>
      <c r="C65" s="26"/>
      <c r="D65" s="26"/>
      <c r="E65" s="26" t="s">
        <v>28</v>
      </c>
      <c r="F65" s="24" t="s">
        <v>301</v>
      </c>
      <c r="G65" s="23" t="s">
        <v>311</v>
      </c>
      <c r="H65" s="25" t="s">
        <v>39</v>
      </c>
      <c r="I65" s="25" t="s">
        <v>28</v>
      </c>
      <c r="J65" s="25" t="s">
        <v>20</v>
      </c>
      <c r="K65" s="23" t="s">
        <v>256</v>
      </c>
      <c r="L65" s="22">
        <v>1</v>
      </c>
    </row>
    <row r="66" spans="1:12" ht="21.95" customHeight="1" x14ac:dyDescent="0.2">
      <c r="A66" s="27" t="s">
        <v>28</v>
      </c>
      <c r="B66" s="27"/>
      <c r="C66" s="26"/>
      <c r="D66" s="26"/>
      <c r="E66" s="26" t="s">
        <v>28</v>
      </c>
      <c r="F66" s="26"/>
      <c r="G66" s="23" t="s">
        <v>312</v>
      </c>
      <c r="H66" s="25" t="s">
        <v>39</v>
      </c>
      <c r="I66" s="25" t="s">
        <v>28</v>
      </c>
      <c r="J66" s="25" t="s">
        <v>20</v>
      </c>
      <c r="K66" s="23" t="s">
        <v>265</v>
      </c>
      <c r="L66" s="22">
        <v>1</v>
      </c>
    </row>
    <row r="67" spans="1:12" ht="21.95" customHeight="1" x14ac:dyDescent="0.2">
      <c r="A67" s="27" t="s">
        <v>28</v>
      </c>
      <c r="B67" s="27"/>
      <c r="C67" s="26"/>
      <c r="D67" s="26"/>
      <c r="E67" s="26" t="s">
        <v>28</v>
      </c>
      <c r="F67" s="23" t="s">
        <v>302</v>
      </c>
      <c r="G67" s="23" t="s">
        <v>313</v>
      </c>
      <c r="H67" s="25" t="s">
        <v>39</v>
      </c>
      <c r="I67" s="25" t="s">
        <v>28</v>
      </c>
      <c r="J67" s="25" t="s">
        <v>20</v>
      </c>
      <c r="K67" s="23" t="s">
        <v>259</v>
      </c>
      <c r="L67" s="22">
        <v>1</v>
      </c>
    </row>
    <row r="68" spans="1:12" ht="21.95" customHeight="1" x14ac:dyDescent="0.2">
      <c r="A68" s="27" t="s">
        <v>28</v>
      </c>
      <c r="B68" s="27"/>
      <c r="C68" s="26"/>
      <c r="D68" s="26"/>
      <c r="E68" s="26" t="s">
        <v>28</v>
      </c>
      <c r="F68" s="23" t="s">
        <v>303</v>
      </c>
      <c r="G68" s="23" t="s">
        <v>314</v>
      </c>
      <c r="H68" s="25" t="s">
        <v>39</v>
      </c>
      <c r="I68" s="25" t="s">
        <v>28</v>
      </c>
      <c r="J68" s="25" t="s">
        <v>20</v>
      </c>
      <c r="K68" s="23" t="s">
        <v>247</v>
      </c>
      <c r="L68" s="22">
        <v>1</v>
      </c>
    </row>
    <row r="69" spans="1:12" ht="21.95" customHeight="1" x14ac:dyDescent="0.2">
      <c r="A69" s="27" t="s">
        <v>28</v>
      </c>
      <c r="B69" s="27"/>
      <c r="C69" s="26"/>
      <c r="D69" s="26"/>
      <c r="E69" s="26" t="s">
        <v>28</v>
      </c>
      <c r="F69" s="23" t="s">
        <v>304</v>
      </c>
      <c r="G69" s="23" t="s">
        <v>315</v>
      </c>
      <c r="H69" s="25" t="s">
        <v>39</v>
      </c>
      <c r="I69" s="25" t="s">
        <v>28</v>
      </c>
      <c r="J69" s="25" t="s">
        <v>20</v>
      </c>
      <c r="K69" s="23" t="s">
        <v>262</v>
      </c>
      <c r="L69" s="22">
        <v>1</v>
      </c>
    </row>
    <row r="70" spans="1:12" ht="21.95" customHeight="1" x14ac:dyDescent="0.2">
      <c r="A70" s="27" t="s">
        <v>28</v>
      </c>
      <c r="B70" s="27"/>
      <c r="C70" s="26"/>
      <c r="D70" s="26"/>
      <c r="E70" s="26" t="s">
        <v>28</v>
      </c>
      <c r="F70" s="23" t="s">
        <v>305</v>
      </c>
      <c r="G70" s="23" t="s">
        <v>316</v>
      </c>
      <c r="H70" s="25" t="s">
        <v>39</v>
      </c>
      <c r="I70" s="25" t="s">
        <v>28</v>
      </c>
      <c r="J70" s="25" t="s">
        <v>20</v>
      </c>
      <c r="K70" s="23" t="s">
        <v>253</v>
      </c>
      <c r="L70" s="22">
        <v>1</v>
      </c>
    </row>
    <row r="71" spans="1:12" ht="21.95" customHeight="1" x14ac:dyDescent="0.2">
      <c r="A71" s="27" t="s">
        <v>28</v>
      </c>
      <c r="B71" s="27"/>
      <c r="C71" s="26"/>
      <c r="D71" s="24" t="s">
        <v>124</v>
      </c>
      <c r="E71" s="25" t="s">
        <v>28</v>
      </c>
      <c r="F71" s="23" t="s">
        <v>75</v>
      </c>
      <c r="G71" s="23" t="s">
        <v>216</v>
      </c>
      <c r="H71" s="25" t="s">
        <v>39</v>
      </c>
      <c r="I71" s="25" t="s">
        <v>28</v>
      </c>
      <c r="J71" s="25" t="s">
        <v>20</v>
      </c>
      <c r="K71" s="23" t="s">
        <v>178</v>
      </c>
      <c r="L71" s="22">
        <v>1</v>
      </c>
    </row>
    <row r="72" spans="1:12" ht="21.95" customHeight="1" x14ac:dyDescent="0.2">
      <c r="A72" s="27" t="s">
        <v>28</v>
      </c>
      <c r="B72" s="27"/>
      <c r="C72" s="26"/>
      <c r="D72" s="26"/>
      <c r="E72" s="26" t="s">
        <v>28</v>
      </c>
      <c r="F72" s="24" t="s">
        <v>137</v>
      </c>
      <c r="G72" s="23" t="s">
        <v>217</v>
      </c>
      <c r="H72" s="25" t="s">
        <v>39</v>
      </c>
      <c r="I72" s="25" t="s">
        <v>28</v>
      </c>
      <c r="J72" s="25" t="s">
        <v>20</v>
      </c>
      <c r="K72" s="23" t="s">
        <v>175</v>
      </c>
      <c r="L72" s="22">
        <v>1</v>
      </c>
    </row>
    <row r="73" spans="1:12" ht="21.95" customHeight="1" x14ac:dyDescent="0.2">
      <c r="A73" s="27" t="s">
        <v>28</v>
      </c>
      <c r="B73" s="27"/>
      <c r="C73" s="26"/>
      <c r="D73" s="26"/>
      <c r="E73" s="26" t="s">
        <v>28</v>
      </c>
      <c r="F73" s="26"/>
      <c r="G73" s="23" t="s">
        <v>212</v>
      </c>
      <c r="H73" s="25" t="s">
        <v>39</v>
      </c>
      <c r="I73" s="25" t="s">
        <v>28</v>
      </c>
      <c r="J73" s="25" t="s">
        <v>20</v>
      </c>
      <c r="K73" s="23" t="s">
        <v>221</v>
      </c>
      <c r="L73" s="22">
        <v>1</v>
      </c>
    </row>
    <row r="74" spans="1:12" ht="21.95" customHeight="1" x14ac:dyDescent="0.2">
      <c r="A74" s="28" t="s">
        <v>28</v>
      </c>
      <c r="B74" s="28"/>
      <c r="C74" s="31" t="s">
        <v>66</v>
      </c>
      <c r="D74" s="32"/>
      <c r="E74" s="32"/>
      <c r="F74" s="32"/>
      <c r="G74" s="32"/>
      <c r="H74" s="32"/>
      <c r="I74" s="32"/>
      <c r="J74" s="32"/>
      <c r="K74" s="32"/>
      <c r="L74" s="21">
        <v>22</v>
      </c>
    </row>
    <row r="75" spans="1:12" ht="21.95" customHeight="1" x14ac:dyDescent="0.2">
      <c r="A75" s="6"/>
      <c r="B75" s="6"/>
      <c r="C75" s="16"/>
      <c r="D75" s="16"/>
      <c r="E75" s="16"/>
      <c r="F75" s="16"/>
      <c r="G75" s="16"/>
      <c r="H75" s="16"/>
      <c r="I75" s="16"/>
      <c r="J75" s="16"/>
      <c r="K75" s="16"/>
      <c r="L75" s="19"/>
    </row>
    <row r="76" spans="1:12" ht="21.95" customHeight="1" x14ac:dyDescent="0.2">
      <c r="A76" s="6"/>
      <c r="B76" s="6"/>
      <c r="C76" s="16"/>
      <c r="D76" s="16"/>
      <c r="E76" s="16"/>
      <c r="F76" s="16"/>
      <c r="G76" s="16"/>
      <c r="H76" s="16"/>
      <c r="I76" s="16"/>
      <c r="J76" s="16"/>
      <c r="K76" s="16"/>
      <c r="L76" s="19"/>
    </row>
    <row r="77" spans="1:12" ht="21.95" customHeight="1" x14ac:dyDescent="0.2">
      <c r="A77" s="6"/>
      <c r="B77" s="6"/>
      <c r="C77" s="16"/>
      <c r="D77" s="16"/>
      <c r="E77" s="16"/>
      <c r="F77" s="16"/>
      <c r="G77" s="16"/>
      <c r="H77" s="16"/>
      <c r="I77" s="16"/>
      <c r="J77" s="16"/>
      <c r="K77" s="16"/>
      <c r="L77" s="19"/>
    </row>
    <row r="78" spans="1:12" ht="21.95" customHeight="1" x14ac:dyDescent="0.2">
      <c r="A78" s="6"/>
      <c r="B78" s="6"/>
      <c r="C78" s="16"/>
      <c r="D78" s="16"/>
      <c r="E78" s="16"/>
      <c r="F78" s="16"/>
      <c r="G78" s="16"/>
      <c r="H78" s="16"/>
      <c r="I78" s="16"/>
      <c r="J78" s="16"/>
      <c r="K78" s="16"/>
      <c r="L78" s="19"/>
    </row>
    <row r="79" spans="1:12" ht="21.95" customHeight="1" x14ac:dyDescent="0.2">
      <c r="A79" s="6"/>
      <c r="B79" s="6"/>
      <c r="C79" s="16"/>
      <c r="D79" s="16"/>
      <c r="E79" s="16"/>
      <c r="F79" s="16"/>
      <c r="G79" s="16"/>
      <c r="H79" s="16"/>
      <c r="I79" s="16"/>
      <c r="J79" s="16"/>
      <c r="K79" s="16"/>
      <c r="L79" s="19"/>
    </row>
    <row r="80" spans="1:12" ht="21.95" customHeight="1" x14ac:dyDescent="0.2">
      <c r="A80" s="6"/>
      <c r="B80" s="6"/>
      <c r="C80" s="16"/>
      <c r="D80" s="16"/>
      <c r="E80" s="16"/>
      <c r="F80" s="16"/>
      <c r="G80" s="16"/>
      <c r="H80" s="16"/>
      <c r="I80" s="16"/>
      <c r="J80" s="16"/>
      <c r="K80" s="16"/>
      <c r="L80" s="19"/>
    </row>
    <row r="81" spans="1:12" ht="21.95" customHeight="1" x14ac:dyDescent="0.2">
      <c r="A81" s="6"/>
      <c r="B81" s="6"/>
      <c r="C81" s="16"/>
      <c r="D81" s="16"/>
      <c r="E81" s="16"/>
      <c r="F81" s="16"/>
      <c r="G81" s="16"/>
      <c r="H81" s="16"/>
      <c r="I81" s="16"/>
      <c r="J81" s="16"/>
      <c r="K81" s="16"/>
      <c r="L81" s="19"/>
    </row>
    <row r="82" spans="1:12" ht="21.95" customHeight="1" x14ac:dyDescent="0.2">
      <c r="A82" s="6"/>
      <c r="B82" s="6"/>
      <c r="C82" s="16"/>
      <c r="D82" s="16"/>
      <c r="E82" s="16"/>
      <c r="F82" s="16"/>
      <c r="G82" s="16"/>
      <c r="H82" s="16"/>
      <c r="I82" s="16"/>
      <c r="J82" s="16"/>
      <c r="K82" s="16"/>
      <c r="L82" s="19"/>
    </row>
    <row r="83" spans="1:12" ht="21.95" customHeight="1" x14ac:dyDescent="0.2">
      <c r="A83" s="6"/>
      <c r="B83" s="6"/>
      <c r="C83" s="16"/>
      <c r="D83" s="16"/>
      <c r="E83" s="16"/>
      <c r="F83" s="16"/>
      <c r="G83" s="16"/>
      <c r="H83" s="16"/>
      <c r="I83" s="16"/>
      <c r="J83" s="16"/>
      <c r="K83" s="16"/>
      <c r="L83" s="19"/>
    </row>
    <row r="84" spans="1:12" ht="21.95" customHeight="1" x14ac:dyDescent="0.2">
      <c r="A84" s="6"/>
      <c r="B84" s="6"/>
      <c r="C84" s="16"/>
      <c r="D84" s="16"/>
      <c r="E84" s="16"/>
      <c r="F84" s="16"/>
      <c r="G84" s="16"/>
      <c r="H84" s="16"/>
      <c r="I84" s="16"/>
      <c r="J84" s="16"/>
      <c r="K84" s="16"/>
      <c r="L84" s="19"/>
    </row>
    <row r="85" spans="1:12" ht="21.95" customHeight="1" x14ac:dyDescent="0.2">
      <c r="A85" s="6"/>
      <c r="B85" s="6"/>
      <c r="C85" s="16"/>
      <c r="D85" s="16"/>
      <c r="E85" s="16"/>
      <c r="F85" s="16"/>
      <c r="G85" s="16"/>
      <c r="H85" s="16"/>
      <c r="I85" s="16"/>
      <c r="J85" s="16"/>
      <c r="K85" s="16"/>
      <c r="L85" s="19"/>
    </row>
    <row r="86" spans="1:12" ht="21.95" customHeight="1" x14ac:dyDescent="0.2">
      <c r="A86" s="6"/>
      <c r="B86" s="6"/>
      <c r="C86" s="16"/>
      <c r="D86" s="16"/>
      <c r="E86" s="16"/>
      <c r="F86" s="16"/>
      <c r="G86" s="16"/>
      <c r="H86" s="16"/>
      <c r="I86" s="16"/>
      <c r="J86" s="16"/>
      <c r="K86" s="16"/>
      <c r="L86" s="19"/>
    </row>
    <row r="87" spans="1:12" ht="21.95" customHeight="1" x14ac:dyDescent="0.2">
      <c r="A87" s="6"/>
      <c r="B87" s="6"/>
      <c r="C87" s="16"/>
      <c r="D87" s="16"/>
      <c r="E87" s="16"/>
      <c r="F87" s="16"/>
      <c r="G87" s="16"/>
      <c r="H87" s="16"/>
      <c r="I87" s="16"/>
      <c r="J87" s="16"/>
      <c r="K87" s="16"/>
      <c r="L87" s="19"/>
    </row>
    <row r="88" spans="1:12" ht="21.95" customHeight="1" x14ac:dyDescent="0.2">
      <c r="A88" s="6"/>
      <c r="B88" s="6"/>
      <c r="C88" s="16"/>
      <c r="D88" s="16"/>
      <c r="E88" s="16"/>
      <c r="F88" s="16"/>
      <c r="G88" s="16"/>
      <c r="H88" s="16"/>
      <c r="I88" s="16"/>
      <c r="J88" s="16"/>
      <c r="K88" s="16"/>
      <c r="L88" s="19"/>
    </row>
    <row r="89" spans="1:12" ht="21.95" customHeight="1" x14ac:dyDescent="0.2">
      <c r="A89" s="6"/>
      <c r="B89" s="6"/>
      <c r="C89" s="16"/>
      <c r="D89" s="16"/>
      <c r="E89" s="16"/>
      <c r="F89" s="16"/>
      <c r="G89" s="16"/>
      <c r="H89" s="16"/>
      <c r="I89" s="16"/>
      <c r="J89" s="16"/>
      <c r="K89" s="16"/>
      <c r="L89" s="19"/>
    </row>
    <row r="90" spans="1:12" ht="21.95" customHeight="1" x14ac:dyDescent="0.2">
      <c r="A90" s="6"/>
      <c r="B90" s="6"/>
      <c r="C90" s="16"/>
      <c r="D90" s="16"/>
      <c r="E90" s="16"/>
      <c r="F90" s="16"/>
      <c r="G90" s="16"/>
      <c r="H90" s="16"/>
      <c r="I90" s="16"/>
      <c r="J90" s="16"/>
      <c r="K90" s="16"/>
      <c r="L90" s="19"/>
    </row>
    <row r="91" spans="1:12" ht="21.95" customHeight="1" x14ac:dyDescent="0.2">
      <c r="A91" s="6"/>
      <c r="B91" s="6"/>
      <c r="C91" s="16"/>
      <c r="D91" s="16"/>
      <c r="E91" s="16"/>
      <c r="F91" s="16"/>
      <c r="G91" s="16"/>
      <c r="H91" s="16"/>
      <c r="I91" s="16"/>
      <c r="J91" s="16"/>
      <c r="K91" s="16"/>
      <c r="L91" s="19"/>
    </row>
    <row r="92" spans="1:12" ht="21.95" customHeight="1" x14ac:dyDescent="0.2">
      <c r="A92" s="6"/>
      <c r="B92" s="6"/>
      <c r="C92" s="16"/>
      <c r="D92" s="16"/>
      <c r="E92" s="16"/>
      <c r="F92" s="16"/>
      <c r="G92" s="16"/>
      <c r="H92" s="16"/>
      <c r="I92" s="16"/>
      <c r="J92" s="16"/>
      <c r="K92" s="16"/>
      <c r="L92" s="19"/>
    </row>
    <row r="93" spans="1:12" ht="21.95" customHeight="1" x14ac:dyDescent="0.2">
      <c r="A93" s="6"/>
      <c r="B93" s="6"/>
      <c r="C93" s="16"/>
      <c r="D93" s="16"/>
      <c r="E93" s="16"/>
      <c r="F93" s="16"/>
      <c r="G93" s="16"/>
      <c r="H93" s="16"/>
      <c r="I93" s="16"/>
      <c r="J93" s="16"/>
      <c r="K93" s="16"/>
      <c r="L93" s="19"/>
    </row>
    <row r="94" spans="1:12" ht="21.95" customHeight="1" x14ac:dyDescent="0.2">
      <c r="A94" s="6"/>
      <c r="B94" s="6"/>
      <c r="C94" s="16"/>
      <c r="D94" s="16"/>
      <c r="E94" s="16"/>
      <c r="F94" s="16"/>
      <c r="G94" s="16"/>
      <c r="H94" s="16"/>
      <c r="I94" s="16"/>
      <c r="J94" s="16"/>
      <c r="K94" s="16"/>
      <c r="L94" s="19"/>
    </row>
    <row r="95" spans="1:12" ht="21.95" customHeight="1" x14ac:dyDescent="0.2">
      <c r="A95" s="6"/>
      <c r="B95" s="6"/>
      <c r="C95" s="16"/>
      <c r="D95" s="16"/>
      <c r="E95" s="16"/>
      <c r="F95" s="16"/>
      <c r="G95" s="16"/>
      <c r="H95" s="16"/>
      <c r="I95" s="16"/>
      <c r="J95" s="16"/>
      <c r="K95" s="16"/>
      <c r="L95" s="19"/>
    </row>
    <row r="96" spans="1:12" ht="21.95" customHeight="1" x14ac:dyDescent="0.2">
      <c r="A96" s="6"/>
      <c r="B96" s="6"/>
      <c r="C96" s="16"/>
      <c r="D96" s="16"/>
      <c r="E96" s="16"/>
      <c r="F96" s="16"/>
      <c r="G96" s="16"/>
      <c r="H96" s="16"/>
      <c r="I96" s="16"/>
      <c r="J96" s="16"/>
      <c r="K96" s="16"/>
      <c r="L96" s="19"/>
    </row>
    <row r="97" spans="1:12" ht="21.95" customHeight="1" x14ac:dyDescent="0.2">
      <c r="A97" s="6"/>
      <c r="B97" s="6"/>
      <c r="C97" s="16"/>
      <c r="D97" s="16"/>
      <c r="E97" s="16"/>
      <c r="F97" s="16"/>
      <c r="G97" s="16"/>
      <c r="H97" s="16"/>
      <c r="I97" s="16"/>
      <c r="J97" s="16"/>
      <c r="K97" s="16"/>
      <c r="L97" s="19"/>
    </row>
    <row r="98" spans="1:12" ht="21.95" customHeight="1" x14ac:dyDescent="0.2">
      <c r="A98" s="6"/>
      <c r="B98" s="6"/>
      <c r="C98" s="16"/>
      <c r="D98" s="16"/>
      <c r="E98" s="16"/>
      <c r="F98" s="16"/>
      <c r="G98" s="16"/>
      <c r="H98" s="16"/>
      <c r="I98" s="16"/>
      <c r="J98" s="16"/>
      <c r="K98" s="16"/>
      <c r="L98" s="19"/>
    </row>
    <row r="99" spans="1:12" ht="21.95" customHeight="1" x14ac:dyDescent="0.2">
      <c r="A99" s="6"/>
      <c r="B99" s="6"/>
      <c r="C99" s="16"/>
      <c r="D99" s="16"/>
      <c r="E99" s="16"/>
      <c r="F99" s="16"/>
      <c r="G99" s="16"/>
      <c r="H99" s="16"/>
      <c r="I99" s="16"/>
      <c r="J99" s="16"/>
      <c r="K99" s="16"/>
      <c r="L99" s="19"/>
    </row>
    <row r="100" spans="1:12" ht="21.95" customHeight="1" x14ac:dyDescent="0.2">
      <c r="A100" s="6"/>
      <c r="B100" s="6"/>
      <c r="C100" s="16"/>
      <c r="D100" s="16"/>
      <c r="E100" s="16"/>
      <c r="F100" s="16"/>
      <c r="G100" s="16"/>
      <c r="H100" s="16"/>
      <c r="I100" s="16"/>
      <c r="J100" s="16"/>
      <c r="K100" s="16"/>
      <c r="L100" s="19"/>
    </row>
    <row r="101" spans="1:12" ht="21.95" customHeight="1" x14ac:dyDescent="0.2">
      <c r="A101" s="6"/>
      <c r="B101" s="6"/>
      <c r="C101" s="16"/>
      <c r="D101" s="16"/>
      <c r="E101" s="16"/>
      <c r="F101" s="16"/>
      <c r="G101" s="16"/>
      <c r="H101" s="16"/>
      <c r="I101" s="16"/>
      <c r="J101" s="16"/>
      <c r="K101" s="16"/>
      <c r="L101" s="19"/>
    </row>
    <row r="102" spans="1:12" ht="21.95" customHeight="1" x14ac:dyDescent="0.2">
      <c r="A102" s="6"/>
      <c r="B102" s="6"/>
      <c r="C102" s="16"/>
      <c r="D102" s="16"/>
      <c r="E102" s="16"/>
      <c r="F102" s="16"/>
      <c r="G102" s="16"/>
      <c r="H102" s="16"/>
      <c r="I102" s="16"/>
      <c r="J102" s="16"/>
      <c r="K102" s="16"/>
      <c r="L102" s="19"/>
    </row>
    <row r="103" spans="1:12" ht="21.95" customHeight="1" x14ac:dyDescent="0.2">
      <c r="A103" s="6"/>
      <c r="B103" s="6"/>
      <c r="C103" s="16"/>
      <c r="D103" s="16"/>
      <c r="E103" s="16"/>
      <c r="F103" s="16"/>
      <c r="G103" s="16"/>
      <c r="H103" s="16"/>
      <c r="I103" s="16"/>
      <c r="J103" s="16"/>
      <c r="K103" s="16"/>
      <c r="L103" s="19"/>
    </row>
    <row r="104" spans="1:12" ht="21.95" customHeight="1" x14ac:dyDescent="0.2">
      <c r="A104" s="6"/>
      <c r="B104" s="6"/>
      <c r="C104" s="16"/>
      <c r="D104" s="16"/>
      <c r="E104" s="16"/>
      <c r="F104" s="16"/>
      <c r="G104" s="16"/>
      <c r="H104" s="16"/>
      <c r="I104" s="16"/>
      <c r="J104" s="16"/>
      <c r="K104" s="16"/>
      <c r="L104" s="19"/>
    </row>
    <row r="105" spans="1:12" ht="21.95" customHeight="1" x14ac:dyDescent="0.2">
      <c r="A105" s="6"/>
      <c r="B105" s="6"/>
      <c r="C105" s="16"/>
      <c r="D105" s="16"/>
      <c r="E105" s="16"/>
      <c r="F105" s="16"/>
      <c r="G105" s="16"/>
      <c r="H105" s="16"/>
      <c r="I105" s="16"/>
      <c r="J105" s="16"/>
      <c r="K105" s="16"/>
      <c r="L105" s="19"/>
    </row>
    <row r="106" spans="1:12" ht="21.95" customHeight="1" x14ac:dyDescent="0.2">
      <c r="A106" s="6"/>
      <c r="B106" s="6"/>
      <c r="C106" s="16"/>
      <c r="D106" s="16"/>
      <c r="E106" s="16"/>
      <c r="F106" s="16"/>
      <c r="G106" s="16"/>
      <c r="H106" s="16"/>
      <c r="I106" s="16"/>
      <c r="J106" s="16"/>
      <c r="K106" s="16"/>
      <c r="L106" s="19"/>
    </row>
    <row r="107" spans="1:12" ht="21.95" customHeight="1" x14ac:dyDescent="0.2">
      <c r="A107" s="6"/>
      <c r="B107" s="6"/>
      <c r="C107" s="16"/>
      <c r="D107" s="16"/>
      <c r="E107" s="16"/>
      <c r="F107" s="16"/>
      <c r="G107" s="16"/>
      <c r="H107" s="16"/>
      <c r="I107" s="16"/>
      <c r="J107" s="16"/>
      <c r="K107" s="16"/>
      <c r="L107" s="19"/>
    </row>
    <row r="108" spans="1:12" ht="21.95" customHeight="1" x14ac:dyDescent="0.2">
      <c r="A108" s="6"/>
      <c r="B108" s="6"/>
      <c r="C108" s="16"/>
      <c r="D108" s="16"/>
      <c r="E108" s="16"/>
      <c r="F108" s="16"/>
      <c r="G108" s="16"/>
      <c r="H108" s="16"/>
      <c r="I108" s="16"/>
      <c r="J108" s="16"/>
      <c r="K108" s="16"/>
      <c r="L108" s="19"/>
    </row>
    <row r="109" spans="1:12" ht="21.95" customHeight="1" x14ac:dyDescent="0.2">
      <c r="A109" s="6"/>
      <c r="B109" s="6"/>
      <c r="C109" s="16"/>
      <c r="D109" s="16"/>
      <c r="E109" s="16"/>
      <c r="F109" s="16"/>
      <c r="G109" s="16"/>
      <c r="H109" s="16"/>
      <c r="I109" s="16"/>
      <c r="J109" s="16"/>
      <c r="K109" s="16"/>
      <c r="L109" s="19"/>
    </row>
    <row r="110" spans="1:12" ht="21.95" customHeight="1" x14ac:dyDescent="0.2">
      <c r="A110" s="6"/>
      <c r="B110" s="6"/>
      <c r="C110" s="16"/>
      <c r="D110" s="16"/>
      <c r="E110" s="16"/>
      <c r="F110" s="16"/>
      <c r="G110" s="16"/>
      <c r="H110" s="16"/>
      <c r="I110" s="16"/>
      <c r="J110" s="16"/>
      <c r="K110" s="16"/>
      <c r="L110" s="19"/>
    </row>
    <row r="111" spans="1:12" ht="21.95" customHeight="1" x14ac:dyDescent="0.2">
      <c r="A111" s="6"/>
      <c r="B111" s="6"/>
      <c r="C111" s="16"/>
      <c r="D111" s="16"/>
      <c r="E111" s="16"/>
      <c r="F111" s="16"/>
      <c r="G111" s="16"/>
      <c r="H111" s="16"/>
      <c r="I111" s="16"/>
      <c r="J111" s="16"/>
      <c r="K111" s="16"/>
      <c r="L111" s="19"/>
    </row>
    <row r="112" spans="1:12" ht="21.95" customHeight="1" x14ac:dyDescent="0.2">
      <c r="A112" s="6"/>
      <c r="B112" s="6"/>
      <c r="C112" s="16"/>
      <c r="D112" s="16"/>
      <c r="E112" s="16"/>
      <c r="F112" s="16"/>
      <c r="G112" s="16"/>
      <c r="H112" s="16"/>
      <c r="I112" s="16"/>
      <c r="J112" s="16"/>
      <c r="K112" s="16"/>
      <c r="L112" s="19"/>
    </row>
    <row r="113" spans="1:12" ht="21.95" customHeight="1" x14ac:dyDescent="0.2">
      <c r="A113" s="6"/>
      <c r="B113" s="6"/>
      <c r="C113" s="16"/>
      <c r="D113" s="16"/>
      <c r="E113" s="16"/>
      <c r="F113" s="16"/>
      <c r="G113" s="16"/>
      <c r="H113" s="16"/>
      <c r="I113" s="16"/>
      <c r="J113" s="16"/>
      <c r="K113" s="16"/>
      <c r="L113" s="19"/>
    </row>
    <row r="114" spans="1:12" ht="21.95" customHeight="1" x14ac:dyDescent="0.2">
      <c r="A114" s="6"/>
      <c r="B114" s="6"/>
      <c r="C114" s="16"/>
      <c r="D114" s="16"/>
      <c r="E114" s="16"/>
      <c r="F114" s="16"/>
      <c r="G114" s="16"/>
      <c r="H114" s="16"/>
      <c r="I114" s="16"/>
      <c r="J114" s="16"/>
      <c r="K114" s="16"/>
      <c r="L114" s="19"/>
    </row>
    <row r="115" spans="1:12" ht="21.95" customHeight="1" x14ac:dyDescent="0.2">
      <c r="A115" s="6"/>
      <c r="B115" s="6"/>
      <c r="C115" s="16"/>
      <c r="D115" s="16"/>
      <c r="E115" s="16"/>
      <c r="F115" s="16"/>
      <c r="G115" s="16"/>
      <c r="H115" s="16"/>
      <c r="I115" s="16"/>
      <c r="J115" s="16"/>
      <c r="K115" s="16"/>
      <c r="L115" s="19"/>
    </row>
    <row r="116" spans="1:12" ht="21.95" customHeight="1" x14ac:dyDescent="0.2">
      <c r="A116" s="6"/>
      <c r="B116" s="6"/>
      <c r="C116" s="16"/>
      <c r="D116" s="16"/>
      <c r="E116" s="16"/>
      <c r="F116" s="16"/>
      <c r="G116" s="16"/>
      <c r="H116" s="16"/>
      <c r="I116" s="16"/>
      <c r="J116" s="16"/>
      <c r="K116" s="16"/>
      <c r="L116" s="19"/>
    </row>
    <row r="117" spans="1:12" ht="21.95" customHeight="1" x14ac:dyDescent="0.2">
      <c r="A117" s="6"/>
      <c r="B117" s="6"/>
      <c r="C117" s="16"/>
      <c r="D117" s="16"/>
      <c r="E117" s="16"/>
      <c r="F117" s="16"/>
      <c r="G117" s="16"/>
      <c r="H117" s="16"/>
      <c r="I117" s="16"/>
      <c r="J117" s="16"/>
      <c r="K117" s="16"/>
      <c r="L117" s="19"/>
    </row>
    <row r="118" spans="1:12" ht="21.95" customHeight="1" x14ac:dyDescent="0.2">
      <c r="A118" s="6"/>
      <c r="B118" s="6"/>
      <c r="C118" s="16"/>
      <c r="D118" s="16"/>
      <c r="E118" s="16"/>
      <c r="F118" s="16"/>
      <c r="G118" s="16"/>
      <c r="H118" s="16"/>
      <c r="I118" s="16"/>
      <c r="J118" s="16"/>
      <c r="K118" s="16"/>
      <c r="L118" s="19"/>
    </row>
    <row r="119" spans="1:12" ht="21.95" customHeight="1" x14ac:dyDescent="0.2">
      <c r="A119" s="6"/>
      <c r="B119" s="6"/>
      <c r="C119" s="16"/>
      <c r="D119" s="16"/>
      <c r="E119" s="16"/>
      <c r="F119" s="16"/>
      <c r="G119" s="16"/>
      <c r="H119" s="16"/>
      <c r="I119" s="16"/>
      <c r="J119" s="16"/>
      <c r="K119" s="16"/>
      <c r="L119" s="19"/>
    </row>
    <row r="120" spans="1:12" ht="21.95" customHeight="1" x14ac:dyDescent="0.2">
      <c r="A120" s="6"/>
      <c r="B120" s="6"/>
      <c r="C120" s="16"/>
      <c r="D120" s="16"/>
      <c r="E120" s="16"/>
      <c r="F120" s="16"/>
      <c r="G120" s="16"/>
      <c r="H120" s="16"/>
      <c r="I120" s="16"/>
      <c r="J120" s="16"/>
      <c r="K120" s="16"/>
      <c r="L120" s="19"/>
    </row>
    <row r="121" spans="1:12" ht="21.95" customHeight="1" x14ac:dyDescent="0.2">
      <c r="A121" s="6"/>
      <c r="B121" s="6"/>
      <c r="C121" s="16"/>
      <c r="D121" s="16"/>
      <c r="E121" s="16"/>
      <c r="F121" s="16"/>
      <c r="G121" s="16"/>
      <c r="H121" s="16"/>
      <c r="I121" s="16"/>
      <c r="J121" s="16"/>
      <c r="K121" s="16"/>
      <c r="L121" s="19"/>
    </row>
    <row r="122" spans="1:12" ht="21.95" customHeight="1" x14ac:dyDescent="0.2">
      <c r="A122" s="6"/>
      <c r="B122" s="6"/>
      <c r="C122" s="16"/>
      <c r="D122" s="16"/>
      <c r="E122" s="16"/>
      <c r="F122" s="16"/>
      <c r="G122" s="16"/>
      <c r="H122" s="16"/>
      <c r="I122" s="16"/>
      <c r="J122" s="16"/>
      <c r="K122" s="16"/>
      <c r="L122" s="19"/>
    </row>
    <row r="123" spans="1:12" ht="21.95" customHeight="1" x14ac:dyDescent="0.2">
      <c r="A123" s="6"/>
      <c r="B123" s="6"/>
      <c r="C123" s="16"/>
      <c r="D123" s="16"/>
      <c r="E123" s="16"/>
      <c r="F123" s="16"/>
      <c r="G123" s="16"/>
      <c r="H123" s="16"/>
      <c r="I123" s="16"/>
      <c r="J123" s="16"/>
      <c r="K123" s="16"/>
      <c r="L123" s="19"/>
    </row>
    <row r="124" spans="1:12" ht="21.95" customHeight="1" x14ac:dyDescent="0.2">
      <c r="A124" s="6"/>
      <c r="B124" s="6"/>
      <c r="C124" s="16"/>
      <c r="D124" s="16"/>
      <c r="E124" s="16"/>
      <c r="F124" s="16"/>
      <c r="G124" s="16"/>
      <c r="H124" s="16"/>
      <c r="I124" s="16"/>
      <c r="J124" s="16"/>
      <c r="K124" s="16"/>
      <c r="L124" s="19"/>
    </row>
    <row r="125" spans="1:12" ht="21.95" customHeight="1" x14ac:dyDescent="0.2">
      <c r="A125" s="6"/>
      <c r="B125" s="6"/>
      <c r="C125" s="16"/>
      <c r="D125" s="16"/>
      <c r="E125" s="16"/>
      <c r="F125" s="16"/>
      <c r="G125" s="16"/>
      <c r="H125" s="16"/>
      <c r="I125" s="16"/>
      <c r="J125" s="16"/>
      <c r="K125" s="16"/>
      <c r="L125" s="19"/>
    </row>
    <row r="126" spans="1:12" ht="21.95" customHeight="1" x14ac:dyDescent="0.2">
      <c r="A126" s="6"/>
      <c r="B126" s="6"/>
      <c r="C126" s="16"/>
      <c r="D126" s="16"/>
      <c r="E126" s="16"/>
      <c r="F126" s="16"/>
      <c r="G126" s="16"/>
      <c r="H126" s="16"/>
      <c r="I126" s="16"/>
      <c r="J126" s="16"/>
      <c r="K126" s="16"/>
      <c r="L126" s="19"/>
    </row>
    <row r="127" spans="1:12" ht="21.95" customHeight="1" x14ac:dyDescent="0.2">
      <c r="A127" s="6"/>
      <c r="B127" s="6"/>
      <c r="C127" s="16"/>
      <c r="D127" s="16"/>
      <c r="E127" s="16"/>
      <c r="F127" s="16"/>
      <c r="G127" s="16"/>
      <c r="H127" s="16"/>
      <c r="I127" s="16"/>
      <c r="J127" s="16"/>
      <c r="K127" s="16"/>
      <c r="L127" s="19"/>
    </row>
    <row r="128" spans="1:12" ht="21.95" customHeight="1" x14ac:dyDescent="0.2">
      <c r="A128" s="6"/>
      <c r="B128" s="6"/>
      <c r="C128" s="16"/>
      <c r="D128" s="16"/>
      <c r="E128" s="16"/>
      <c r="F128" s="16"/>
      <c r="G128" s="16"/>
      <c r="H128" s="16"/>
      <c r="I128" s="16"/>
      <c r="J128" s="16"/>
      <c r="K128" s="16"/>
      <c r="L128" s="19"/>
    </row>
    <row r="129" spans="1:12" ht="21.95" customHeight="1" x14ac:dyDescent="0.2">
      <c r="A129" s="6"/>
      <c r="B129" s="6"/>
      <c r="C129" s="16"/>
      <c r="D129" s="16"/>
      <c r="E129" s="16"/>
      <c r="F129" s="16"/>
      <c r="G129" s="16"/>
      <c r="H129" s="16"/>
      <c r="I129" s="16"/>
      <c r="J129" s="16"/>
      <c r="K129" s="16"/>
      <c r="L129" s="19"/>
    </row>
    <row r="130" spans="1:12" ht="21.95" customHeight="1" x14ac:dyDescent="0.2">
      <c r="A130" s="6"/>
      <c r="B130" s="6"/>
      <c r="C130" s="16"/>
      <c r="D130" s="16"/>
      <c r="E130" s="16"/>
      <c r="F130" s="16"/>
      <c r="G130" s="16"/>
      <c r="H130" s="16"/>
      <c r="I130" s="16"/>
      <c r="J130" s="16"/>
      <c r="K130" s="16"/>
      <c r="L130" s="19"/>
    </row>
    <row r="131" spans="1:12" ht="21.95" customHeight="1" x14ac:dyDescent="0.2">
      <c r="A131" s="6"/>
      <c r="B131" s="6"/>
      <c r="C131" s="16"/>
      <c r="D131" s="16"/>
      <c r="E131" s="16"/>
      <c r="F131" s="16"/>
      <c r="G131" s="16"/>
      <c r="H131" s="16"/>
      <c r="I131" s="16"/>
      <c r="J131" s="16"/>
      <c r="K131" s="16"/>
      <c r="L131" s="19"/>
    </row>
    <row r="132" spans="1:12" ht="21.95" customHeight="1" x14ac:dyDescent="0.2">
      <c r="A132" s="6"/>
      <c r="B132" s="6"/>
      <c r="C132" s="16"/>
      <c r="D132" s="16"/>
      <c r="E132" s="16"/>
      <c r="F132" s="16"/>
      <c r="G132" s="16"/>
      <c r="H132" s="16"/>
      <c r="I132" s="16"/>
      <c r="J132" s="16"/>
      <c r="K132" s="16"/>
      <c r="L132" s="19"/>
    </row>
    <row r="133" spans="1:12" ht="21.95" customHeight="1" x14ac:dyDescent="0.2">
      <c r="A133" s="6"/>
      <c r="B133" s="6"/>
      <c r="C133" s="16"/>
      <c r="D133" s="16"/>
      <c r="E133" s="16"/>
      <c r="F133" s="16"/>
      <c r="G133" s="16"/>
      <c r="H133" s="16"/>
      <c r="I133" s="16"/>
      <c r="J133" s="16"/>
      <c r="K133" s="16"/>
      <c r="L133" s="19"/>
    </row>
    <row r="134" spans="1:12" ht="21.95" customHeight="1" x14ac:dyDescent="0.2">
      <c r="A134" s="6"/>
      <c r="B134" s="6"/>
      <c r="C134" s="16"/>
      <c r="D134" s="16"/>
      <c r="E134" s="16"/>
      <c r="F134" s="16"/>
      <c r="G134" s="16"/>
      <c r="H134" s="16"/>
      <c r="I134" s="16"/>
      <c r="J134" s="16"/>
      <c r="K134" s="16"/>
      <c r="L134" s="19"/>
    </row>
    <row r="135" spans="1:12" ht="21.95" customHeight="1" x14ac:dyDescent="0.2">
      <c r="A135" s="6"/>
      <c r="B135" s="6"/>
      <c r="C135" s="16"/>
      <c r="D135" s="16"/>
      <c r="E135" s="16"/>
      <c r="F135" s="16"/>
      <c r="G135" s="16"/>
      <c r="H135" s="16"/>
      <c r="I135" s="16"/>
      <c r="J135" s="16"/>
      <c r="K135" s="16"/>
      <c r="L135" s="19"/>
    </row>
    <row r="136" spans="1:12" ht="21.95" customHeight="1" x14ac:dyDescent="0.2">
      <c r="A136" s="6"/>
      <c r="B136" s="6"/>
      <c r="C136" s="16"/>
      <c r="D136" s="16"/>
      <c r="E136" s="16"/>
      <c r="F136" s="16"/>
      <c r="G136" s="16"/>
      <c r="H136" s="16"/>
      <c r="I136" s="16"/>
      <c r="J136" s="16"/>
      <c r="K136" s="16"/>
      <c r="L136" s="19"/>
    </row>
    <row r="137" spans="1:12" ht="21.95" customHeight="1" x14ac:dyDescent="0.2">
      <c r="A137" s="6"/>
      <c r="B137" s="6"/>
      <c r="C137" s="16"/>
      <c r="D137" s="16"/>
      <c r="E137" s="16"/>
      <c r="F137" s="16"/>
      <c r="G137" s="16"/>
      <c r="H137" s="16"/>
      <c r="I137" s="16"/>
      <c r="J137" s="16"/>
      <c r="K137" s="16"/>
      <c r="L137" s="19"/>
    </row>
    <row r="138" spans="1:12" ht="21.95" customHeight="1" x14ac:dyDescent="0.2">
      <c r="A138" s="6"/>
      <c r="B138" s="6"/>
      <c r="C138" s="16"/>
      <c r="D138" s="16"/>
      <c r="E138" s="16"/>
      <c r="F138" s="16"/>
      <c r="G138" s="16"/>
      <c r="H138" s="16"/>
      <c r="I138" s="16"/>
      <c r="J138" s="16"/>
      <c r="K138" s="16"/>
      <c r="L138" s="19"/>
    </row>
    <row r="139" spans="1:12" ht="21.95" customHeight="1" x14ac:dyDescent="0.2">
      <c r="A139" s="6"/>
      <c r="B139" s="6"/>
      <c r="C139" s="16"/>
      <c r="D139" s="16"/>
      <c r="E139" s="16"/>
      <c r="F139" s="16"/>
      <c r="G139" s="16"/>
      <c r="H139" s="16"/>
      <c r="I139" s="16"/>
      <c r="J139" s="16"/>
      <c r="K139" s="16"/>
      <c r="L139" s="19"/>
    </row>
    <row r="140" spans="1:12" ht="21.95" customHeight="1" x14ac:dyDescent="0.2">
      <c r="A140" s="6"/>
      <c r="B140" s="6"/>
      <c r="C140" s="16"/>
      <c r="D140" s="16"/>
      <c r="E140" s="16"/>
      <c r="F140" s="16"/>
      <c r="G140" s="16"/>
      <c r="H140" s="16"/>
      <c r="I140" s="16"/>
      <c r="J140" s="16"/>
      <c r="K140" s="16"/>
      <c r="L140" s="19"/>
    </row>
    <row r="141" spans="1:12" ht="21.95" customHeight="1" x14ac:dyDescent="0.2">
      <c r="A141" s="6"/>
      <c r="B141" s="6"/>
      <c r="C141" s="16"/>
      <c r="D141" s="16"/>
      <c r="E141" s="16"/>
      <c r="F141" s="16"/>
      <c r="G141" s="16"/>
      <c r="H141" s="16"/>
      <c r="I141" s="16"/>
      <c r="J141" s="16"/>
      <c r="K141" s="16"/>
      <c r="L141" s="19"/>
    </row>
    <row r="142" spans="1:12" ht="21.95" customHeight="1" x14ac:dyDescent="0.2">
      <c r="A142" s="6"/>
      <c r="B142" s="6"/>
      <c r="C142" s="16"/>
      <c r="D142" s="16"/>
      <c r="E142" s="16"/>
      <c r="F142" s="16"/>
      <c r="G142" s="16"/>
      <c r="H142" s="16"/>
      <c r="I142" s="16"/>
      <c r="J142" s="16"/>
      <c r="K142" s="16"/>
      <c r="L142" s="19"/>
    </row>
    <row r="143" spans="1:12" ht="21.95" customHeight="1" x14ac:dyDescent="0.2">
      <c r="A143" s="6"/>
      <c r="B143" s="6"/>
      <c r="C143" s="16"/>
      <c r="D143" s="16"/>
      <c r="E143" s="16"/>
      <c r="F143" s="16"/>
      <c r="G143" s="16"/>
      <c r="H143" s="16"/>
      <c r="I143" s="16"/>
      <c r="J143" s="16"/>
      <c r="K143" s="16"/>
      <c r="L143" s="19"/>
    </row>
    <row r="144" spans="1:12" ht="21.95" customHeight="1" x14ac:dyDescent="0.2">
      <c r="A144" s="6"/>
      <c r="B144" s="6"/>
      <c r="C144" s="16"/>
      <c r="D144" s="16"/>
      <c r="E144" s="16"/>
      <c r="F144" s="16"/>
      <c r="G144" s="16"/>
      <c r="H144" s="16"/>
      <c r="I144" s="16"/>
      <c r="J144" s="16"/>
      <c r="K144" s="16"/>
      <c r="L144" s="19"/>
    </row>
    <row r="145" spans="1:12" ht="21.95" customHeight="1" x14ac:dyDescent="0.2">
      <c r="A145" s="6"/>
      <c r="B145" s="6"/>
      <c r="C145" s="16"/>
      <c r="D145" s="16"/>
      <c r="E145" s="16"/>
      <c r="F145" s="16"/>
      <c r="G145" s="16"/>
      <c r="H145" s="16"/>
      <c r="I145" s="16"/>
      <c r="J145" s="16"/>
      <c r="K145" s="16"/>
      <c r="L145" s="19"/>
    </row>
    <row r="146" spans="1:12" ht="21.95" customHeight="1" x14ac:dyDescent="0.2">
      <c r="A146" s="6"/>
      <c r="B146" s="6"/>
      <c r="C146" s="16"/>
      <c r="D146" s="16"/>
      <c r="E146" s="16"/>
      <c r="F146" s="16"/>
      <c r="G146" s="16"/>
      <c r="H146" s="16"/>
      <c r="I146" s="16"/>
      <c r="J146" s="16"/>
      <c r="K146" s="16"/>
      <c r="L146" s="19"/>
    </row>
    <row r="147" spans="1:12" ht="21.95" customHeight="1" x14ac:dyDescent="0.2">
      <c r="A147" s="6"/>
      <c r="B147" s="6"/>
      <c r="C147" s="16"/>
      <c r="D147" s="16"/>
      <c r="E147" s="16"/>
      <c r="F147" s="16"/>
      <c r="G147" s="16"/>
      <c r="H147" s="16"/>
      <c r="I147" s="16"/>
      <c r="J147" s="16"/>
      <c r="K147" s="16"/>
      <c r="L147" s="19"/>
    </row>
    <row r="148" spans="1:12" ht="21.95" customHeight="1" x14ac:dyDescent="0.2">
      <c r="A148" s="6"/>
      <c r="B148" s="6"/>
      <c r="C148" s="16"/>
      <c r="D148" s="16"/>
      <c r="E148" s="16"/>
      <c r="F148" s="16"/>
      <c r="G148" s="16"/>
      <c r="H148" s="16"/>
      <c r="I148" s="16"/>
      <c r="J148" s="16"/>
      <c r="K148" s="16"/>
      <c r="L148" s="19"/>
    </row>
    <row r="149" spans="1:12" ht="21.95" customHeight="1" x14ac:dyDescent="0.2">
      <c r="A149" s="6"/>
      <c r="B149" s="6"/>
      <c r="C149" s="16"/>
      <c r="D149" s="16"/>
      <c r="E149" s="16"/>
      <c r="F149" s="16"/>
      <c r="G149" s="16"/>
      <c r="H149" s="16"/>
      <c r="I149" s="16"/>
      <c r="J149" s="16"/>
      <c r="K149" s="16"/>
      <c r="L149" s="19"/>
    </row>
    <row r="150" spans="1:12" ht="21.95" customHeight="1" x14ac:dyDescent="0.2">
      <c r="A150" s="6"/>
      <c r="B150" s="6"/>
      <c r="C150" s="16"/>
      <c r="D150" s="16"/>
      <c r="E150" s="16"/>
      <c r="F150" s="16"/>
      <c r="G150" s="16"/>
      <c r="H150" s="16"/>
      <c r="I150" s="16"/>
      <c r="J150" s="16"/>
      <c r="K150" s="16"/>
      <c r="L150" s="19"/>
    </row>
    <row r="151" spans="1:12" ht="21.95" customHeight="1" x14ac:dyDescent="0.2">
      <c r="A151" s="6"/>
      <c r="B151" s="6"/>
      <c r="C151" s="16"/>
      <c r="D151" s="16"/>
      <c r="E151" s="16"/>
      <c r="F151" s="16"/>
      <c r="G151" s="16"/>
      <c r="H151" s="16"/>
      <c r="I151" s="16"/>
      <c r="J151" s="16"/>
      <c r="K151" s="16"/>
      <c r="L151" s="19"/>
    </row>
    <row r="152" spans="1:12" ht="21.95" customHeight="1" x14ac:dyDescent="0.2">
      <c r="A152" s="6"/>
      <c r="B152" s="6"/>
      <c r="C152" s="16"/>
      <c r="D152" s="16"/>
      <c r="E152" s="16"/>
      <c r="F152" s="16"/>
      <c r="G152" s="16"/>
      <c r="H152" s="16"/>
      <c r="I152" s="16"/>
      <c r="J152" s="16"/>
      <c r="K152" s="16"/>
      <c r="L152" s="19"/>
    </row>
    <row r="153" spans="1:12" ht="21.95" customHeight="1" x14ac:dyDescent="0.2">
      <c r="A153" s="6"/>
      <c r="B153" s="6"/>
      <c r="C153" s="16"/>
      <c r="D153" s="16"/>
      <c r="E153" s="16"/>
      <c r="F153" s="16"/>
      <c r="G153" s="16"/>
      <c r="H153" s="16"/>
      <c r="I153" s="16"/>
      <c r="J153" s="16"/>
      <c r="K153" s="16"/>
      <c r="L153" s="19"/>
    </row>
    <row r="154" spans="1:12" ht="21.95" customHeight="1" x14ac:dyDescent="0.2">
      <c r="A154" s="6"/>
      <c r="B154" s="6"/>
      <c r="C154" s="16"/>
      <c r="D154" s="16"/>
      <c r="E154" s="16"/>
      <c r="F154" s="16"/>
      <c r="G154" s="16"/>
      <c r="H154" s="16"/>
      <c r="I154" s="16"/>
      <c r="J154" s="16"/>
      <c r="K154" s="16"/>
      <c r="L154" s="19"/>
    </row>
    <row r="155" spans="1:12" ht="21.95" customHeight="1" x14ac:dyDescent="0.2">
      <c r="A155" s="6"/>
      <c r="B155" s="6"/>
      <c r="C155" s="16"/>
      <c r="D155" s="16"/>
      <c r="E155" s="16"/>
      <c r="F155" s="16"/>
      <c r="G155" s="16"/>
      <c r="H155" s="16"/>
      <c r="I155" s="16"/>
      <c r="J155" s="16"/>
      <c r="K155" s="16"/>
      <c r="L155" s="19"/>
    </row>
    <row r="156" spans="1:12" ht="21.95" customHeight="1" x14ac:dyDescent="0.2">
      <c r="A156" s="6"/>
      <c r="B156" s="6"/>
      <c r="C156" s="16"/>
      <c r="D156" s="16"/>
      <c r="E156" s="16"/>
      <c r="F156" s="16"/>
      <c r="G156" s="16"/>
      <c r="H156" s="16"/>
      <c r="I156" s="16"/>
      <c r="J156" s="16"/>
      <c r="K156" s="16"/>
      <c r="L156" s="19"/>
    </row>
    <row r="157" spans="1:12" ht="21.95" customHeight="1" x14ac:dyDescent="0.2">
      <c r="A157" s="6"/>
      <c r="B157" s="6"/>
      <c r="C157" s="16"/>
      <c r="D157" s="16"/>
      <c r="E157" s="16"/>
      <c r="F157" s="16"/>
      <c r="G157" s="16"/>
      <c r="H157" s="16"/>
      <c r="I157" s="16"/>
      <c r="J157" s="16"/>
      <c r="K157" s="16"/>
      <c r="L157" s="19"/>
    </row>
    <row r="158" spans="1:12" ht="21.95" customHeight="1" x14ac:dyDescent="0.2">
      <c r="A158" s="6"/>
      <c r="B158" s="6"/>
      <c r="C158" s="16"/>
      <c r="D158" s="16"/>
      <c r="E158" s="16"/>
      <c r="F158" s="16"/>
      <c r="G158" s="16"/>
      <c r="H158" s="16"/>
      <c r="I158" s="16"/>
      <c r="J158" s="16"/>
      <c r="K158" s="16"/>
      <c r="L158" s="19"/>
    </row>
    <row r="159" spans="1:12" ht="21.95" customHeight="1" x14ac:dyDescent="0.2">
      <c r="A159" s="6"/>
      <c r="B159" s="6"/>
      <c r="C159" s="16"/>
      <c r="D159" s="16"/>
      <c r="E159" s="16"/>
      <c r="F159" s="16"/>
      <c r="G159" s="16"/>
      <c r="H159" s="16"/>
      <c r="I159" s="16"/>
      <c r="J159" s="16"/>
      <c r="K159" s="16"/>
      <c r="L159" s="19"/>
    </row>
    <row r="160" spans="1:12" ht="21.95" customHeight="1" x14ac:dyDescent="0.2">
      <c r="A160" s="6"/>
      <c r="B160" s="6"/>
      <c r="C160" s="16"/>
      <c r="D160" s="16"/>
      <c r="E160" s="16"/>
      <c r="F160" s="16"/>
      <c r="G160" s="16"/>
      <c r="H160" s="16"/>
      <c r="I160" s="16"/>
      <c r="J160" s="16"/>
      <c r="K160" s="16"/>
      <c r="L160" s="19"/>
    </row>
    <row r="161" spans="1:12" ht="21.95" customHeight="1" x14ac:dyDescent="0.2">
      <c r="A161" s="6"/>
      <c r="B161" s="6"/>
      <c r="C161" s="16"/>
      <c r="D161" s="16"/>
      <c r="E161" s="16"/>
      <c r="F161" s="16"/>
      <c r="G161" s="16"/>
      <c r="H161" s="16"/>
      <c r="I161" s="16"/>
      <c r="J161" s="16"/>
      <c r="K161" s="16"/>
      <c r="L161" s="19"/>
    </row>
    <row r="162" spans="1:12" ht="21.95" customHeight="1" x14ac:dyDescent="0.2">
      <c r="A162" s="6"/>
      <c r="B162" s="6"/>
      <c r="C162" s="16"/>
      <c r="D162" s="16"/>
      <c r="E162" s="16"/>
      <c r="F162" s="16"/>
      <c r="G162" s="16"/>
      <c r="H162" s="16"/>
      <c r="I162" s="16"/>
      <c r="J162" s="16"/>
      <c r="K162" s="16"/>
      <c r="L162" s="19"/>
    </row>
    <row r="163" spans="1:12" ht="15" x14ac:dyDescent="0.2">
      <c r="A163" s="6"/>
      <c r="B163" s="6"/>
      <c r="C163" s="16"/>
      <c r="D163" s="16"/>
      <c r="E163" s="16"/>
      <c r="F163" s="16"/>
      <c r="G163" s="16"/>
      <c r="H163" s="16"/>
      <c r="I163" s="16"/>
      <c r="J163" s="16"/>
      <c r="K163" s="16"/>
      <c r="L163" s="19"/>
    </row>
    <row r="164" spans="1:12" ht="21.95" customHeight="1" x14ac:dyDescent="0.2">
      <c r="A164" s="6"/>
      <c r="B164" s="6"/>
      <c r="C164" s="16"/>
      <c r="D164" s="16"/>
      <c r="E164" s="16"/>
      <c r="F164" s="16"/>
      <c r="G164" s="16"/>
      <c r="H164" s="16"/>
      <c r="I164" s="16"/>
      <c r="J164" s="16"/>
      <c r="K164" s="16"/>
      <c r="L164" s="19"/>
    </row>
    <row r="165" spans="1:12" ht="21.95" customHeight="1" x14ac:dyDescent="0.2">
      <c r="A165" s="6"/>
      <c r="B165" s="6"/>
      <c r="C165" s="16"/>
      <c r="D165" s="16"/>
      <c r="E165" s="16"/>
      <c r="F165" s="16"/>
      <c r="G165" s="16"/>
      <c r="H165" s="16"/>
      <c r="I165" s="16"/>
      <c r="J165" s="16"/>
      <c r="K165" s="16"/>
      <c r="L165" s="19"/>
    </row>
    <row r="166" spans="1:12" ht="21.95" customHeight="1" x14ac:dyDescent="0.2">
      <c r="A166" s="6"/>
      <c r="B166" s="6"/>
      <c r="C166" s="16"/>
      <c r="D166" s="16"/>
      <c r="E166" s="16"/>
      <c r="F166" s="16"/>
      <c r="G166" s="16"/>
      <c r="H166" s="16"/>
      <c r="I166" s="16"/>
      <c r="J166" s="16"/>
      <c r="K166" s="16"/>
      <c r="L166" s="19"/>
    </row>
    <row r="167" spans="1:12" ht="21.95" customHeight="1" x14ac:dyDescent="0.2">
      <c r="A167" s="6"/>
      <c r="B167" s="6"/>
      <c r="C167" s="16"/>
      <c r="D167" s="16"/>
      <c r="E167" s="16"/>
      <c r="F167" s="16"/>
      <c r="G167" s="16"/>
      <c r="H167" s="16"/>
      <c r="I167" s="16"/>
      <c r="J167" s="16"/>
      <c r="K167" s="16"/>
      <c r="L167" s="19"/>
    </row>
    <row r="168" spans="1:12" ht="21.95" customHeight="1" x14ac:dyDescent="0.2">
      <c r="A168" s="6"/>
      <c r="B168" s="6"/>
      <c r="C168" s="16"/>
      <c r="D168" s="16"/>
      <c r="E168" s="16"/>
      <c r="F168" s="16"/>
      <c r="G168" s="16"/>
      <c r="H168" s="16"/>
      <c r="I168" s="16"/>
      <c r="J168" s="16"/>
      <c r="K168" s="16"/>
      <c r="L168" s="19"/>
    </row>
    <row r="169" spans="1:12" ht="21.95" customHeight="1" x14ac:dyDescent="0.2">
      <c r="A169" s="6"/>
      <c r="B169" s="6"/>
      <c r="C169" s="16"/>
      <c r="D169" s="16"/>
      <c r="E169" s="16"/>
      <c r="F169" s="16"/>
      <c r="G169" s="16"/>
      <c r="H169" s="16"/>
      <c r="I169" s="16"/>
      <c r="J169" s="16"/>
      <c r="K169" s="16"/>
      <c r="L169" s="19"/>
    </row>
    <row r="170" spans="1:12" ht="21.95" customHeight="1" x14ac:dyDescent="0.2">
      <c r="A170" s="6"/>
      <c r="B170" s="6"/>
      <c r="C170" s="16"/>
      <c r="D170" s="16"/>
      <c r="E170" s="16"/>
      <c r="F170" s="16"/>
      <c r="G170" s="16"/>
      <c r="H170" s="16"/>
      <c r="I170" s="16"/>
      <c r="J170" s="16"/>
      <c r="K170" s="16"/>
      <c r="L170" s="19"/>
    </row>
    <row r="171" spans="1:12" ht="21.95" customHeight="1" x14ac:dyDescent="0.2">
      <c r="A171" s="6"/>
      <c r="B171" s="6"/>
      <c r="C171" s="16"/>
      <c r="D171" s="16"/>
      <c r="E171" s="16"/>
      <c r="F171" s="16"/>
      <c r="G171" s="16"/>
      <c r="H171" s="16"/>
      <c r="I171" s="16"/>
      <c r="J171" s="16"/>
      <c r="K171" s="16"/>
      <c r="L171" s="19"/>
    </row>
    <row r="172" spans="1:12" ht="21.95" customHeight="1" x14ac:dyDescent="0.2">
      <c r="A172" s="6"/>
      <c r="B172" s="6"/>
      <c r="C172" s="16"/>
      <c r="D172" s="16"/>
      <c r="E172" s="16"/>
      <c r="F172" s="16"/>
      <c r="G172" s="16"/>
      <c r="H172" s="16"/>
      <c r="I172" s="16"/>
      <c r="J172" s="16"/>
      <c r="K172" s="16"/>
      <c r="L172" s="19"/>
    </row>
    <row r="173" spans="1:12" ht="21.95" customHeight="1" x14ac:dyDescent="0.2">
      <c r="A173" s="6"/>
      <c r="B173" s="6"/>
      <c r="C173" s="16"/>
      <c r="D173" s="16"/>
      <c r="E173" s="16"/>
      <c r="F173" s="16"/>
      <c r="G173" s="16"/>
      <c r="H173" s="16"/>
      <c r="I173" s="16"/>
      <c r="J173" s="16"/>
      <c r="K173" s="16"/>
      <c r="L173" s="19"/>
    </row>
    <row r="174" spans="1:12" ht="21.95" customHeight="1" x14ac:dyDescent="0.2">
      <c r="A174" s="6"/>
      <c r="B174" s="6"/>
      <c r="C174" s="16"/>
      <c r="D174" s="16"/>
      <c r="E174" s="16"/>
      <c r="F174" s="16"/>
      <c r="G174" s="16"/>
      <c r="H174" s="16"/>
      <c r="I174" s="16"/>
      <c r="J174" s="16"/>
      <c r="K174" s="16"/>
      <c r="L174" s="19"/>
    </row>
    <row r="175" spans="1:12" ht="21.95" customHeight="1" x14ac:dyDescent="0.2">
      <c r="A175" s="6"/>
      <c r="B175" s="6"/>
      <c r="C175" s="16"/>
      <c r="D175" s="16"/>
      <c r="E175" s="16"/>
      <c r="F175" s="16"/>
      <c r="G175" s="16"/>
      <c r="H175" s="16"/>
      <c r="I175" s="16"/>
      <c r="J175" s="16"/>
      <c r="K175" s="16"/>
      <c r="L175" s="19"/>
    </row>
    <row r="176" spans="1:12" ht="21.95" customHeight="1" x14ac:dyDescent="0.2">
      <c r="A176" s="6"/>
      <c r="B176" s="6"/>
      <c r="C176" s="16"/>
      <c r="D176" s="16"/>
      <c r="E176" s="16"/>
      <c r="F176" s="16"/>
      <c r="G176" s="16"/>
      <c r="H176" s="16"/>
      <c r="I176" s="16"/>
      <c r="J176" s="16"/>
      <c r="K176" s="16"/>
      <c r="L176" s="19"/>
    </row>
    <row r="177" spans="1:12" ht="21.95" customHeight="1" x14ac:dyDescent="0.2">
      <c r="A177" s="6"/>
      <c r="B177" s="6"/>
      <c r="C177" s="16"/>
      <c r="D177" s="16"/>
      <c r="E177" s="16"/>
      <c r="F177" s="16"/>
      <c r="G177" s="16"/>
      <c r="H177" s="16"/>
      <c r="I177" s="16"/>
      <c r="J177" s="16"/>
      <c r="K177" s="16"/>
      <c r="L177" s="19"/>
    </row>
    <row r="178" spans="1:12" ht="21.95" customHeight="1" x14ac:dyDescent="0.2">
      <c r="A178" s="6"/>
      <c r="B178" s="6"/>
      <c r="C178" s="16"/>
      <c r="D178" s="16"/>
      <c r="E178" s="16"/>
      <c r="F178" s="16"/>
      <c r="G178" s="16"/>
      <c r="H178" s="16"/>
      <c r="I178" s="16"/>
      <c r="J178" s="16"/>
      <c r="K178" s="16"/>
      <c r="L178" s="19"/>
    </row>
    <row r="179" spans="1:12" ht="21.95" customHeight="1" x14ac:dyDescent="0.2">
      <c r="A179" s="6"/>
      <c r="B179" s="6"/>
      <c r="C179" s="16"/>
      <c r="D179" s="16"/>
      <c r="E179" s="16"/>
      <c r="F179" s="16"/>
      <c r="G179" s="16"/>
      <c r="H179" s="16"/>
      <c r="I179" s="16"/>
      <c r="J179" s="16"/>
      <c r="K179" s="16"/>
      <c r="L179" s="19"/>
    </row>
    <row r="180" spans="1:12" ht="21.95" customHeight="1" x14ac:dyDescent="0.2">
      <c r="A180" s="6"/>
      <c r="B180" s="6"/>
      <c r="C180" s="16"/>
      <c r="D180" s="16"/>
      <c r="E180" s="16"/>
      <c r="F180" s="16"/>
      <c r="G180" s="16"/>
      <c r="H180" s="16"/>
      <c r="I180" s="16"/>
      <c r="J180" s="16"/>
      <c r="K180" s="16"/>
      <c r="L180" s="19"/>
    </row>
    <row r="181" spans="1:12" ht="21.95" customHeight="1" x14ac:dyDescent="0.2">
      <c r="A181" s="6"/>
      <c r="B181" s="6"/>
      <c r="C181" s="16"/>
      <c r="D181" s="16"/>
      <c r="E181" s="16"/>
      <c r="F181" s="16"/>
      <c r="G181" s="16"/>
      <c r="H181" s="16"/>
      <c r="I181" s="16"/>
      <c r="J181" s="16"/>
      <c r="K181" s="16"/>
      <c r="L181" s="19"/>
    </row>
    <row r="182" spans="1:12" ht="21.95" customHeight="1" x14ac:dyDescent="0.2">
      <c r="A182" s="6"/>
      <c r="B182" s="6"/>
      <c r="C182" s="16"/>
      <c r="D182" s="16"/>
      <c r="E182" s="16"/>
      <c r="F182" s="16"/>
      <c r="G182" s="16"/>
      <c r="H182" s="16"/>
      <c r="I182" s="16"/>
      <c r="J182" s="16"/>
      <c r="K182" s="16"/>
      <c r="L182" s="19"/>
    </row>
    <row r="183" spans="1:12" ht="21.95" customHeight="1" x14ac:dyDescent="0.2">
      <c r="A183" s="6"/>
      <c r="B183" s="6"/>
      <c r="C183" s="16"/>
      <c r="D183" s="16"/>
      <c r="E183" s="16"/>
      <c r="F183" s="16"/>
      <c r="G183" s="16"/>
      <c r="H183" s="16"/>
      <c r="I183" s="16"/>
      <c r="J183" s="16"/>
      <c r="K183" s="16"/>
      <c r="L183" s="19"/>
    </row>
    <row r="184" spans="1:12" ht="21.95" customHeight="1" x14ac:dyDescent="0.2">
      <c r="A184" s="6"/>
      <c r="B184" s="6"/>
      <c r="C184" s="16"/>
      <c r="D184" s="16"/>
      <c r="E184" s="16"/>
      <c r="F184" s="16"/>
      <c r="G184" s="16"/>
      <c r="H184" s="16"/>
      <c r="I184" s="16"/>
      <c r="J184" s="16"/>
      <c r="K184" s="16"/>
      <c r="L184" s="19"/>
    </row>
    <row r="185" spans="1:12" ht="21.95" customHeight="1" x14ac:dyDescent="0.2">
      <c r="A185" s="6"/>
      <c r="B185" s="6"/>
      <c r="C185" s="16"/>
      <c r="D185" s="16"/>
      <c r="E185" s="16"/>
      <c r="F185" s="16"/>
      <c r="G185" s="16"/>
      <c r="H185" s="16"/>
      <c r="I185" s="16"/>
      <c r="J185" s="16"/>
      <c r="K185" s="16"/>
      <c r="L185" s="19"/>
    </row>
    <row r="186" spans="1:12" ht="21.95" customHeight="1" x14ac:dyDescent="0.2">
      <c r="A186" s="6"/>
      <c r="B186" s="6"/>
      <c r="C186" s="16"/>
      <c r="D186" s="16"/>
      <c r="E186" s="16"/>
      <c r="F186" s="16"/>
      <c r="G186" s="16"/>
      <c r="H186" s="16"/>
      <c r="I186" s="16"/>
      <c r="J186" s="16"/>
      <c r="K186" s="16"/>
      <c r="L186" s="19"/>
    </row>
    <row r="187" spans="1:12" ht="21.95" customHeight="1" x14ac:dyDescent="0.2">
      <c r="A187" s="6"/>
      <c r="B187" s="6"/>
      <c r="C187" s="16"/>
      <c r="D187" s="16"/>
      <c r="E187" s="16"/>
      <c r="F187" s="16"/>
      <c r="G187" s="16"/>
      <c r="H187" s="16"/>
      <c r="I187" s="16"/>
      <c r="J187" s="16"/>
      <c r="K187" s="16"/>
      <c r="L187" s="19"/>
    </row>
    <row r="188" spans="1:12" ht="21.95" customHeight="1" x14ac:dyDescent="0.2">
      <c r="A188" s="6"/>
      <c r="B188" s="6"/>
      <c r="C188" s="16"/>
      <c r="D188" s="16"/>
      <c r="E188" s="16"/>
      <c r="F188" s="16"/>
      <c r="G188" s="16"/>
      <c r="H188" s="16"/>
      <c r="I188" s="16"/>
      <c r="J188" s="16"/>
      <c r="K188" s="16"/>
      <c r="L188" s="19"/>
    </row>
    <row r="189" spans="1:12" ht="21.95" customHeight="1" x14ac:dyDescent="0.2">
      <c r="A189" s="6"/>
      <c r="B189" s="6"/>
      <c r="C189" s="16"/>
      <c r="D189" s="16"/>
      <c r="E189" s="16"/>
      <c r="F189" s="16"/>
      <c r="G189" s="16"/>
      <c r="H189" s="16"/>
      <c r="I189" s="16"/>
      <c r="J189" s="16"/>
      <c r="K189" s="16"/>
      <c r="L189" s="19"/>
    </row>
    <row r="190" spans="1:12" ht="21.95" customHeight="1" x14ac:dyDescent="0.2">
      <c r="A190" s="6"/>
      <c r="B190" s="6"/>
      <c r="C190" s="16"/>
      <c r="D190" s="16"/>
      <c r="E190" s="16"/>
      <c r="F190" s="16"/>
      <c r="G190" s="16"/>
      <c r="H190" s="16"/>
      <c r="I190" s="16"/>
      <c r="J190" s="16"/>
      <c r="K190" s="16"/>
      <c r="L190" s="19"/>
    </row>
    <row r="191" spans="1:12" ht="21.95" customHeight="1" x14ac:dyDescent="0.2">
      <c r="A191" s="6"/>
      <c r="B191" s="6"/>
      <c r="C191" s="16"/>
      <c r="D191" s="16"/>
      <c r="E191" s="16"/>
      <c r="F191" s="16"/>
      <c r="G191" s="16"/>
      <c r="H191" s="16"/>
      <c r="I191" s="16"/>
      <c r="J191" s="16"/>
      <c r="K191" s="16"/>
      <c r="L191" s="19"/>
    </row>
    <row r="192" spans="1:12" ht="21.95" customHeight="1" x14ac:dyDescent="0.2">
      <c r="A192" s="6"/>
      <c r="B192" s="6"/>
      <c r="C192" s="16"/>
      <c r="D192" s="16"/>
      <c r="E192" s="16"/>
      <c r="F192" s="16"/>
      <c r="G192" s="16"/>
      <c r="H192" s="16"/>
      <c r="I192" s="16"/>
      <c r="J192" s="16"/>
      <c r="K192" s="16"/>
      <c r="L192" s="19"/>
    </row>
    <row r="193" spans="1:12" ht="21.95" customHeight="1" x14ac:dyDescent="0.2">
      <c r="A193" s="6"/>
      <c r="B193" s="6"/>
      <c r="C193" s="16"/>
      <c r="D193" s="16"/>
      <c r="E193" s="16"/>
      <c r="F193" s="16"/>
      <c r="G193" s="16"/>
      <c r="H193" s="16"/>
      <c r="I193" s="16"/>
      <c r="J193" s="16"/>
      <c r="K193" s="16"/>
      <c r="L193" s="19"/>
    </row>
    <row r="194" spans="1:12" ht="21.95" customHeight="1" x14ac:dyDescent="0.2">
      <c r="A194" s="6"/>
      <c r="B194" s="6"/>
      <c r="C194" s="16"/>
      <c r="D194" s="16"/>
      <c r="E194" s="16"/>
      <c r="F194" s="16"/>
      <c r="G194" s="16"/>
      <c r="H194" s="16"/>
      <c r="I194" s="16"/>
      <c r="J194" s="16"/>
      <c r="K194" s="16"/>
      <c r="L194" s="19"/>
    </row>
    <row r="195" spans="1:12" ht="21.95" customHeight="1" x14ac:dyDescent="0.2">
      <c r="A195" s="6"/>
      <c r="B195" s="6"/>
      <c r="C195" s="16"/>
      <c r="D195" s="16"/>
      <c r="E195" s="16"/>
      <c r="F195" s="16"/>
      <c r="G195" s="16"/>
      <c r="H195" s="16"/>
      <c r="I195" s="16"/>
      <c r="J195" s="16"/>
      <c r="K195" s="16"/>
      <c r="L195" s="19"/>
    </row>
    <row r="196" spans="1:12" ht="21.95" customHeight="1" x14ac:dyDescent="0.2">
      <c r="A196" s="6"/>
      <c r="B196" s="6"/>
      <c r="C196" s="16"/>
      <c r="D196" s="16"/>
      <c r="E196" s="16"/>
      <c r="F196" s="16"/>
      <c r="G196" s="16"/>
      <c r="H196" s="16"/>
      <c r="I196" s="16"/>
      <c r="J196" s="16"/>
      <c r="K196" s="16"/>
      <c r="L196" s="19"/>
    </row>
    <row r="197" spans="1:12" ht="21.95" customHeight="1" x14ac:dyDescent="0.2">
      <c r="A197" s="6"/>
      <c r="B197" s="6"/>
      <c r="C197" s="16"/>
      <c r="D197" s="16"/>
      <c r="E197" s="16"/>
      <c r="F197" s="16"/>
      <c r="G197" s="16"/>
      <c r="H197" s="16"/>
      <c r="I197" s="16"/>
      <c r="J197" s="16"/>
      <c r="K197" s="16"/>
      <c r="L197" s="19"/>
    </row>
    <row r="198" spans="1:12" ht="21.95" customHeight="1" x14ac:dyDescent="0.2">
      <c r="A198" s="6"/>
      <c r="B198" s="6"/>
      <c r="C198" s="16"/>
      <c r="D198" s="16"/>
      <c r="E198" s="16"/>
      <c r="F198" s="16"/>
      <c r="G198" s="16"/>
      <c r="H198" s="16"/>
      <c r="I198" s="16"/>
      <c r="J198" s="16"/>
      <c r="K198" s="16"/>
      <c r="L198" s="19"/>
    </row>
    <row r="199" spans="1:12" ht="21.95" customHeight="1" x14ac:dyDescent="0.2">
      <c r="A199" s="6"/>
      <c r="B199" s="6"/>
      <c r="C199" s="16"/>
      <c r="D199" s="16"/>
      <c r="E199" s="16"/>
      <c r="F199" s="16"/>
      <c r="G199" s="16"/>
      <c r="H199" s="16"/>
      <c r="I199" s="16"/>
      <c r="J199" s="16"/>
      <c r="K199" s="16"/>
      <c r="L199" s="19"/>
    </row>
    <row r="200" spans="1:12" ht="21.95" customHeight="1" x14ac:dyDescent="0.2">
      <c r="A200" s="6"/>
      <c r="B200" s="6"/>
      <c r="C200" s="16"/>
      <c r="D200" s="16"/>
      <c r="E200" s="16"/>
      <c r="F200" s="16"/>
      <c r="G200" s="16"/>
      <c r="H200" s="16"/>
      <c r="I200" s="16"/>
      <c r="J200" s="16"/>
      <c r="K200" s="16"/>
      <c r="L200" s="19"/>
    </row>
    <row r="201" spans="1:12" ht="21.95" customHeight="1" x14ac:dyDescent="0.2">
      <c r="A201" s="6"/>
      <c r="B201" s="6"/>
      <c r="C201" s="16"/>
      <c r="D201" s="16"/>
      <c r="E201" s="16"/>
      <c r="F201" s="16"/>
      <c r="G201" s="16"/>
      <c r="H201" s="16"/>
      <c r="I201" s="16"/>
      <c r="J201" s="16"/>
      <c r="K201" s="16"/>
      <c r="L201" s="19"/>
    </row>
    <row r="202" spans="1:12" ht="21.95" customHeight="1" x14ac:dyDescent="0.2">
      <c r="A202" s="6"/>
      <c r="B202" s="6"/>
      <c r="C202" s="16"/>
      <c r="D202" s="16"/>
      <c r="E202" s="16"/>
      <c r="F202" s="16"/>
      <c r="G202" s="16"/>
      <c r="H202" s="16"/>
      <c r="I202" s="16"/>
      <c r="J202" s="16"/>
      <c r="K202" s="16"/>
      <c r="L202" s="19"/>
    </row>
    <row r="203" spans="1:12" ht="21.95" customHeight="1" x14ac:dyDescent="0.2">
      <c r="A203" s="6"/>
      <c r="B203" s="6"/>
      <c r="C203" s="16"/>
      <c r="D203" s="16"/>
      <c r="E203" s="16"/>
      <c r="F203" s="16"/>
      <c r="G203" s="16"/>
      <c r="H203" s="16"/>
      <c r="I203" s="16"/>
      <c r="J203" s="16"/>
      <c r="K203" s="16"/>
      <c r="L203" s="19"/>
    </row>
    <row r="204" spans="1:12" ht="21.95" customHeight="1" x14ac:dyDescent="0.2">
      <c r="A204" s="6"/>
      <c r="B204" s="6"/>
      <c r="C204" s="16"/>
      <c r="D204" s="16"/>
      <c r="E204" s="16"/>
      <c r="F204" s="16"/>
      <c r="G204" s="16"/>
      <c r="H204" s="16"/>
      <c r="I204" s="16"/>
      <c r="J204" s="16"/>
      <c r="K204" s="16"/>
      <c r="L204" s="19"/>
    </row>
    <row r="205" spans="1:12" ht="21.95" customHeight="1" x14ac:dyDescent="0.2">
      <c r="A205" s="6"/>
      <c r="B205" s="6"/>
      <c r="C205" s="16"/>
      <c r="D205" s="16"/>
      <c r="E205" s="16"/>
      <c r="F205" s="16"/>
      <c r="G205" s="16"/>
      <c r="H205" s="16"/>
      <c r="I205" s="16"/>
      <c r="J205" s="16"/>
      <c r="K205" s="16"/>
      <c r="L205" s="19"/>
    </row>
    <row r="206" spans="1:12" ht="21.95" customHeight="1" x14ac:dyDescent="0.2">
      <c r="A206" s="6"/>
      <c r="B206" s="6"/>
      <c r="C206" s="16"/>
      <c r="D206" s="16"/>
      <c r="E206" s="16"/>
      <c r="F206" s="16"/>
      <c r="G206" s="16"/>
      <c r="H206" s="16"/>
      <c r="I206" s="16"/>
      <c r="J206" s="16"/>
      <c r="K206" s="16"/>
      <c r="L206" s="19"/>
    </row>
    <row r="207" spans="1:12" ht="21.95" customHeight="1" x14ac:dyDescent="0.2">
      <c r="A207" s="6"/>
      <c r="B207" s="6"/>
      <c r="C207" s="16"/>
      <c r="D207" s="16"/>
      <c r="E207" s="16"/>
      <c r="F207" s="16"/>
      <c r="G207" s="16"/>
      <c r="H207" s="16"/>
      <c r="I207" s="16"/>
      <c r="J207" s="16"/>
      <c r="K207" s="16"/>
      <c r="L207" s="19"/>
    </row>
    <row r="208" spans="1:12" ht="21.95" customHeight="1" x14ac:dyDescent="0.2">
      <c r="A208" s="6"/>
      <c r="B208" s="6"/>
      <c r="C208" s="16"/>
      <c r="D208" s="16"/>
      <c r="E208" s="16"/>
      <c r="F208" s="16"/>
      <c r="G208" s="16"/>
      <c r="H208" s="16"/>
      <c r="I208" s="16"/>
      <c r="J208" s="16"/>
      <c r="K208" s="16"/>
      <c r="L208" s="19"/>
    </row>
    <row r="209" spans="1:12" ht="21.95" customHeight="1" x14ac:dyDescent="0.2">
      <c r="A209" s="6"/>
      <c r="B209" s="6"/>
      <c r="C209" s="16"/>
      <c r="D209" s="16"/>
      <c r="E209" s="16"/>
      <c r="F209" s="16"/>
      <c r="G209" s="16"/>
      <c r="H209" s="16"/>
      <c r="I209" s="16"/>
      <c r="J209" s="16"/>
      <c r="K209" s="16"/>
      <c r="L209" s="19"/>
    </row>
    <row r="210" spans="1:12" ht="21.95" customHeight="1" x14ac:dyDescent="0.2">
      <c r="A210" s="6"/>
      <c r="B210" s="6"/>
      <c r="C210" s="16"/>
      <c r="D210" s="16"/>
      <c r="E210" s="16"/>
      <c r="F210" s="16"/>
      <c r="G210" s="16"/>
      <c r="H210" s="16"/>
      <c r="I210" s="16"/>
      <c r="J210" s="16"/>
      <c r="K210" s="16"/>
      <c r="L210" s="19"/>
    </row>
    <row r="211" spans="1:12" ht="21.95" customHeight="1" x14ac:dyDescent="0.2">
      <c r="A211" s="6"/>
      <c r="B211" s="6"/>
      <c r="C211" s="16"/>
      <c r="D211" s="16"/>
      <c r="E211" s="16"/>
      <c r="F211" s="16"/>
      <c r="G211" s="16"/>
      <c r="H211" s="16"/>
      <c r="I211" s="16"/>
      <c r="J211" s="16"/>
      <c r="K211" s="16"/>
      <c r="L211" s="19"/>
    </row>
    <row r="212" spans="1:12" ht="21.95" customHeight="1" x14ac:dyDescent="0.2">
      <c r="A212" s="6"/>
      <c r="B212" s="6"/>
      <c r="C212" s="16"/>
      <c r="D212" s="16"/>
      <c r="E212" s="16"/>
      <c r="F212" s="16"/>
      <c r="G212" s="16"/>
      <c r="H212" s="16"/>
      <c r="I212" s="16"/>
      <c r="J212" s="16"/>
      <c r="K212" s="16"/>
      <c r="L212" s="19"/>
    </row>
    <row r="213" spans="1:12" ht="21.95" customHeight="1" x14ac:dyDescent="0.2">
      <c r="A213" s="6"/>
      <c r="B213" s="6"/>
      <c r="C213" s="16"/>
      <c r="D213" s="16"/>
      <c r="E213" s="16"/>
      <c r="F213" s="16"/>
      <c r="G213" s="16"/>
      <c r="H213" s="16"/>
      <c r="I213" s="16"/>
      <c r="J213" s="16"/>
      <c r="K213" s="16"/>
      <c r="L213" s="19"/>
    </row>
    <row r="214" spans="1:12" ht="21.95" customHeight="1" x14ac:dyDescent="0.2">
      <c r="A214" s="6"/>
      <c r="B214" s="6"/>
      <c r="C214" s="16"/>
      <c r="D214" s="16"/>
      <c r="E214" s="16"/>
      <c r="F214" s="16"/>
      <c r="G214" s="16"/>
      <c r="H214" s="16"/>
      <c r="I214" s="16"/>
      <c r="J214" s="16"/>
      <c r="K214" s="16"/>
      <c r="L214" s="19"/>
    </row>
    <row r="215" spans="1:12" ht="21.95" customHeight="1" x14ac:dyDescent="0.2">
      <c r="A215" s="6"/>
      <c r="B215" s="6"/>
      <c r="C215" s="16"/>
      <c r="D215" s="16"/>
      <c r="E215" s="16"/>
      <c r="F215" s="16"/>
      <c r="G215" s="16"/>
      <c r="H215" s="16"/>
      <c r="I215" s="16"/>
      <c r="J215" s="16"/>
      <c r="K215" s="16"/>
      <c r="L215" s="19"/>
    </row>
    <row r="216" spans="1:12" ht="21.95" customHeight="1" x14ac:dyDescent="0.2">
      <c r="A216" s="6"/>
      <c r="B216" s="6"/>
      <c r="C216" s="16"/>
      <c r="D216" s="16"/>
      <c r="E216" s="16"/>
      <c r="F216" s="16"/>
      <c r="G216" s="16"/>
      <c r="H216" s="16"/>
      <c r="I216" s="16"/>
      <c r="J216" s="16"/>
      <c r="K216" s="16"/>
      <c r="L216" s="19"/>
    </row>
    <row r="217" spans="1:12" ht="21.95" customHeight="1" x14ac:dyDescent="0.2">
      <c r="A217" s="6"/>
      <c r="B217" s="6"/>
      <c r="C217" s="16"/>
      <c r="D217" s="16"/>
      <c r="E217" s="16"/>
      <c r="F217" s="16"/>
      <c r="G217" s="16"/>
      <c r="H217" s="16"/>
      <c r="I217" s="16"/>
      <c r="J217" s="16"/>
      <c r="K217" s="16"/>
      <c r="L217" s="19"/>
    </row>
    <row r="218" spans="1:12" ht="21.95" customHeight="1" x14ac:dyDescent="0.2">
      <c r="A218" s="6"/>
      <c r="B218" s="6"/>
      <c r="C218" s="16"/>
      <c r="D218" s="16"/>
      <c r="E218" s="16"/>
      <c r="F218" s="16"/>
      <c r="G218" s="16"/>
      <c r="H218" s="16"/>
      <c r="I218" s="16"/>
      <c r="J218" s="16"/>
      <c r="K218" s="16"/>
      <c r="L218" s="19"/>
    </row>
    <row r="219" spans="1:12" ht="21.95" customHeight="1" x14ac:dyDescent="0.2">
      <c r="A219" s="6"/>
      <c r="B219" s="6"/>
      <c r="C219" s="16"/>
      <c r="D219" s="16"/>
      <c r="E219" s="16"/>
      <c r="F219" s="16"/>
      <c r="G219" s="16"/>
      <c r="H219" s="16"/>
      <c r="I219" s="16"/>
      <c r="J219" s="16"/>
      <c r="K219" s="16"/>
      <c r="L219" s="19"/>
    </row>
    <row r="220" spans="1:12" ht="21.95" customHeight="1" x14ac:dyDescent="0.2">
      <c r="A220" s="6"/>
      <c r="B220" s="6"/>
      <c r="C220" s="16"/>
      <c r="D220" s="16"/>
      <c r="E220" s="16"/>
      <c r="F220" s="16"/>
      <c r="G220" s="16"/>
      <c r="H220" s="16"/>
      <c r="I220" s="16"/>
      <c r="J220" s="16"/>
      <c r="K220" s="16"/>
      <c r="L220" s="19"/>
    </row>
    <row r="221" spans="1:12" ht="21.95" customHeight="1" x14ac:dyDescent="0.2">
      <c r="A221" s="6"/>
      <c r="B221" s="6"/>
      <c r="C221" s="16"/>
      <c r="D221" s="16"/>
      <c r="E221" s="16"/>
      <c r="F221" s="16"/>
      <c r="G221" s="16"/>
      <c r="H221" s="16"/>
      <c r="I221" s="16"/>
      <c r="J221" s="16"/>
      <c r="K221" s="16"/>
      <c r="L221" s="19"/>
    </row>
    <row r="222" spans="1:12" ht="21.95" customHeight="1" x14ac:dyDescent="0.2">
      <c r="A222" s="6"/>
      <c r="B222" s="6"/>
      <c r="C222" s="16"/>
      <c r="D222" s="16"/>
      <c r="E222" s="16"/>
      <c r="F222" s="16"/>
      <c r="G222" s="16"/>
      <c r="H222" s="16"/>
      <c r="I222" s="16"/>
      <c r="J222" s="16"/>
      <c r="K222" s="16"/>
      <c r="L222" s="19"/>
    </row>
    <row r="223" spans="1:12" ht="21.95" customHeight="1" x14ac:dyDescent="0.2">
      <c r="A223" s="6"/>
      <c r="B223" s="6"/>
      <c r="C223" s="16"/>
      <c r="D223" s="16"/>
      <c r="E223" s="16"/>
      <c r="F223" s="16"/>
      <c r="G223" s="16"/>
      <c r="H223" s="16"/>
      <c r="I223" s="16"/>
      <c r="J223" s="16"/>
      <c r="K223" s="16"/>
      <c r="L223" s="19"/>
    </row>
    <row r="224" spans="1:12" ht="21.95" customHeight="1" x14ac:dyDescent="0.2">
      <c r="A224" s="6"/>
      <c r="B224" s="6"/>
      <c r="C224" s="16"/>
      <c r="D224" s="16"/>
      <c r="E224" s="16"/>
      <c r="F224" s="16"/>
      <c r="G224" s="16"/>
      <c r="H224" s="16"/>
      <c r="I224" s="16"/>
      <c r="J224" s="16"/>
      <c r="K224" s="16"/>
      <c r="L224" s="19"/>
    </row>
    <row r="225" spans="1:12" ht="21.95" customHeight="1" x14ac:dyDescent="0.2">
      <c r="A225" s="6"/>
      <c r="B225" s="6"/>
      <c r="C225" s="16"/>
      <c r="D225" s="16"/>
      <c r="E225" s="16"/>
      <c r="F225" s="16"/>
      <c r="G225" s="16"/>
      <c r="H225" s="16"/>
      <c r="I225" s="16"/>
      <c r="J225" s="16"/>
      <c r="K225" s="16"/>
      <c r="L225" s="19"/>
    </row>
    <row r="226" spans="1:12" ht="21.95" customHeight="1" x14ac:dyDescent="0.2">
      <c r="A226" s="6"/>
      <c r="B226" s="6"/>
      <c r="C226" s="16"/>
      <c r="D226" s="16"/>
      <c r="E226" s="16"/>
      <c r="F226" s="16"/>
      <c r="G226" s="16"/>
      <c r="H226" s="16"/>
      <c r="I226" s="16"/>
      <c r="J226" s="16"/>
      <c r="K226" s="16"/>
      <c r="L226" s="19"/>
    </row>
    <row r="227" spans="1:12" ht="21.95" customHeight="1" x14ac:dyDescent="0.2">
      <c r="A227" s="6"/>
      <c r="B227" s="6"/>
      <c r="C227" s="16"/>
      <c r="D227" s="16"/>
      <c r="E227" s="16"/>
      <c r="F227" s="16"/>
      <c r="G227" s="16"/>
      <c r="H227" s="16"/>
      <c r="I227" s="16"/>
      <c r="J227" s="16"/>
      <c r="K227" s="16"/>
      <c r="L227" s="19"/>
    </row>
    <row r="228" spans="1:12" ht="21.95" customHeight="1" x14ac:dyDescent="0.2">
      <c r="A228" s="6"/>
      <c r="B228" s="6"/>
      <c r="C228" s="16"/>
      <c r="D228" s="16"/>
      <c r="E228" s="16"/>
      <c r="F228" s="16"/>
      <c r="G228" s="16"/>
      <c r="H228" s="16"/>
      <c r="I228" s="16"/>
      <c r="J228" s="16"/>
      <c r="K228" s="16"/>
      <c r="L228" s="19"/>
    </row>
    <row r="229" spans="1:12" ht="21.95" customHeight="1" x14ac:dyDescent="0.2">
      <c r="A229" s="6"/>
      <c r="B229" s="6"/>
      <c r="C229" s="16"/>
      <c r="D229" s="16"/>
      <c r="E229" s="16"/>
      <c r="F229" s="16"/>
      <c r="G229" s="16"/>
      <c r="H229" s="16"/>
      <c r="I229" s="16"/>
      <c r="J229" s="16"/>
      <c r="K229" s="16"/>
      <c r="L229" s="19"/>
    </row>
    <row r="230" spans="1:12" ht="21.95" customHeight="1" x14ac:dyDescent="0.2">
      <c r="A230" s="6"/>
      <c r="B230" s="6"/>
      <c r="C230" s="16"/>
      <c r="D230" s="16"/>
      <c r="E230" s="16"/>
      <c r="F230" s="16"/>
      <c r="G230" s="16"/>
      <c r="H230" s="16"/>
      <c r="I230" s="16"/>
      <c r="J230" s="16"/>
      <c r="K230" s="16"/>
      <c r="L230" s="19"/>
    </row>
    <row r="231" spans="1:12" ht="21.95" customHeight="1" x14ac:dyDescent="0.2">
      <c r="A231" s="6"/>
      <c r="B231" s="6"/>
      <c r="C231" s="16"/>
      <c r="D231" s="16"/>
      <c r="E231" s="16"/>
      <c r="F231" s="16"/>
      <c r="G231" s="16"/>
      <c r="H231" s="16"/>
      <c r="I231" s="16"/>
      <c r="J231" s="16"/>
      <c r="K231" s="16"/>
      <c r="L231" s="19"/>
    </row>
    <row r="232" spans="1:12" ht="21.95" customHeight="1" x14ac:dyDescent="0.2">
      <c r="A232" s="6"/>
      <c r="B232" s="6"/>
      <c r="C232" s="16"/>
      <c r="D232" s="16"/>
      <c r="E232" s="16"/>
      <c r="F232" s="16"/>
      <c r="G232" s="16"/>
      <c r="H232" s="16"/>
      <c r="I232" s="16"/>
      <c r="J232" s="16"/>
      <c r="K232" s="16"/>
      <c r="L232" s="19"/>
    </row>
    <row r="233" spans="1:12" ht="21.95" customHeight="1" x14ac:dyDescent="0.2">
      <c r="A233" s="6"/>
      <c r="B233" s="6"/>
      <c r="C233" s="16"/>
      <c r="D233" s="16"/>
      <c r="E233" s="16"/>
      <c r="F233" s="16"/>
      <c r="G233" s="16"/>
      <c r="H233" s="16"/>
      <c r="I233" s="16"/>
      <c r="J233" s="16"/>
      <c r="K233" s="16"/>
      <c r="L233" s="19"/>
    </row>
    <row r="234" spans="1:12" ht="21.95" customHeight="1" x14ac:dyDescent="0.2">
      <c r="A234" s="6"/>
      <c r="B234" s="6"/>
      <c r="C234" s="16"/>
      <c r="D234" s="16"/>
      <c r="E234" s="16"/>
      <c r="F234" s="16"/>
      <c r="G234" s="16"/>
      <c r="H234" s="16"/>
      <c r="I234" s="16"/>
      <c r="J234" s="16"/>
      <c r="K234" s="16"/>
      <c r="L234" s="19"/>
    </row>
    <row r="235" spans="1:12" ht="21.95" customHeight="1" x14ac:dyDescent="0.2">
      <c r="A235" s="6"/>
      <c r="B235" s="6"/>
      <c r="C235" s="16"/>
      <c r="D235" s="16"/>
      <c r="E235" s="16"/>
      <c r="F235" s="16"/>
      <c r="G235" s="16"/>
      <c r="H235" s="16"/>
      <c r="I235" s="16"/>
      <c r="J235" s="16"/>
      <c r="K235" s="16"/>
      <c r="L235" s="19"/>
    </row>
    <row r="236" spans="1:12" ht="21.95" customHeight="1" x14ac:dyDescent="0.2">
      <c r="A236" s="6"/>
      <c r="B236" s="6"/>
      <c r="C236" s="16"/>
      <c r="D236" s="16"/>
      <c r="E236" s="16"/>
      <c r="F236" s="16"/>
      <c r="G236" s="16"/>
      <c r="H236" s="16"/>
      <c r="I236" s="16"/>
      <c r="J236" s="16"/>
      <c r="K236" s="16"/>
      <c r="L236" s="19"/>
    </row>
    <row r="237" spans="1:12" ht="21.95" customHeight="1" x14ac:dyDescent="0.2">
      <c r="A237" s="6"/>
      <c r="B237" s="6"/>
      <c r="C237" s="16"/>
      <c r="D237" s="16"/>
      <c r="E237" s="16"/>
      <c r="F237" s="16"/>
      <c r="G237" s="16"/>
      <c r="H237" s="16"/>
      <c r="I237" s="16"/>
      <c r="J237" s="16"/>
      <c r="K237" s="16"/>
      <c r="L237" s="19"/>
    </row>
    <row r="238" spans="1:12" ht="21.95" customHeight="1" x14ac:dyDescent="0.2">
      <c r="A238" s="6"/>
      <c r="B238" s="6"/>
      <c r="C238" s="16"/>
      <c r="D238" s="16"/>
      <c r="E238" s="16"/>
      <c r="F238" s="16"/>
      <c r="G238" s="16"/>
      <c r="H238" s="16"/>
      <c r="I238" s="16"/>
      <c r="J238" s="16"/>
      <c r="K238" s="16"/>
      <c r="L238" s="19"/>
    </row>
    <row r="239" spans="1:12" ht="21.95" customHeight="1" x14ac:dyDescent="0.2">
      <c r="A239" s="6"/>
      <c r="B239" s="6"/>
      <c r="C239" s="16"/>
      <c r="D239" s="16"/>
      <c r="E239" s="16"/>
      <c r="F239" s="16"/>
      <c r="G239" s="16"/>
      <c r="H239" s="16"/>
      <c r="I239" s="16"/>
      <c r="J239" s="16"/>
      <c r="K239" s="16"/>
      <c r="L239" s="19"/>
    </row>
    <row r="240" spans="1:12" ht="21.95" customHeight="1" x14ac:dyDescent="0.2">
      <c r="A240" s="6"/>
      <c r="B240" s="6"/>
      <c r="C240" s="16"/>
      <c r="D240" s="16"/>
      <c r="E240" s="16"/>
      <c r="F240" s="16"/>
      <c r="G240" s="16"/>
      <c r="H240" s="16"/>
      <c r="I240" s="16"/>
      <c r="J240" s="16"/>
      <c r="K240" s="16"/>
      <c r="L240" s="19"/>
    </row>
    <row r="241" spans="1:12" ht="21.95" customHeight="1" x14ac:dyDescent="0.2">
      <c r="A241" s="6"/>
      <c r="B241" s="6"/>
      <c r="C241" s="16"/>
      <c r="D241" s="16"/>
      <c r="E241" s="16"/>
      <c r="F241" s="16"/>
      <c r="G241" s="16"/>
      <c r="H241" s="16"/>
      <c r="I241" s="16"/>
      <c r="J241" s="16"/>
      <c r="K241" s="16"/>
      <c r="L241" s="19"/>
    </row>
    <row r="242" spans="1:12" ht="21.95" customHeight="1" x14ac:dyDescent="0.2">
      <c r="A242" s="6"/>
      <c r="B242" s="6"/>
      <c r="C242" s="16"/>
      <c r="D242" s="16"/>
      <c r="E242" s="16"/>
      <c r="F242" s="16"/>
      <c r="G242" s="16"/>
      <c r="H242" s="16"/>
      <c r="I242" s="16"/>
      <c r="J242" s="16"/>
      <c r="K242" s="16"/>
      <c r="L242" s="19"/>
    </row>
    <row r="243" spans="1:12" ht="21.95" customHeight="1" x14ac:dyDescent="0.2">
      <c r="A243" s="6"/>
      <c r="B243" s="6"/>
      <c r="C243" s="16"/>
      <c r="D243" s="16"/>
      <c r="E243" s="16"/>
      <c r="F243" s="16"/>
      <c r="G243" s="16"/>
      <c r="H243" s="16"/>
      <c r="I243" s="16"/>
      <c r="J243" s="16"/>
      <c r="K243" s="16"/>
      <c r="L243" s="19"/>
    </row>
    <row r="244" spans="1:12" ht="21.95" customHeight="1" x14ac:dyDescent="0.2">
      <c r="A244" s="6"/>
      <c r="B244" s="6"/>
      <c r="C244" s="16"/>
      <c r="D244" s="16"/>
      <c r="E244" s="16"/>
      <c r="F244" s="16"/>
      <c r="G244" s="16"/>
      <c r="H244" s="16"/>
      <c r="I244" s="16"/>
      <c r="J244" s="16"/>
      <c r="K244" s="16"/>
      <c r="L244" s="19"/>
    </row>
    <row r="245" spans="1:12" ht="21.95" customHeight="1" x14ac:dyDescent="0.2">
      <c r="A245" s="6"/>
      <c r="B245" s="6"/>
      <c r="C245" s="16"/>
      <c r="D245" s="16"/>
      <c r="E245" s="16"/>
      <c r="F245" s="16"/>
      <c r="G245" s="16"/>
      <c r="H245" s="16"/>
      <c r="I245" s="16"/>
      <c r="J245" s="16"/>
      <c r="K245" s="16"/>
      <c r="L245" s="19"/>
    </row>
    <row r="246" spans="1:12" ht="21.95" customHeight="1" x14ac:dyDescent="0.2">
      <c r="A246" s="6"/>
      <c r="B246" s="6"/>
      <c r="C246" s="16"/>
      <c r="D246" s="16"/>
      <c r="E246" s="16"/>
      <c r="F246" s="16"/>
      <c r="G246" s="16"/>
      <c r="H246" s="16"/>
      <c r="I246" s="16"/>
      <c r="J246" s="16"/>
      <c r="K246" s="16"/>
      <c r="L246" s="19"/>
    </row>
    <row r="247" spans="1:12" ht="21.95" customHeight="1" x14ac:dyDescent="0.2">
      <c r="A247" s="6"/>
      <c r="B247" s="6"/>
      <c r="C247" s="16"/>
      <c r="D247" s="16"/>
      <c r="E247" s="16"/>
      <c r="F247" s="16"/>
      <c r="G247" s="16"/>
      <c r="H247" s="16"/>
      <c r="I247" s="16"/>
      <c r="J247" s="16"/>
      <c r="K247" s="16"/>
      <c r="L247" s="19"/>
    </row>
    <row r="248" spans="1:12" ht="21.95" customHeight="1" x14ac:dyDescent="0.2">
      <c r="A248" s="6"/>
      <c r="B248" s="6"/>
      <c r="C248" s="16"/>
      <c r="D248" s="16"/>
      <c r="E248" s="16"/>
      <c r="F248" s="16"/>
      <c r="G248" s="16"/>
      <c r="H248" s="16"/>
      <c r="I248" s="16"/>
      <c r="J248" s="16"/>
      <c r="K248" s="16"/>
      <c r="L248" s="19"/>
    </row>
    <row r="249" spans="1:12" ht="21.95" customHeight="1" x14ac:dyDescent="0.2">
      <c r="A249" s="6"/>
      <c r="B249" s="6"/>
      <c r="C249" s="16"/>
      <c r="D249" s="16"/>
      <c r="E249" s="16"/>
      <c r="F249" s="16"/>
      <c r="G249" s="16"/>
      <c r="H249" s="16"/>
      <c r="I249" s="16"/>
      <c r="J249" s="16"/>
      <c r="K249" s="16"/>
      <c r="L249" s="19"/>
    </row>
    <row r="250" spans="1:12" ht="21.95" customHeight="1" x14ac:dyDescent="0.2">
      <c r="A250" s="6"/>
      <c r="B250" s="6"/>
      <c r="C250" s="16"/>
      <c r="D250" s="16"/>
      <c r="E250" s="16"/>
      <c r="F250" s="16"/>
      <c r="G250" s="16"/>
      <c r="H250" s="16"/>
      <c r="I250" s="16"/>
      <c r="J250" s="16"/>
      <c r="K250" s="16"/>
      <c r="L250" s="19"/>
    </row>
    <row r="251" spans="1:12" ht="21.95" customHeight="1" x14ac:dyDescent="0.2">
      <c r="A251" s="6"/>
      <c r="B251" s="6"/>
      <c r="C251" s="16"/>
      <c r="D251" s="16"/>
      <c r="E251" s="16"/>
      <c r="F251" s="16"/>
      <c r="G251" s="16"/>
      <c r="H251" s="16"/>
      <c r="I251" s="16"/>
      <c r="J251" s="16"/>
      <c r="K251" s="16"/>
      <c r="L251" s="19"/>
    </row>
    <row r="252" spans="1:12" ht="21.95" customHeight="1" x14ac:dyDescent="0.2">
      <c r="A252" s="6"/>
      <c r="B252" s="6"/>
      <c r="C252" s="16"/>
      <c r="D252" s="16"/>
      <c r="E252" s="16"/>
      <c r="F252" s="16"/>
      <c r="G252" s="16"/>
      <c r="H252" s="16"/>
      <c r="I252" s="16"/>
      <c r="J252" s="16"/>
      <c r="K252" s="16"/>
      <c r="L252" s="19"/>
    </row>
    <row r="253" spans="1:12" ht="21.95" customHeight="1" x14ac:dyDescent="0.2">
      <c r="A253" s="6"/>
      <c r="B253" s="6"/>
      <c r="C253" s="16"/>
      <c r="D253" s="16"/>
      <c r="E253" s="16"/>
      <c r="F253" s="16"/>
      <c r="G253" s="16"/>
      <c r="H253" s="16"/>
      <c r="I253" s="16"/>
      <c r="J253" s="16"/>
      <c r="K253" s="16"/>
      <c r="L253" s="19"/>
    </row>
    <row r="254" spans="1:12" ht="21.95" customHeight="1" x14ac:dyDescent="0.2">
      <c r="A254" s="6"/>
      <c r="B254" s="6"/>
      <c r="C254" s="16"/>
      <c r="D254" s="16"/>
      <c r="E254" s="16"/>
      <c r="F254" s="16"/>
      <c r="G254" s="16"/>
      <c r="H254" s="16"/>
      <c r="I254" s="16"/>
      <c r="J254" s="16"/>
      <c r="K254" s="16"/>
      <c r="L254" s="19"/>
    </row>
    <row r="255" spans="1:12" ht="21.95" customHeight="1" x14ac:dyDescent="0.2">
      <c r="A255" s="6"/>
      <c r="B255" s="6"/>
      <c r="C255" s="16"/>
      <c r="D255" s="16"/>
      <c r="E255" s="16"/>
      <c r="F255" s="16"/>
      <c r="G255" s="16"/>
      <c r="H255" s="16"/>
      <c r="I255" s="16"/>
      <c r="J255" s="16"/>
      <c r="K255" s="16"/>
      <c r="L255" s="19"/>
    </row>
    <row r="256" spans="1:12" ht="21.95" customHeight="1" x14ac:dyDescent="0.2">
      <c r="A256" s="6"/>
      <c r="B256" s="6"/>
      <c r="C256" s="16"/>
      <c r="D256" s="16"/>
      <c r="E256" s="16"/>
      <c r="F256" s="16"/>
      <c r="G256" s="16"/>
      <c r="H256" s="16"/>
      <c r="I256" s="16"/>
      <c r="J256" s="16"/>
      <c r="K256" s="16"/>
      <c r="L256" s="19"/>
    </row>
    <row r="257" spans="1:12" ht="21.95" customHeight="1" x14ac:dyDescent="0.2">
      <c r="A257" s="6"/>
      <c r="B257" s="6"/>
      <c r="C257" s="16"/>
      <c r="D257" s="16"/>
      <c r="E257" s="16"/>
      <c r="F257" s="16"/>
      <c r="G257" s="16"/>
      <c r="H257" s="16"/>
      <c r="I257" s="16"/>
      <c r="J257" s="16"/>
      <c r="K257" s="16"/>
      <c r="L257" s="19"/>
    </row>
    <row r="258" spans="1:12" ht="21.95" customHeight="1" x14ac:dyDescent="0.2">
      <c r="A258" s="6"/>
      <c r="B258" s="6"/>
      <c r="C258" s="16"/>
      <c r="D258" s="16"/>
      <c r="E258" s="16"/>
      <c r="F258" s="16"/>
      <c r="G258" s="16"/>
      <c r="H258" s="16"/>
      <c r="I258" s="16"/>
      <c r="J258" s="16"/>
      <c r="K258" s="16"/>
      <c r="L258" s="19"/>
    </row>
    <row r="259" spans="1:12" ht="21.95" customHeight="1" x14ac:dyDescent="0.2">
      <c r="A259" s="6"/>
      <c r="B259" s="6"/>
      <c r="C259" s="16"/>
      <c r="D259" s="16"/>
      <c r="E259" s="16"/>
      <c r="F259" s="16"/>
      <c r="G259" s="16"/>
      <c r="H259" s="16"/>
      <c r="I259" s="16"/>
      <c r="J259" s="16"/>
      <c r="K259" s="16"/>
      <c r="L259" s="19"/>
    </row>
    <row r="260" spans="1:12" ht="21.95" customHeight="1" x14ac:dyDescent="0.2">
      <c r="A260" s="6"/>
      <c r="B260" s="6"/>
      <c r="C260" s="16"/>
      <c r="D260" s="16"/>
      <c r="E260" s="16"/>
      <c r="F260" s="16"/>
      <c r="G260" s="16"/>
      <c r="H260" s="16"/>
      <c r="I260" s="16"/>
      <c r="J260" s="16"/>
      <c r="K260" s="16"/>
      <c r="L260" s="19"/>
    </row>
    <row r="261" spans="1:12" ht="21.95" customHeight="1" x14ac:dyDescent="0.2">
      <c r="A261" s="6"/>
      <c r="B261" s="6"/>
      <c r="C261" s="16"/>
      <c r="D261" s="16"/>
      <c r="E261" s="16"/>
      <c r="F261" s="16"/>
      <c r="G261" s="16"/>
      <c r="H261" s="16"/>
      <c r="I261" s="16"/>
      <c r="J261" s="16"/>
      <c r="K261" s="16"/>
      <c r="L261" s="19"/>
    </row>
    <row r="262" spans="1:12" ht="21.95" customHeight="1" x14ac:dyDescent="0.2">
      <c r="A262" s="6"/>
      <c r="B262" s="6"/>
      <c r="C262" s="16"/>
      <c r="D262" s="16"/>
      <c r="E262" s="16"/>
      <c r="F262" s="16"/>
      <c r="G262" s="16"/>
      <c r="H262" s="16"/>
      <c r="I262" s="16"/>
      <c r="J262" s="16"/>
      <c r="K262" s="16"/>
      <c r="L262" s="19"/>
    </row>
    <row r="263" spans="1:12" ht="21.95" customHeight="1" x14ac:dyDescent="0.2">
      <c r="A263" s="6"/>
      <c r="B263" s="6"/>
      <c r="C263" s="16"/>
      <c r="D263" s="16"/>
      <c r="E263" s="16"/>
      <c r="F263" s="16"/>
      <c r="G263" s="16"/>
      <c r="H263" s="16"/>
      <c r="I263" s="16"/>
      <c r="J263" s="16"/>
      <c r="K263" s="16"/>
      <c r="L263" s="19"/>
    </row>
    <row r="264" spans="1:12" ht="21.95" customHeight="1" x14ac:dyDescent="0.2">
      <c r="A264" s="6"/>
      <c r="B264" s="6"/>
      <c r="C264" s="16"/>
      <c r="D264" s="16"/>
      <c r="E264" s="16"/>
      <c r="F264" s="16"/>
      <c r="G264" s="16"/>
      <c r="H264" s="16"/>
      <c r="I264" s="16"/>
      <c r="J264" s="16"/>
      <c r="K264" s="16"/>
      <c r="L264" s="19"/>
    </row>
    <row r="265" spans="1:12" ht="21.95" customHeight="1" x14ac:dyDescent="0.2">
      <c r="A265" s="6"/>
      <c r="B265" s="6"/>
      <c r="C265" s="16"/>
      <c r="D265" s="16"/>
      <c r="E265" s="16"/>
      <c r="F265" s="16"/>
      <c r="G265" s="16"/>
      <c r="H265" s="16"/>
      <c r="I265" s="16"/>
      <c r="J265" s="16"/>
      <c r="K265" s="16"/>
      <c r="L265" s="19"/>
    </row>
    <row r="266" spans="1:12" ht="21.95" customHeight="1" x14ac:dyDescent="0.2">
      <c r="A266" s="6"/>
      <c r="B266" s="6"/>
      <c r="C266" s="16"/>
      <c r="D266" s="16"/>
      <c r="E266" s="16"/>
      <c r="F266" s="16"/>
      <c r="G266" s="16"/>
      <c r="H266" s="16"/>
      <c r="I266" s="16"/>
      <c r="J266" s="16"/>
      <c r="K266" s="16"/>
      <c r="L266" s="5"/>
    </row>
    <row r="267" spans="1:12" ht="21.95" customHeight="1" x14ac:dyDescent="0.2">
      <c r="A267" s="6"/>
      <c r="B267" s="6"/>
      <c r="C267" s="16"/>
      <c r="D267" s="16"/>
      <c r="E267" s="16"/>
      <c r="F267" s="16"/>
      <c r="G267" s="16"/>
      <c r="H267" s="16"/>
      <c r="I267" s="16"/>
      <c r="J267" s="16"/>
      <c r="K267" s="16"/>
      <c r="L267" s="5"/>
    </row>
    <row r="268" spans="1:12" ht="21.95" customHeight="1" x14ac:dyDescent="0.2">
      <c r="A268" s="6"/>
      <c r="B268" s="6"/>
      <c r="C268" s="16"/>
      <c r="D268" s="16"/>
      <c r="E268" s="16"/>
      <c r="F268" s="16"/>
      <c r="G268" s="16"/>
      <c r="H268" s="16"/>
      <c r="I268" s="16"/>
      <c r="J268" s="16"/>
      <c r="K268" s="16"/>
      <c r="L268" s="5"/>
    </row>
    <row r="269" spans="1:12" ht="21.95" customHeight="1" x14ac:dyDescent="0.2">
      <c r="A269" s="6"/>
      <c r="B269" s="6"/>
      <c r="C269" s="16"/>
      <c r="D269" s="16"/>
      <c r="E269" s="16"/>
      <c r="F269" s="16"/>
      <c r="G269" s="16"/>
      <c r="H269" s="16"/>
      <c r="I269" s="16"/>
      <c r="J269" s="16"/>
      <c r="K269" s="16"/>
      <c r="L269" s="5"/>
    </row>
    <row r="270" spans="1:12" ht="21.95" customHeight="1" x14ac:dyDescent="0.2">
      <c r="A270" s="6"/>
      <c r="B270" s="6"/>
      <c r="C270" s="16"/>
      <c r="D270" s="16"/>
      <c r="E270" s="16"/>
      <c r="F270" s="16"/>
      <c r="G270" s="16"/>
      <c r="H270" s="16"/>
      <c r="I270" s="16"/>
      <c r="J270" s="16"/>
      <c r="K270" s="16"/>
      <c r="L270" s="5"/>
    </row>
    <row r="271" spans="1:12" ht="21.95" customHeight="1" x14ac:dyDescent="0.2">
      <c r="A271" s="6"/>
      <c r="B271" s="6"/>
      <c r="C271" s="16"/>
      <c r="D271" s="16"/>
      <c r="E271" s="16"/>
      <c r="F271" s="16"/>
      <c r="G271" s="16"/>
      <c r="H271" s="16"/>
      <c r="I271" s="16"/>
      <c r="J271" s="16"/>
      <c r="K271" s="16"/>
      <c r="L271" s="5"/>
    </row>
    <row r="272" spans="1:12" ht="21.95" customHeight="1" x14ac:dyDescent="0.2">
      <c r="A272" s="6"/>
      <c r="B272" s="6"/>
      <c r="C272" s="16"/>
      <c r="D272" s="16"/>
      <c r="E272" s="16"/>
      <c r="F272" s="16"/>
      <c r="G272" s="16"/>
      <c r="H272" s="16"/>
      <c r="I272" s="16"/>
      <c r="J272" s="16"/>
      <c r="K272" s="16"/>
      <c r="L272" s="5"/>
    </row>
    <row r="273" spans="1:12" ht="21.95" customHeight="1" x14ac:dyDescent="0.2">
      <c r="A273" s="6"/>
      <c r="B273" s="6"/>
      <c r="C273" s="16"/>
      <c r="D273" s="16"/>
      <c r="E273" s="16"/>
      <c r="F273" s="16"/>
      <c r="G273" s="16"/>
      <c r="H273" s="16"/>
      <c r="I273" s="16"/>
      <c r="J273" s="16"/>
      <c r="K273" s="16"/>
      <c r="L273" s="5"/>
    </row>
    <row r="274" spans="1:12" ht="21.95" customHeight="1" x14ac:dyDescent="0.2">
      <c r="A274" s="6"/>
      <c r="B274" s="6"/>
      <c r="C274" s="16"/>
      <c r="D274" s="16"/>
      <c r="E274" s="16"/>
      <c r="F274" s="16"/>
      <c r="G274" s="16"/>
      <c r="H274" s="16"/>
      <c r="I274" s="16"/>
      <c r="J274" s="16"/>
      <c r="K274" s="16"/>
      <c r="L274" s="5"/>
    </row>
    <row r="275" spans="1:12" ht="21.95" customHeight="1" x14ac:dyDescent="0.2">
      <c r="A275" s="6"/>
      <c r="B275" s="6"/>
      <c r="C275" s="16"/>
      <c r="D275" s="16"/>
      <c r="E275" s="16"/>
      <c r="F275" s="16"/>
      <c r="G275" s="16"/>
      <c r="H275" s="16"/>
      <c r="I275" s="16"/>
      <c r="J275" s="16"/>
      <c r="K275" s="16"/>
      <c r="L275" s="5"/>
    </row>
    <row r="276" spans="1:12" ht="21.95" customHeight="1" x14ac:dyDescent="0.2">
      <c r="A276" s="6"/>
      <c r="B276" s="6"/>
      <c r="C276" s="16"/>
      <c r="D276" s="16"/>
      <c r="E276" s="16"/>
      <c r="F276" s="16"/>
      <c r="G276" s="16"/>
      <c r="H276" s="16"/>
      <c r="I276" s="16"/>
      <c r="J276" s="16"/>
      <c r="K276" s="16"/>
      <c r="L276" s="5"/>
    </row>
    <row r="277" spans="1:12" ht="21.95" customHeight="1" x14ac:dyDescent="0.2">
      <c r="A277" s="6"/>
      <c r="B277" s="6"/>
      <c r="C277" s="16"/>
      <c r="D277" s="16"/>
      <c r="E277" s="16"/>
      <c r="F277" s="16"/>
      <c r="G277" s="16"/>
      <c r="H277" s="16"/>
      <c r="I277" s="16"/>
      <c r="J277" s="16"/>
      <c r="K277" s="16"/>
      <c r="L277" s="5"/>
    </row>
    <row r="278" spans="1:12" ht="21.95" customHeight="1" x14ac:dyDescent="0.2">
      <c r="A278" s="6"/>
      <c r="B278" s="6"/>
      <c r="C278" s="16"/>
      <c r="D278" s="16"/>
      <c r="E278" s="16"/>
      <c r="F278" s="16"/>
      <c r="G278" s="16"/>
      <c r="H278" s="16"/>
      <c r="I278" s="16"/>
      <c r="J278" s="16"/>
      <c r="K278" s="16"/>
      <c r="L278" s="5"/>
    </row>
    <row r="279" spans="1:12" ht="21.95" customHeight="1" x14ac:dyDescent="0.2">
      <c r="A279" s="6"/>
      <c r="B279" s="6"/>
      <c r="C279" s="16"/>
      <c r="D279" s="16"/>
      <c r="E279" s="16"/>
      <c r="F279" s="16"/>
      <c r="G279" s="16"/>
      <c r="H279" s="16"/>
      <c r="I279" s="16"/>
      <c r="J279" s="16"/>
      <c r="K279" s="16"/>
      <c r="L279" s="5"/>
    </row>
    <row r="280" spans="1:12" ht="21.95" customHeight="1" x14ac:dyDescent="0.2">
      <c r="A280" s="6"/>
      <c r="B280" s="6"/>
      <c r="C280" s="16"/>
      <c r="D280" s="16"/>
      <c r="E280" s="16"/>
      <c r="F280" s="16"/>
      <c r="G280" s="16"/>
      <c r="H280" s="16"/>
      <c r="I280" s="16"/>
      <c r="J280" s="16"/>
      <c r="K280" s="16"/>
      <c r="L280" s="5"/>
    </row>
    <row r="281" spans="1:12" ht="21.95" customHeight="1" x14ac:dyDescent="0.2">
      <c r="A281" s="6"/>
      <c r="B281" s="6"/>
      <c r="C281" s="16"/>
      <c r="D281" s="16"/>
      <c r="E281" s="16"/>
      <c r="F281" s="16"/>
      <c r="G281" s="16"/>
      <c r="H281" s="16"/>
      <c r="I281" s="16"/>
      <c r="J281" s="16"/>
      <c r="K281" s="16"/>
      <c r="L281" s="5"/>
    </row>
    <row r="282" spans="1:12" ht="21.95" customHeight="1" x14ac:dyDescent="0.2">
      <c r="A282" s="6"/>
      <c r="B282" s="6"/>
      <c r="C282" s="16"/>
      <c r="D282" s="16"/>
      <c r="E282" s="16"/>
      <c r="F282" s="16"/>
      <c r="G282" s="16"/>
      <c r="H282" s="16"/>
      <c r="I282" s="16"/>
      <c r="J282" s="16"/>
      <c r="K282" s="16"/>
      <c r="L282" s="5"/>
    </row>
    <row r="283" spans="1:12" ht="21.95" customHeight="1" x14ac:dyDescent="0.2">
      <c r="A283" s="6"/>
      <c r="B283" s="6"/>
      <c r="C283" s="16"/>
      <c r="D283" s="16"/>
      <c r="E283" s="16"/>
      <c r="F283" s="16"/>
      <c r="G283" s="16"/>
      <c r="H283" s="16"/>
      <c r="I283" s="16"/>
      <c r="J283" s="16"/>
      <c r="K283" s="16"/>
      <c r="L283" s="5"/>
    </row>
    <row r="284" spans="1:12" ht="21.95" customHeight="1" x14ac:dyDescent="0.2">
      <c r="A284" s="6"/>
      <c r="B284" s="6"/>
      <c r="C284" s="16"/>
      <c r="D284" s="16"/>
      <c r="E284" s="16"/>
      <c r="F284" s="16"/>
      <c r="G284" s="16"/>
      <c r="H284" s="16"/>
      <c r="I284" s="16"/>
      <c r="J284" s="16"/>
      <c r="K284" s="16"/>
      <c r="L284" s="5"/>
    </row>
    <row r="285" spans="1:12" ht="21.95" customHeight="1" x14ac:dyDescent="0.2">
      <c r="A285" s="6"/>
      <c r="B285" s="6"/>
      <c r="C285" s="16"/>
      <c r="D285" s="16"/>
      <c r="E285" s="16"/>
      <c r="F285" s="16"/>
      <c r="G285" s="16"/>
      <c r="H285" s="16"/>
      <c r="I285" s="16"/>
      <c r="J285" s="16"/>
      <c r="K285" s="16"/>
      <c r="L285" s="5"/>
    </row>
    <row r="286" spans="1:12" ht="21.95" customHeight="1" x14ac:dyDescent="0.2">
      <c r="A286" s="6"/>
      <c r="B286" s="6"/>
      <c r="C286" s="16"/>
      <c r="D286" s="16"/>
      <c r="E286" s="16"/>
      <c r="F286" s="16"/>
      <c r="G286" s="16"/>
      <c r="H286" s="16"/>
      <c r="I286" s="16"/>
      <c r="J286" s="16"/>
      <c r="K286" s="16"/>
      <c r="L286" s="5"/>
    </row>
    <row r="287" spans="1:12" ht="21.95" customHeight="1" x14ac:dyDescent="0.2">
      <c r="A287" s="6"/>
      <c r="B287" s="6"/>
      <c r="C287" s="16"/>
      <c r="D287" s="16"/>
      <c r="E287" s="16"/>
      <c r="F287" s="16"/>
      <c r="G287" s="16"/>
      <c r="H287" s="16"/>
      <c r="I287" s="16"/>
      <c r="J287" s="16"/>
      <c r="K287" s="16"/>
      <c r="L287" s="5"/>
    </row>
    <row r="288" spans="1:12" ht="21.95" customHeight="1" x14ac:dyDescent="0.2">
      <c r="A288" s="6"/>
      <c r="B288" s="6"/>
      <c r="C288" s="16"/>
      <c r="D288" s="16"/>
      <c r="E288" s="16"/>
      <c r="F288" s="16"/>
      <c r="G288" s="16"/>
      <c r="H288" s="16"/>
      <c r="I288" s="16"/>
      <c r="J288" s="16"/>
      <c r="K288" s="16"/>
      <c r="L288" s="5"/>
    </row>
    <row r="289" spans="1:12" ht="21.95" customHeight="1" x14ac:dyDescent="0.2">
      <c r="A289" s="6"/>
      <c r="B289" s="6"/>
      <c r="C289" s="16"/>
      <c r="D289" s="16"/>
      <c r="E289" s="16"/>
      <c r="F289" s="16"/>
      <c r="G289" s="16"/>
      <c r="H289" s="16"/>
      <c r="I289" s="16"/>
      <c r="J289" s="16"/>
      <c r="K289" s="16"/>
      <c r="L289" s="5"/>
    </row>
    <row r="290" spans="1:12" ht="21.95" customHeight="1" x14ac:dyDescent="0.2">
      <c r="A290" s="6"/>
      <c r="B290" s="6"/>
      <c r="C290" s="16"/>
      <c r="D290" s="16"/>
      <c r="E290" s="16"/>
      <c r="F290" s="16"/>
      <c r="G290" s="16"/>
      <c r="H290" s="16"/>
      <c r="I290" s="16"/>
      <c r="J290" s="16"/>
      <c r="K290" s="16"/>
      <c r="L290" s="5"/>
    </row>
    <row r="291" spans="1:12" ht="21.95" customHeight="1" x14ac:dyDescent="0.2">
      <c r="A291" s="6"/>
      <c r="B291" s="6"/>
      <c r="C291" s="16"/>
      <c r="D291" s="16"/>
      <c r="E291" s="16"/>
      <c r="F291" s="16"/>
      <c r="G291" s="16"/>
      <c r="H291" s="16"/>
      <c r="I291" s="16"/>
      <c r="J291" s="16"/>
      <c r="K291" s="16"/>
      <c r="L291" s="5"/>
    </row>
    <row r="292" spans="1:12" ht="21.95" customHeight="1" x14ac:dyDescent="0.2">
      <c r="A292" s="6"/>
      <c r="B292" s="6"/>
      <c r="C292" s="16"/>
      <c r="D292" s="16"/>
      <c r="E292" s="16"/>
      <c r="F292" s="16"/>
      <c r="G292" s="16"/>
      <c r="H292" s="16"/>
      <c r="I292" s="16"/>
      <c r="J292" s="16"/>
      <c r="K292" s="16"/>
      <c r="L292" s="5"/>
    </row>
    <row r="293" spans="1:12" ht="21.95" customHeight="1" x14ac:dyDescent="0.2">
      <c r="A293" s="6"/>
      <c r="B293" s="6"/>
      <c r="C293" s="16"/>
      <c r="D293" s="16"/>
      <c r="E293" s="16"/>
      <c r="F293" s="16"/>
      <c r="G293" s="16"/>
      <c r="H293" s="16"/>
      <c r="I293" s="16"/>
      <c r="J293" s="16"/>
      <c r="K293" s="16"/>
      <c r="L293" s="5"/>
    </row>
    <row r="294" spans="1:12" ht="21.95" customHeight="1" x14ac:dyDescent="0.2">
      <c r="A294" s="6"/>
      <c r="B294" s="6"/>
      <c r="C294" s="16"/>
      <c r="D294" s="16"/>
      <c r="E294" s="16"/>
      <c r="F294" s="16"/>
      <c r="G294" s="16"/>
      <c r="H294" s="16"/>
      <c r="I294" s="16"/>
      <c r="J294" s="16"/>
      <c r="K294" s="16"/>
      <c r="L294" s="5"/>
    </row>
    <row r="295" spans="1:12" ht="21.95" customHeight="1" x14ac:dyDescent="0.2">
      <c r="A295" s="6"/>
      <c r="B295" s="6"/>
      <c r="C295" s="16"/>
      <c r="D295" s="16"/>
      <c r="E295" s="16"/>
      <c r="F295" s="16"/>
      <c r="G295" s="16"/>
      <c r="H295" s="16"/>
      <c r="I295" s="16"/>
      <c r="J295" s="16"/>
      <c r="K295" s="16"/>
      <c r="L295" s="5"/>
    </row>
    <row r="296" spans="1:12" ht="21.95" customHeight="1" x14ac:dyDescent="0.2">
      <c r="A296" s="6"/>
      <c r="B296" s="6"/>
      <c r="C296" s="16"/>
      <c r="D296" s="16"/>
      <c r="E296" s="16"/>
      <c r="F296" s="16"/>
      <c r="G296" s="16"/>
      <c r="H296" s="16"/>
      <c r="I296" s="16"/>
      <c r="J296" s="16"/>
      <c r="K296" s="16"/>
      <c r="L296" s="5"/>
    </row>
    <row r="297" spans="1:12" ht="21.95" customHeight="1" x14ac:dyDescent="0.2">
      <c r="A297" s="6"/>
      <c r="B297" s="6"/>
      <c r="C297" s="16"/>
      <c r="D297" s="16"/>
      <c r="E297" s="16"/>
      <c r="F297" s="16"/>
      <c r="G297" s="16"/>
      <c r="H297" s="16"/>
      <c r="I297" s="16"/>
      <c r="J297" s="16"/>
      <c r="K297" s="16"/>
      <c r="L297" s="5"/>
    </row>
    <row r="298" spans="1:12" ht="21.95" customHeight="1" x14ac:dyDescent="0.2">
      <c r="A298" s="6"/>
      <c r="B298" s="6"/>
      <c r="C298" s="16"/>
      <c r="D298" s="16"/>
      <c r="E298" s="16"/>
      <c r="F298" s="16"/>
      <c r="G298" s="16"/>
      <c r="H298" s="16"/>
      <c r="I298" s="16"/>
      <c r="J298" s="16"/>
      <c r="K298" s="16"/>
      <c r="L298" s="5"/>
    </row>
    <row r="299" spans="1:12" ht="21.95" customHeight="1" x14ac:dyDescent="0.2">
      <c r="A299" s="6"/>
      <c r="B299" s="6"/>
      <c r="C299" s="16"/>
      <c r="D299" s="16"/>
      <c r="E299" s="16"/>
      <c r="F299" s="16"/>
      <c r="G299" s="16"/>
      <c r="H299" s="16"/>
      <c r="I299" s="16"/>
      <c r="J299" s="16"/>
      <c r="K299" s="16"/>
      <c r="L299" s="5"/>
    </row>
    <row r="300" spans="1:12" ht="21.95" customHeight="1" x14ac:dyDescent="0.2">
      <c r="A300" s="6"/>
      <c r="B300" s="6"/>
      <c r="C300" s="16"/>
      <c r="D300" s="16"/>
      <c r="E300" s="16"/>
      <c r="F300" s="16"/>
      <c r="G300" s="16"/>
      <c r="H300" s="16"/>
      <c r="I300" s="16"/>
      <c r="J300" s="16"/>
      <c r="K300" s="16"/>
      <c r="L300" s="5"/>
    </row>
    <row r="301" spans="1:12" ht="21.95" customHeight="1" x14ac:dyDescent="0.2">
      <c r="A301" s="6"/>
      <c r="B301" s="6"/>
      <c r="C301" s="16"/>
      <c r="D301" s="16"/>
      <c r="E301" s="16"/>
      <c r="F301" s="16"/>
      <c r="G301" s="16"/>
      <c r="H301" s="16"/>
      <c r="I301" s="16"/>
      <c r="J301" s="16"/>
      <c r="K301" s="16"/>
      <c r="L301" s="5"/>
    </row>
    <row r="302" spans="1:12" ht="21.95" customHeight="1" x14ac:dyDescent="0.2">
      <c r="A302" s="6"/>
      <c r="B302" s="6"/>
      <c r="C302" s="16"/>
      <c r="D302" s="16"/>
      <c r="E302" s="16"/>
      <c r="F302" s="16"/>
      <c r="G302" s="16"/>
      <c r="H302" s="16"/>
      <c r="I302" s="16"/>
      <c r="J302" s="16"/>
      <c r="K302" s="16"/>
      <c r="L302" s="5"/>
    </row>
    <row r="303" spans="1:12" ht="21.95" customHeight="1" x14ac:dyDescent="0.2">
      <c r="A303" s="6"/>
      <c r="B303" s="6"/>
      <c r="C303" s="16"/>
      <c r="D303" s="16"/>
      <c r="E303" s="16"/>
      <c r="F303" s="16"/>
      <c r="G303" s="16"/>
      <c r="H303" s="16"/>
      <c r="I303" s="16"/>
      <c r="J303" s="16"/>
      <c r="K303" s="16"/>
      <c r="L303" s="5"/>
    </row>
    <row r="304" spans="1:12" ht="21.95" customHeight="1" x14ac:dyDescent="0.2">
      <c r="A304" s="6"/>
      <c r="B304" s="6"/>
      <c r="C304" s="16"/>
      <c r="D304" s="16"/>
      <c r="E304" s="16"/>
      <c r="F304" s="16"/>
      <c r="G304" s="16"/>
      <c r="H304" s="16"/>
      <c r="I304" s="16"/>
      <c r="J304" s="16"/>
      <c r="K304" s="16"/>
      <c r="L304" s="5"/>
    </row>
    <row r="305" spans="1:12" ht="21.95" customHeight="1" x14ac:dyDescent="0.2">
      <c r="A305" s="6"/>
      <c r="B305" s="6"/>
      <c r="C305" s="16"/>
      <c r="D305" s="16"/>
      <c r="E305" s="16"/>
      <c r="F305" s="16"/>
      <c r="G305" s="16"/>
      <c r="H305" s="16"/>
      <c r="I305" s="16"/>
      <c r="J305" s="16"/>
      <c r="K305" s="16"/>
      <c r="L305" s="5"/>
    </row>
    <row r="306" spans="1:12" ht="21.95" customHeight="1" x14ac:dyDescent="0.2">
      <c r="A306" s="6"/>
      <c r="B306" s="6"/>
      <c r="C306" s="16"/>
      <c r="D306" s="16"/>
      <c r="E306" s="16"/>
      <c r="F306" s="16"/>
      <c r="G306" s="16"/>
      <c r="H306" s="16"/>
      <c r="I306" s="16"/>
      <c r="J306" s="16"/>
      <c r="K306" s="16"/>
      <c r="L306" s="5"/>
    </row>
    <row r="307" spans="1:12" ht="21.95" customHeight="1" x14ac:dyDescent="0.2">
      <c r="A307" s="6"/>
      <c r="B307" s="6"/>
      <c r="C307" s="16"/>
      <c r="D307" s="16"/>
      <c r="E307" s="16"/>
      <c r="F307" s="16"/>
      <c r="G307" s="16"/>
      <c r="H307" s="16"/>
      <c r="I307" s="16"/>
      <c r="J307" s="16"/>
      <c r="K307" s="16"/>
      <c r="L307" s="5"/>
    </row>
    <row r="308" spans="1:12" ht="21.95" customHeight="1" x14ac:dyDescent="0.2">
      <c r="A308" s="6"/>
      <c r="B308" s="6"/>
      <c r="C308" s="16"/>
      <c r="D308" s="16"/>
      <c r="E308" s="16"/>
      <c r="F308" s="16"/>
      <c r="G308" s="16"/>
      <c r="H308" s="16"/>
      <c r="I308" s="16"/>
      <c r="J308" s="16"/>
      <c r="K308" s="16"/>
      <c r="L308" s="5"/>
    </row>
    <row r="309" spans="1:12" ht="21.95" customHeight="1" x14ac:dyDescent="0.2">
      <c r="A309" s="6"/>
      <c r="B309" s="6"/>
      <c r="C309" s="16"/>
      <c r="D309" s="16"/>
      <c r="E309" s="16"/>
      <c r="F309" s="16"/>
      <c r="G309" s="16"/>
      <c r="H309" s="16"/>
      <c r="I309" s="16"/>
      <c r="J309" s="16"/>
      <c r="K309" s="16"/>
      <c r="L309" s="5"/>
    </row>
    <row r="310" spans="1:12" ht="21.95" customHeight="1" x14ac:dyDescent="0.2">
      <c r="A310" s="6"/>
      <c r="B310" s="6"/>
      <c r="C310" s="16"/>
      <c r="D310" s="16"/>
      <c r="E310" s="16"/>
      <c r="F310" s="16"/>
      <c r="G310" s="16"/>
      <c r="H310" s="16"/>
      <c r="I310" s="16"/>
      <c r="J310" s="16"/>
      <c r="K310" s="16"/>
      <c r="L310" s="5"/>
    </row>
    <row r="311" spans="1:12" ht="21.95" customHeight="1" x14ac:dyDescent="0.2">
      <c r="A311" s="6"/>
      <c r="B311" s="6"/>
      <c r="C311" s="16"/>
      <c r="D311" s="16"/>
      <c r="E311" s="16"/>
      <c r="F311" s="16"/>
      <c r="G311" s="16"/>
      <c r="H311" s="16"/>
      <c r="I311" s="16"/>
      <c r="J311" s="16"/>
      <c r="K311" s="16"/>
      <c r="L311" s="5"/>
    </row>
    <row r="312" spans="1:12" ht="21.95" customHeight="1" x14ac:dyDescent="0.2">
      <c r="A312" s="6"/>
      <c r="B312" s="6"/>
      <c r="C312" s="16"/>
      <c r="D312" s="16"/>
      <c r="E312" s="16"/>
      <c r="F312" s="16"/>
      <c r="G312" s="16"/>
      <c r="H312" s="16"/>
      <c r="I312" s="16"/>
      <c r="J312" s="16"/>
      <c r="K312" s="16"/>
      <c r="L312" s="5"/>
    </row>
    <row r="313" spans="1:12" ht="21.95" customHeight="1" x14ac:dyDescent="0.2">
      <c r="A313" s="6"/>
      <c r="B313" s="6"/>
      <c r="C313" s="16"/>
      <c r="D313" s="16"/>
      <c r="E313" s="16"/>
      <c r="F313" s="16"/>
      <c r="G313" s="16"/>
      <c r="H313" s="16"/>
      <c r="I313" s="16"/>
      <c r="J313" s="16"/>
      <c r="K313" s="16"/>
      <c r="L313" s="5"/>
    </row>
    <row r="314" spans="1:12" ht="21.95" customHeight="1" x14ac:dyDescent="0.2">
      <c r="A314" s="6"/>
      <c r="B314" s="6"/>
      <c r="C314" s="16"/>
      <c r="D314" s="16"/>
      <c r="E314" s="16"/>
      <c r="F314" s="16"/>
      <c r="G314" s="16"/>
      <c r="H314" s="16"/>
      <c r="I314" s="16"/>
      <c r="J314" s="16"/>
      <c r="K314" s="16"/>
      <c r="L314" s="5"/>
    </row>
    <row r="315" spans="1:12" ht="21.95" customHeight="1" x14ac:dyDescent="0.2">
      <c r="A315" s="6"/>
      <c r="B315" s="6"/>
      <c r="C315" s="16"/>
      <c r="D315" s="16"/>
      <c r="E315" s="16"/>
      <c r="F315" s="16"/>
      <c r="G315" s="16"/>
      <c r="H315" s="16"/>
      <c r="I315" s="16"/>
      <c r="J315" s="16"/>
      <c r="K315" s="16"/>
      <c r="L315" s="5"/>
    </row>
    <row r="316" spans="1:12" ht="21.95" customHeight="1" x14ac:dyDescent="0.2">
      <c r="A316" s="6"/>
      <c r="B316" s="6"/>
      <c r="C316" s="16"/>
      <c r="D316" s="16"/>
      <c r="E316" s="16"/>
      <c r="F316" s="16"/>
      <c r="G316" s="16"/>
      <c r="H316" s="16"/>
      <c r="I316" s="16"/>
      <c r="J316" s="16"/>
      <c r="K316" s="16"/>
      <c r="L316" s="5"/>
    </row>
    <row r="317" spans="1:12" ht="21.95" customHeight="1" x14ac:dyDescent="0.2">
      <c r="A317" s="6"/>
      <c r="B317" s="6"/>
      <c r="C317" s="16"/>
      <c r="D317" s="16"/>
      <c r="E317" s="16"/>
      <c r="F317" s="16"/>
      <c r="G317" s="16"/>
      <c r="H317" s="16"/>
      <c r="I317" s="16"/>
      <c r="J317" s="16"/>
      <c r="K317" s="16"/>
      <c r="L317" s="5"/>
    </row>
    <row r="318" spans="1:12" ht="21.95" customHeight="1" x14ac:dyDescent="0.2">
      <c r="A318" s="6"/>
      <c r="B318" s="6"/>
      <c r="C318" s="16"/>
      <c r="D318" s="16"/>
      <c r="E318" s="16"/>
      <c r="F318" s="16"/>
      <c r="G318" s="16"/>
      <c r="H318" s="16"/>
      <c r="I318" s="16"/>
      <c r="J318" s="16"/>
      <c r="K318" s="16"/>
      <c r="L318" s="5"/>
    </row>
    <row r="319" spans="1:12" ht="21.95" customHeight="1" x14ac:dyDescent="0.2">
      <c r="A319" s="6"/>
      <c r="B319" s="6"/>
      <c r="C319" s="16"/>
      <c r="D319" s="16"/>
      <c r="E319" s="16"/>
      <c r="F319" s="16"/>
      <c r="G319" s="16"/>
      <c r="H319" s="16"/>
      <c r="I319" s="16"/>
      <c r="J319" s="16"/>
      <c r="K319" s="16"/>
      <c r="L319" s="5"/>
    </row>
    <row r="320" spans="1:12" ht="21.95" customHeight="1" x14ac:dyDescent="0.2">
      <c r="A320" s="6"/>
      <c r="B320" s="6"/>
      <c r="C320" s="16"/>
      <c r="D320" s="16"/>
      <c r="E320" s="16"/>
      <c r="F320" s="16"/>
      <c r="G320" s="16"/>
      <c r="H320" s="16"/>
      <c r="I320" s="16"/>
      <c r="J320" s="16"/>
      <c r="K320" s="16"/>
      <c r="L320" s="5"/>
    </row>
    <row r="321" spans="1:12" ht="21.95" customHeight="1" x14ac:dyDescent="0.2">
      <c r="A321" s="6"/>
      <c r="B321" s="6"/>
      <c r="C321" s="16"/>
      <c r="D321" s="16"/>
      <c r="E321" s="16"/>
      <c r="F321" s="16"/>
      <c r="G321" s="16"/>
      <c r="H321" s="16"/>
      <c r="I321" s="16"/>
      <c r="J321" s="16"/>
      <c r="K321" s="16"/>
      <c r="L321" s="5"/>
    </row>
    <row r="322" spans="1:12" ht="21.95" customHeight="1" x14ac:dyDescent="0.2">
      <c r="A322" s="6"/>
      <c r="B322" s="6"/>
      <c r="C322" s="16"/>
      <c r="D322" s="16"/>
      <c r="E322" s="16"/>
      <c r="F322" s="16"/>
      <c r="G322" s="16"/>
      <c r="H322" s="16"/>
      <c r="I322" s="16"/>
      <c r="J322" s="16"/>
      <c r="K322" s="16"/>
      <c r="L322" s="5"/>
    </row>
    <row r="323" spans="1:12" ht="21.95" customHeight="1" x14ac:dyDescent="0.2">
      <c r="A323" s="6"/>
      <c r="B323" s="6"/>
      <c r="C323" s="16"/>
      <c r="D323" s="16"/>
      <c r="E323" s="16"/>
      <c r="F323" s="16"/>
      <c r="G323" s="16"/>
      <c r="H323" s="16"/>
      <c r="I323" s="16"/>
      <c r="J323" s="16"/>
      <c r="K323" s="16"/>
      <c r="L323" s="5"/>
    </row>
    <row r="324" spans="1:12" ht="21.95" customHeight="1" x14ac:dyDescent="0.2">
      <c r="A324" s="6"/>
      <c r="B324" s="6"/>
      <c r="C324" s="16"/>
      <c r="D324" s="16"/>
      <c r="E324" s="16"/>
      <c r="F324" s="16"/>
      <c r="G324" s="16"/>
      <c r="H324" s="16"/>
      <c r="I324" s="16"/>
      <c r="J324" s="16"/>
      <c r="K324" s="16"/>
      <c r="L324" s="5"/>
    </row>
    <row r="325" spans="1:12" ht="21.95" customHeight="1" x14ac:dyDescent="0.2">
      <c r="A325" s="6"/>
      <c r="B325" s="6"/>
      <c r="C325" s="16"/>
      <c r="D325" s="16"/>
      <c r="E325" s="16"/>
      <c r="F325" s="16"/>
      <c r="G325" s="16"/>
      <c r="H325" s="16"/>
      <c r="I325" s="16"/>
      <c r="J325" s="16"/>
      <c r="K325" s="16"/>
      <c r="L325" s="5"/>
    </row>
    <row r="326" spans="1:12" ht="21.95" customHeight="1" x14ac:dyDescent="0.2">
      <c r="A326" s="6"/>
      <c r="B326" s="6"/>
      <c r="C326" s="16"/>
      <c r="D326" s="16"/>
      <c r="E326" s="16"/>
      <c r="F326" s="16"/>
      <c r="G326" s="16"/>
      <c r="H326" s="16"/>
      <c r="I326" s="16"/>
      <c r="J326" s="16"/>
      <c r="K326" s="16"/>
      <c r="L326" s="5"/>
    </row>
    <row r="327" spans="1:12" ht="21.95" customHeight="1" x14ac:dyDescent="0.2">
      <c r="A327" s="6"/>
      <c r="B327" s="6"/>
      <c r="C327" s="16"/>
      <c r="D327" s="16"/>
      <c r="E327" s="16"/>
      <c r="F327" s="16"/>
      <c r="G327" s="16"/>
      <c r="H327" s="16"/>
      <c r="I327" s="16"/>
      <c r="J327" s="16"/>
      <c r="K327" s="16"/>
      <c r="L327" s="5"/>
    </row>
    <row r="328" spans="1:12" ht="21.95" customHeight="1" x14ac:dyDescent="0.2">
      <c r="A328" s="6"/>
      <c r="B328" s="6"/>
      <c r="C328" s="16"/>
      <c r="D328" s="16"/>
      <c r="E328" s="16"/>
      <c r="F328" s="16"/>
      <c r="G328" s="16"/>
      <c r="H328" s="16"/>
      <c r="I328" s="16"/>
      <c r="J328" s="16"/>
      <c r="K328" s="16"/>
      <c r="L328" s="5"/>
    </row>
    <row r="329" spans="1:12" ht="21.95" customHeight="1" x14ac:dyDescent="0.2">
      <c r="A329" s="6"/>
      <c r="B329" s="6"/>
      <c r="C329" s="16"/>
      <c r="D329" s="16"/>
      <c r="E329" s="16"/>
      <c r="F329" s="16"/>
      <c r="G329" s="16"/>
      <c r="H329" s="16"/>
      <c r="I329" s="16"/>
      <c r="J329" s="16"/>
      <c r="K329" s="16"/>
      <c r="L329" s="5"/>
    </row>
    <row r="330" spans="1:12" ht="21.95" customHeight="1" x14ac:dyDescent="0.2">
      <c r="A330" s="6"/>
      <c r="B330" s="6"/>
      <c r="C330" s="16"/>
      <c r="D330" s="16"/>
      <c r="E330" s="16"/>
      <c r="F330" s="16"/>
      <c r="G330" s="16"/>
      <c r="H330" s="16"/>
      <c r="I330" s="16"/>
      <c r="J330" s="16"/>
      <c r="K330" s="16"/>
      <c r="L330" s="5"/>
    </row>
    <row r="331" spans="1:12" ht="21.95" customHeight="1" x14ac:dyDescent="0.2">
      <c r="A331" s="6"/>
      <c r="B331" s="6"/>
      <c r="C331" s="16"/>
      <c r="D331" s="16"/>
      <c r="E331" s="16"/>
      <c r="F331" s="16"/>
      <c r="G331" s="16"/>
      <c r="H331" s="16"/>
      <c r="I331" s="16"/>
      <c r="J331" s="16"/>
      <c r="K331" s="16"/>
      <c r="L331" s="5"/>
    </row>
    <row r="332" spans="1:12" ht="21.95" customHeight="1" x14ac:dyDescent="0.2">
      <c r="A332" s="6"/>
      <c r="B332" s="6"/>
      <c r="C332" s="16"/>
      <c r="D332" s="16"/>
      <c r="E332" s="16"/>
      <c r="F332" s="16"/>
      <c r="G332" s="16"/>
      <c r="H332" s="16"/>
      <c r="I332" s="16"/>
      <c r="J332" s="16"/>
      <c r="K332" s="16"/>
      <c r="L332" s="5"/>
    </row>
    <row r="333" spans="1:12" ht="21.95" customHeight="1" x14ac:dyDescent="0.2">
      <c r="A333" s="6"/>
      <c r="B333" s="6"/>
      <c r="C333" s="16"/>
      <c r="D333" s="16"/>
      <c r="E333" s="16"/>
      <c r="F333" s="16"/>
      <c r="G333" s="16"/>
      <c r="H333" s="16"/>
      <c r="I333" s="16"/>
      <c r="J333" s="16"/>
      <c r="K333" s="16"/>
      <c r="L333" s="5"/>
    </row>
    <row r="334" spans="1:12" ht="21.95" customHeight="1" x14ac:dyDescent="0.2">
      <c r="A334" s="6"/>
      <c r="B334" s="6"/>
      <c r="C334" s="16"/>
      <c r="D334" s="16"/>
      <c r="E334" s="16"/>
      <c r="F334" s="16"/>
      <c r="G334" s="16"/>
      <c r="H334" s="16"/>
      <c r="I334" s="16"/>
      <c r="J334" s="16"/>
      <c r="K334" s="16"/>
      <c r="L334" s="5"/>
    </row>
    <row r="335" spans="1:12" ht="21.95" customHeight="1" x14ac:dyDescent="0.2">
      <c r="A335" s="6"/>
      <c r="B335" s="6"/>
      <c r="C335" s="16"/>
      <c r="D335" s="16"/>
      <c r="E335" s="16"/>
      <c r="F335" s="16"/>
      <c r="G335" s="16"/>
      <c r="H335" s="16"/>
      <c r="I335" s="16"/>
      <c r="J335" s="16"/>
      <c r="K335" s="16"/>
      <c r="L335" s="5"/>
    </row>
    <row r="336" spans="1:12" ht="21.95" customHeight="1" x14ac:dyDescent="0.2">
      <c r="A336" s="6"/>
      <c r="B336" s="6"/>
      <c r="C336" s="16"/>
      <c r="D336" s="16"/>
      <c r="E336" s="16"/>
      <c r="F336" s="16"/>
      <c r="G336" s="16"/>
      <c r="H336" s="16"/>
      <c r="I336" s="16"/>
      <c r="J336" s="16"/>
      <c r="K336" s="16"/>
      <c r="L336" s="5"/>
    </row>
    <row r="337" spans="1:12" ht="21.95" customHeight="1" x14ac:dyDescent="0.2">
      <c r="A337" s="6"/>
      <c r="B337" s="6"/>
      <c r="C337" s="16"/>
      <c r="D337" s="16"/>
      <c r="E337" s="16"/>
      <c r="F337" s="16"/>
      <c r="G337" s="16"/>
      <c r="H337" s="16"/>
      <c r="I337" s="16"/>
      <c r="J337" s="16"/>
      <c r="K337" s="16"/>
      <c r="L337" s="5"/>
    </row>
    <row r="338" spans="1:12" ht="21.95" customHeight="1" x14ac:dyDescent="0.2">
      <c r="A338" s="6"/>
      <c r="B338" s="6"/>
      <c r="C338" s="16"/>
      <c r="D338" s="16"/>
      <c r="E338" s="16"/>
      <c r="F338" s="16"/>
      <c r="G338" s="16"/>
      <c r="H338" s="16"/>
      <c r="I338" s="16"/>
      <c r="J338" s="16"/>
      <c r="K338" s="16"/>
      <c r="L338" s="5"/>
    </row>
    <row r="339" spans="1:12" ht="21.95" customHeight="1" x14ac:dyDescent="0.2">
      <c r="A339" s="6"/>
      <c r="B339" s="6"/>
      <c r="C339" s="16"/>
      <c r="D339" s="16"/>
      <c r="E339" s="16"/>
      <c r="F339" s="16"/>
      <c r="G339" s="16"/>
      <c r="H339" s="16"/>
      <c r="I339" s="16"/>
      <c r="J339" s="16"/>
      <c r="K339" s="16"/>
      <c r="L339" s="5"/>
    </row>
    <row r="340" spans="1:12" ht="21.95" customHeight="1" x14ac:dyDescent="0.2">
      <c r="A340" s="6"/>
      <c r="B340" s="6"/>
      <c r="C340" s="16"/>
      <c r="D340" s="16"/>
      <c r="E340" s="16"/>
      <c r="F340" s="16"/>
      <c r="G340" s="16"/>
      <c r="H340" s="16"/>
      <c r="I340" s="16"/>
      <c r="J340" s="16"/>
      <c r="K340" s="16"/>
      <c r="L340" s="5"/>
    </row>
    <row r="341" spans="1:12" ht="21.95" customHeight="1" x14ac:dyDescent="0.2">
      <c r="A341" s="6"/>
      <c r="B341" s="6"/>
      <c r="C341" s="16"/>
      <c r="D341" s="16"/>
      <c r="E341" s="16"/>
      <c r="F341" s="16"/>
      <c r="G341" s="16"/>
      <c r="H341" s="16"/>
      <c r="I341" s="16"/>
      <c r="J341" s="16"/>
      <c r="K341" s="16"/>
      <c r="L341" s="5"/>
    </row>
    <row r="342" spans="1:12" ht="21.95" customHeight="1" x14ac:dyDescent="0.2">
      <c r="A342" s="6"/>
      <c r="B342" s="6"/>
      <c r="C342" s="16"/>
      <c r="D342" s="16"/>
      <c r="E342" s="16"/>
      <c r="F342" s="16"/>
      <c r="G342" s="16"/>
      <c r="H342" s="16"/>
      <c r="I342" s="16"/>
      <c r="J342" s="16"/>
      <c r="K342" s="16"/>
      <c r="L342" s="5"/>
    </row>
    <row r="343" spans="1:12" ht="21.95" customHeight="1" x14ac:dyDescent="0.2">
      <c r="A343" s="6"/>
      <c r="B343" s="6"/>
      <c r="C343" s="16"/>
      <c r="D343" s="16"/>
      <c r="E343" s="16"/>
      <c r="F343" s="16"/>
      <c r="G343" s="16"/>
      <c r="H343" s="16"/>
      <c r="I343" s="16"/>
      <c r="J343" s="16"/>
      <c r="K343" s="16"/>
      <c r="L343" s="5"/>
    </row>
    <row r="344" spans="1:12" ht="21.95" customHeight="1" x14ac:dyDescent="0.2">
      <c r="A344" s="6"/>
      <c r="B344" s="6"/>
      <c r="C344" s="16"/>
      <c r="D344" s="16"/>
      <c r="E344" s="16"/>
      <c r="F344" s="16"/>
      <c r="G344" s="16"/>
      <c r="H344" s="16"/>
      <c r="I344" s="16"/>
      <c r="J344" s="16"/>
      <c r="K344" s="16"/>
      <c r="L344" s="5"/>
    </row>
    <row r="345" spans="1:12" ht="21.95" customHeight="1" x14ac:dyDescent="0.2">
      <c r="A345" s="6"/>
      <c r="B345" s="6"/>
      <c r="C345" s="16"/>
      <c r="D345" s="16"/>
      <c r="E345" s="16"/>
      <c r="F345" s="16"/>
      <c r="G345" s="16"/>
      <c r="H345" s="16"/>
      <c r="I345" s="16"/>
      <c r="J345" s="16"/>
      <c r="K345" s="16"/>
      <c r="L345" s="5"/>
    </row>
    <row r="346" spans="1:12" ht="21.95" customHeight="1" x14ac:dyDescent="0.2">
      <c r="A346" s="6"/>
      <c r="B346" s="6"/>
      <c r="C346" s="16"/>
      <c r="D346" s="16"/>
      <c r="E346" s="16"/>
      <c r="F346" s="16"/>
      <c r="G346" s="16"/>
      <c r="H346" s="16"/>
      <c r="I346" s="16"/>
      <c r="J346" s="16"/>
      <c r="K346" s="16"/>
      <c r="L346" s="5"/>
    </row>
    <row r="347" spans="1:12" ht="21.95" customHeight="1" x14ac:dyDescent="0.2">
      <c r="A347" s="7"/>
      <c r="B347" s="7"/>
      <c r="C347" s="17"/>
      <c r="D347" s="17"/>
      <c r="E347" s="17"/>
      <c r="F347" s="17"/>
      <c r="G347" s="17"/>
      <c r="H347" s="17"/>
      <c r="I347" s="17"/>
      <c r="J347" s="17"/>
      <c r="K347" s="17"/>
      <c r="L347" s="3"/>
    </row>
    <row r="348" spans="1:12" ht="21.95" customHeight="1" x14ac:dyDescent="0.2">
      <c r="A348" s="7"/>
      <c r="B348" s="7"/>
      <c r="C348" s="17"/>
      <c r="D348" s="17"/>
      <c r="E348" s="17"/>
      <c r="F348" s="17"/>
      <c r="G348" s="17"/>
      <c r="H348" s="17"/>
      <c r="I348" s="17"/>
      <c r="J348" s="17"/>
      <c r="K348" s="17"/>
      <c r="L348" s="3"/>
    </row>
    <row r="349" spans="1:12" ht="21.95" customHeight="1" x14ac:dyDescent="0.2">
      <c r="A349" s="7"/>
      <c r="B349" s="7"/>
      <c r="C349" s="17"/>
      <c r="D349" s="17"/>
      <c r="E349" s="17"/>
      <c r="F349" s="17"/>
      <c r="G349" s="17"/>
      <c r="H349" s="17"/>
      <c r="I349" s="17"/>
      <c r="J349" s="17"/>
      <c r="K349" s="17"/>
      <c r="L349" s="3"/>
    </row>
    <row r="350" spans="1:12" ht="21.95" customHeight="1" x14ac:dyDescent="0.2">
      <c r="A350" s="7"/>
      <c r="B350" s="7"/>
      <c r="C350" s="17"/>
      <c r="D350" s="17"/>
      <c r="E350" s="17"/>
      <c r="F350" s="17"/>
      <c r="G350" s="17"/>
      <c r="H350" s="17"/>
      <c r="I350" s="17"/>
      <c r="J350" s="17"/>
      <c r="K350" s="17"/>
      <c r="L350" s="3"/>
    </row>
    <row r="351" spans="1:12" ht="21.95" customHeight="1" x14ac:dyDescent="0.2">
      <c r="A351" s="7"/>
      <c r="B351" s="7"/>
      <c r="C351" s="17"/>
      <c r="D351" s="17"/>
      <c r="E351" s="17"/>
      <c r="F351" s="17"/>
      <c r="G351" s="17"/>
      <c r="H351" s="17"/>
      <c r="I351" s="17"/>
      <c r="J351" s="17"/>
      <c r="K351" s="17"/>
      <c r="L351" s="3"/>
    </row>
    <row r="352" spans="1:12" ht="21.95" customHeight="1" x14ac:dyDescent="0.2">
      <c r="A352" s="7"/>
      <c r="B352" s="7"/>
      <c r="C352" s="17"/>
      <c r="D352" s="17"/>
      <c r="E352" s="17"/>
      <c r="F352" s="17"/>
      <c r="G352" s="17"/>
      <c r="H352" s="17"/>
      <c r="I352" s="17"/>
      <c r="J352" s="17"/>
      <c r="K352" s="17"/>
      <c r="L352" s="3"/>
    </row>
    <row r="353" spans="1:12" ht="21.95" customHeight="1" x14ac:dyDescent="0.2">
      <c r="A353" s="7"/>
      <c r="B353" s="7"/>
      <c r="C353" s="17"/>
      <c r="D353" s="17"/>
      <c r="E353" s="17"/>
      <c r="F353" s="17"/>
      <c r="G353" s="17"/>
      <c r="H353" s="17"/>
      <c r="I353" s="17"/>
      <c r="J353" s="17"/>
      <c r="K353" s="17"/>
      <c r="L353" s="3"/>
    </row>
    <row r="354" spans="1:12" ht="21.95" customHeight="1" x14ac:dyDescent="0.2">
      <c r="A354" s="7"/>
      <c r="B354" s="7"/>
      <c r="C354" s="17"/>
      <c r="D354" s="17"/>
      <c r="E354" s="17"/>
      <c r="F354" s="17"/>
      <c r="G354" s="17"/>
      <c r="H354" s="17"/>
      <c r="I354" s="17"/>
      <c r="J354" s="17"/>
      <c r="K354" s="17"/>
      <c r="L354" s="3"/>
    </row>
    <row r="355" spans="1:12" ht="21.95" customHeight="1" x14ac:dyDescent="0.2">
      <c r="A355" s="7"/>
      <c r="B355" s="7"/>
      <c r="C355" s="17"/>
      <c r="D355" s="17"/>
      <c r="E355" s="17"/>
      <c r="F355" s="17"/>
      <c r="G355" s="17"/>
      <c r="H355" s="17"/>
      <c r="I355" s="17"/>
      <c r="J355" s="17"/>
      <c r="K355" s="17"/>
      <c r="L355" s="3"/>
    </row>
    <row r="356" spans="1:12" ht="21.95" customHeight="1" x14ac:dyDescent="0.2">
      <c r="A356" s="7"/>
      <c r="B356" s="7"/>
      <c r="C356" s="17"/>
      <c r="D356" s="17"/>
      <c r="E356" s="17"/>
      <c r="F356" s="17"/>
      <c r="G356" s="17"/>
      <c r="H356" s="17"/>
      <c r="I356" s="17"/>
      <c r="J356" s="17"/>
      <c r="K356" s="17"/>
      <c r="L356" s="3"/>
    </row>
    <row r="357" spans="1:12" ht="21.95" customHeight="1" x14ac:dyDescent="0.2">
      <c r="A357" s="7"/>
      <c r="B357" s="7"/>
      <c r="C357" s="17"/>
      <c r="D357" s="17"/>
      <c r="E357" s="17"/>
      <c r="F357" s="17"/>
      <c r="G357" s="17"/>
      <c r="H357" s="17"/>
      <c r="I357" s="17"/>
      <c r="J357" s="17"/>
      <c r="K357" s="17"/>
      <c r="L357" s="3"/>
    </row>
    <row r="358" spans="1:12" ht="21.95" customHeight="1" x14ac:dyDescent="0.2">
      <c r="A358" s="7"/>
      <c r="B358" s="7"/>
      <c r="C358" s="17"/>
      <c r="D358" s="17"/>
      <c r="E358" s="17"/>
      <c r="F358" s="17"/>
      <c r="G358" s="17"/>
      <c r="H358" s="17"/>
      <c r="I358" s="17"/>
      <c r="J358" s="17"/>
      <c r="K358" s="17"/>
      <c r="L358" s="3"/>
    </row>
    <row r="359" spans="1:12" ht="21.95" customHeight="1" x14ac:dyDescent="0.2">
      <c r="A359" s="7"/>
      <c r="B359" s="7"/>
      <c r="C359" s="17"/>
      <c r="D359" s="17"/>
      <c r="E359" s="17"/>
      <c r="F359" s="17"/>
      <c r="G359" s="17"/>
      <c r="H359" s="17"/>
      <c r="I359" s="17"/>
      <c r="J359" s="17"/>
      <c r="K359" s="17"/>
      <c r="L359" s="3"/>
    </row>
    <row r="360" spans="1:12" ht="21.95" customHeight="1" x14ac:dyDescent="0.2">
      <c r="A360" s="7"/>
      <c r="B360" s="7"/>
      <c r="C360" s="17"/>
      <c r="D360" s="17"/>
      <c r="E360" s="17"/>
      <c r="F360" s="17"/>
      <c r="G360" s="17"/>
      <c r="H360" s="17"/>
      <c r="I360" s="17"/>
      <c r="J360" s="17"/>
      <c r="K360" s="17"/>
      <c r="L360" s="3"/>
    </row>
    <row r="361" spans="1:12" ht="21.95" customHeight="1" x14ac:dyDescent="0.2">
      <c r="A361" s="7"/>
      <c r="B361" s="7"/>
      <c r="C361" s="17"/>
      <c r="D361" s="17"/>
      <c r="E361" s="17"/>
      <c r="F361" s="17"/>
      <c r="G361" s="17"/>
      <c r="H361" s="17"/>
      <c r="I361" s="17"/>
      <c r="J361" s="17"/>
      <c r="K361" s="17"/>
      <c r="L361" s="3"/>
    </row>
    <row r="362" spans="1:12" ht="21.95" customHeight="1" x14ac:dyDescent="0.2">
      <c r="A362" s="7"/>
      <c r="B362" s="7"/>
      <c r="C362" s="17"/>
      <c r="D362" s="17"/>
      <c r="E362" s="17"/>
      <c r="F362" s="17"/>
      <c r="G362" s="17"/>
      <c r="H362" s="17"/>
      <c r="I362" s="17"/>
      <c r="J362" s="17"/>
      <c r="K362" s="17"/>
      <c r="L362" s="3"/>
    </row>
    <row r="363" spans="1:12" ht="21.95" customHeight="1" x14ac:dyDescent="0.2">
      <c r="A363" s="7"/>
      <c r="B363" s="7"/>
      <c r="C363" s="17"/>
      <c r="D363" s="17"/>
      <c r="E363" s="17"/>
      <c r="F363" s="17"/>
      <c r="G363" s="17"/>
      <c r="H363" s="17"/>
      <c r="I363" s="17"/>
      <c r="J363" s="17"/>
      <c r="K363" s="17"/>
      <c r="L363" s="3"/>
    </row>
  </sheetData>
  <autoFilter ref="A1:L164"/>
  <mergeCells count="75">
    <mergeCell ref="J58:J60"/>
    <mergeCell ref="J62:J73"/>
    <mergeCell ref="J16:J19"/>
    <mergeCell ref="J21:J27"/>
    <mergeCell ref="J29:J30"/>
    <mergeCell ref="J45:J48"/>
    <mergeCell ref="J53:J56"/>
    <mergeCell ref="I16:I19"/>
    <mergeCell ref="I21:I27"/>
    <mergeCell ref="I53:I56"/>
    <mergeCell ref="I58:I60"/>
    <mergeCell ref="I62:I73"/>
    <mergeCell ref="H16:H22"/>
    <mergeCell ref="H24:H27"/>
    <mergeCell ref="H29:H30"/>
    <mergeCell ref="H42:H43"/>
    <mergeCell ref="H45:H48"/>
    <mergeCell ref="F45:F46"/>
    <mergeCell ref="F47:F48"/>
    <mergeCell ref="F54:F55"/>
    <mergeCell ref="F58:F60"/>
    <mergeCell ref="F62:F63"/>
    <mergeCell ref="B16:B28"/>
    <mergeCell ref="B29:B51"/>
    <mergeCell ref="B52:B74"/>
    <mergeCell ref="C3:K3"/>
    <mergeCell ref="C5:K5"/>
    <mergeCell ref="C7:K7"/>
    <mergeCell ref="C9:K9"/>
    <mergeCell ref="C11:K11"/>
    <mergeCell ref="C13:K13"/>
    <mergeCell ref="C15:K15"/>
    <mergeCell ref="C16:C27"/>
    <mergeCell ref="C28:K28"/>
    <mergeCell ref="C29:C30"/>
    <mergeCell ref="C31:K31"/>
    <mergeCell ref="C33:K33"/>
    <mergeCell ref="C35:K35"/>
    <mergeCell ref="C37:K37"/>
    <mergeCell ref="C39:K39"/>
    <mergeCell ref="C41:K41"/>
    <mergeCell ref="C42:C43"/>
    <mergeCell ref="C44:K44"/>
    <mergeCell ref="C45:C48"/>
    <mergeCell ref="C49:K49"/>
    <mergeCell ref="C51:K51"/>
    <mergeCell ref="C52:C73"/>
    <mergeCell ref="D42:D43"/>
    <mergeCell ref="D45:D46"/>
    <mergeCell ref="C74:K74"/>
    <mergeCell ref="D52:D61"/>
    <mergeCell ref="D62:D70"/>
    <mergeCell ref="D71:D73"/>
    <mergeCell ref="E52:E73"/>
    <mergeCell ref="F65:F66"/>
    <mergeCell ref="F72:F73"/>
    <mergeCell ref="G62:G63"/>
    <mergeCell ref="H52:H55"/>
    <mergeCell ref="H56:H57"/>
    <mergeCell ref="H58:H73"/>
    <mergeCell ref="D16:D19"/>
    <mergeCell ref="D21:D22"/>
    <mergeCell ref="D24:D25"/>
    <mergeCell ref="E16:E27"/>
    <mergeCell ref="E42:E43"/>
    <mergeCell ref="E45:E48"/>
    <mergeCell ref="A2:A7"/>
    <mergeCell ref="A8:A74"/>
    <mergeCell ref="B2:B3"/>
    <mergeCell ref="B4:B7"/>
    <mergeCell ref="B8:B9"/>
    <mergeCell ref="B10:B13"/>
    <mergeCell ref="B14:B15"/>
    <mergeCell ref="F16:F17"/>
    <mergeCell ref="F26:F27"/>
  </mergeCells>
  <conditionalFormatting sqref="A1:A1048576">
    <cfRule type="cellIs" dxfId="280" priority="4" operator="equal">
      <formula>"Faltante"</formula>
    </cfRule>
  </conditionalFormatting>
  <conditionalFormatting sqref="J1:J1048576">
    <cfRule type="cellIs" dxfId="279" priority="19" operator="equal">
      <formula>"Cuenta Corriente"</formula>
    </cfRule>
  </conditionalFormatting>
  <conditionalFormatting sqref="N2">
    <cfRule type="cellIs" dxfId="278" priority="2" operator="equal">
      <formula>"Warning"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páginas&amp;C144 avisos&amp;Rlunes 03 abril 2023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2023-04-03T12:51:36Z</cp:lastPrinted>
  <dcterms:created xsi:type="dcterms:W3CDTF">2015-10-29T20:42:16Z</dcterms:created>
  <dcterms:modified xsi:type="dcterms:W3CDTF">2023-04-03T12:52:08Z</dcterms:modified>
</cp:coreProperties>
</file>